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DocumentsWTS\"/>
    </mc:Choice>
  </mc:AlternateContent>
  <xr:revisionPtr revIDLastSave="0" documentId="13_ncr:1_{347A6EF7-D845-4AA0-8B17-CAC8BCA60C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Sheet1!$A$1:$O$997</definedName>
    <definedName name="_xlnm.Print_Area" localSheetId="0">Sheet1!$A:$M</definedName>
    <definedName name="_xlnm.Print_Titles" localSheetId="0">Sheet1!$1:$1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R1" i="1" l="1"/>
  <c r="Q1" i="1"/>
  <c r="N1" i="1" l="1"/>
  <c r="M1" i="1" l="1"/>
</calcChain>
</file>

<file path=xl/sharedStrings.xml><?xml version="1.0" encoding="utf-8"?>
<sst xmlns="http://schemas.openxmlformats.org/spreadsheetml/2006/main" count="3979" uniqueCount="3963">
  <si>
    <t>Available</t>
  </si>
  <si>
    <t>Pack</t>
  </si>
  <si>
    <t>Barcode</t>
  </si>
  <si>
    <t>Outer Barcode</t>
  </si>
  <si>
    <t>5028763004429</t>
  </si>
  <si>
    <t>05028763004436</t>
  </si>
  <si>
    <t xml:space="preserve">brut deo spray 200ml musk </t>
  </si>
  <si>
    <t>3014230022401</t>
  </si>
  <si>
    <t>city chick hair accessories scrunchies / hair clips / hair bands etc</t>
  </si>
  <si>
    <t>6001067022558</t>
  </si>
  <si>
    <t xml:space="preserve">gillette shave gel sensitive 200ml </t>
  </si>
  <si>
    <t>jolen facial wax strips 16's</t>
  </si>
  <si>
    <t>jolen cream bleach 30ml mild</t>
  </si>
  <si>
    <t>jolen cream bleach 30ml regular</t>
  </si>
  <si>
    <t>palmers cocoa butter lotion 250ml</t>
  </si>
  <si>
    <t>60010181041657</t>
  </si>
  <si>
    <t>pretty cotton coloured balls 100's</t>
  </si>
  <si>
    <t>5031413953114</t>
  </si>
  <si>
    <t>pretty cotton white balls 100's</t>
  </si>
  <si>
    <t>5031413953145</t>
  </si>
  <si>
    <t>soap boxes</t>
  </si>
  <si>
    <t>5028748000040</t>
  </si>
  <si>
    <t>vaseline lip therapy original</t>
  </si>
  <si>
    <t>5099802150117</t>
  </si>
  <si>
    <t>vaseline pet jelly no 1 50ml</t>
  </si>
  <si>
    <t>42182627</t>
  </si>
  <si>
    <t>vaseline pet jelly no 2 100ml</t>
  </si>
  <si>
    <t>42182634</t>
  </si>
  <si>
    <t>vaseline pet jelly no 3 250ml</t>
  </si>
  <si>
    <t>42182658</t>
  </si>
  <si>
    <t>wilkinson pillar</t>
  </si>
  <si>
    <t>5010189197205</t>
  </si>
  <si>
    <t>6001067522553</t>
  </si>
  <si>
    <t>60010181041800</t>
  </si>
  <si>
    <t>08717163084243</t>
  </si>
  <si>
    <t>05010189182607</t>
  </si>
  <si>
    <t>5031413953121</t>
  </si>
  <si>
    <t>5031413953152</t>
  </si>
  <si>
    <t>5011597005632</t>
  </si>
  <si>
    <t>5011597025630</t>
  </si>
  <si>
    <t>colgate extra clean toothbrush</t>
  </si>
  <si>
    <t>nail polish remover 250ml</t>
  </si>
  <si>
    <t>5037741980013</t>
  </si>
  <si>
    <t>05037741980013</t>
  </si>
  <si>
    <t>palmers cocoa butter 100g jar</t>
  </si>
  <si>
    <t>60010181040001</t>
  </si>
  <si>
    <t>5010934001849</t>
  </si>
  <si>
    <t xml:space="preserve">j &amp; j shampoo 500ml </t>
  </si>
  <si>
    <t>head and shoulders 250ml citrus</t>
  </si>
  <si>
    <t>head and shoulders 250ml classic clean</t>
  </si>
  <si>
    <t>head and shoulders 250ml smooth and silky</t>
  </si>
  <si>
    <t>5410076229468</t>
  </si>
  <si>
    <t>5410076229475</t>
  </si>
  <si>
    <t>5410076229994</t>
  </si>
  <si>
    <t>5410076230006</t>
  </si>
  <si>
    <t>5410076498642</t>
  </si>
  <si>
    <t>5410076498666</t>
  </si>
  <si>
    <t>8712561482318</t>
  </si>
  <si>
    <t>vaseline aloe soothe 400ml</t>
  </si>
  <si>
    <t>a &amp; e plasters 100's assorted</t>
  </si>
  <si>
    <t>a &amp; e plasters 20's fabric</t>
  </si>
  <si>
    <t>5029115011102</t>
  </si>
  <si>
    <t>05029115011119</t>
  </si>
  <si>
    <t>5029115011089</t>
  </si>
  <si>
    <t>05029115011096</t>
  </si>
  <si>
    <t>5029115011140</t>
  </si>
  <si>
    <t>8712561478762</t>
  </si>
  <si>
    <t>08712561478779</t>
  </si>
  <si>
    <t>a &amp; e plasters 20's clear</t>
  </si>
  <si>
    <t>05029115011133</t>
  </si>
  <si>
    <t>5029115011126</t>
  </si>
  <si>
    <t>always ultra normal 16's</t>
  </si>
  <si>
    <t>7702018980918</t>
  </si>
  <si>
    <t>deep heat rub 100g</t>
  </si>
  <si>
    <t>5011501040100</t>
  </si>
  <si>
    <t>05011501003907</t>
  </si>
  <si>
    <t>brut anti p 200ml</t>
  </si>
  <si>
    <t>5010612808838</t>
  </si>
  <si>
    <t>05000228991338</t>
  </si>
  <si>
    <t>60010181043354</t>
  </si>
  <si>
    <t>argan oil shampoo 300ml</t>
  </si>
  <si>
    <t>argan oil conditioner 300ml</t>
  </si>
  <si>
    <t>5060120164063</t>
  </si>
  <si>
    <t>05060120164070</t>
  </si>
  <si>
    <t>5060120164087</t>
  </si>
  <si>
    <t>05060120164094</t>
  </si>
  <si>
    <t>20010181000083</t>
  </si>
  <si>
    <t>dettol soap twin pack</t>
  </si>
  <si>
    <t>5011417554876</t>
  </si>
  <si>
    <t>05011417763872</t>
  </si>
  <si>
    <t>tusk body spray 150ml blue</t>
  </si>
  <si>
    <t>tusk body spray 150ml green</t>
  </si>
  <si>
    <t>tusk body spray 150ml orange</t>
  </si>
  <si>
    <t>5028748105417</t>
  </si>
  <si>
    <t>5028748105424</t>
  </si>
  <si>
    <t>palmers cocoa butter lotion 250ml fragrance free</t>
  </si>
  <si>
    <t>010181040313</t>
  </si>
  <si>
    <t>60010181040315</t>
  </si>
  <si>
    <t>010181140648</t>
  </si>
  <si>
    <t>60010181140640</t>
  </si>
  <si>
    <t>010181040764</t>
  </si>
  <si>
    <t>60010181040766</t>
  </si>
  <si>
    <t>010181040351</t>
  </si>
  <si>
    <t>60010181040353</t>
  </si>
  <si>
    <t>010181041877</t>
  </si>
  <si>
    <t>60010181041879</t>
  </si>
  <si>
    <t>010181044397</t>
  </si>
  <si>
    <t>60010181044399</t>
  </si>
  <si>
    <t>st ives nourish and soothe scrub 150ml</t>
  </si>
  <si>
    <t>08710908812361</t>
  </si>
  <si>
    <t>bic 5's sensitive</t>
  </si>
  <si>
    <t>5060120164346</t>
  </si>
  <si>
    <t>argan oil hydrating hair mask deep conditioner 220ml</t>
  </si>
  <si>
    <t>argan oil heat defence leave in spray 150ml</t>
  </si>
  <si>
    <t>argan oil night repair serum 30ml</t>
  </si>
  <si>
    <t>argan oil hand &amp; nail cream 100ml</t>
  </si>
  <si>
    <t>argan oil hand &amp; body wash 300ml</t>
  </si>
  <si>
    <t>argan oil body butter 250ml</t>
  </si>
  <si>
    <t>5060120164919</t>
  </si>
  <si>
    <t>5060120164131</t>
  </si>
  <si>
    <t>5060120165176</t>
  </si>
  <si>
    <t>5060120164551</t>
  </si>
  <si>
    <t>5060120165022</t>
  </si>
  <si>
    <t>05060120165039</t>
  </si>
  <si>
    <t>05060120164148</t>
  </si>
  <si>
    <t>05060120164353</t>
  </si>
  <si>
    <t>05060120165183</t>
  </si>
  <si>
    <t>05060120164575</t>
  </si>
  <si>
    <t>jolen cream bleach 125ml regular</t>
  </si>
  <si>
    <t>vaseline advance repair 200ml</t>
  </si>
  <si>
    <t>8710447275306</t>
  </si>
  <si>
    <t>08710447275320</t>
  </si>
  <si>
    <t>dove hand cream 75ml avocado invigorating</t>
  </si>
  <si>
    <t>dove lotion 250ml glowing ritual</t>
  </si>
  <si>
    <t>8710908777004</t>
  </si>
  <si>
    <t>halls soothers cherry</t>
  </si>
  <si>
    <t>5010455063135</t>
  </si>
  <si>
    <t>05010455064132</t>
  </si>
  <si>
    <t>palmers cocoa butter 250ml massage stretch mark lotion</t>
  </si>
  <si>
    <t>palmers cocoa butter stretch mark cream 125ml</t>
  </si>
  <si>
    <t>palmers coconut hand cream 60g tube</t>
  </si>
  <si>
    <t>010181032356</t>
  </si>
  <si>
    <t>60010181032358</t>
  </si>
  <si>
    <t>20010181032220</t>
  </si>
  <si>
    <t>ProdCode</t>
  </si>
  <si>
    <t>AE100AS</t>
  </si>
  <si>
    <t>AE20CLE</t>
  </si>
  <si>
    <t>AE20FAB</t>
  </si>
  <si>
    <t>AE20WASH</t>
  </si>
  <si>
    <t>ALCM9</t>
  </si>
  <si>
    <t>ALWUN16</t>
  </si>
  <si>
    <t>ARGANBB</t>
  </si>
  <si>
    <t>ARGANC</t>
  </si>
  <si>
    <t>ARGANHB</t>
  </si>
  <si>
    <t>ARGANHD</t>
  </si>
  <si>
    <t>ARGANHM</t>
  </si>
  <si>
    <t>ARGANHN</t>
  </si>
  <si>
    <t>ARGANNR</t>
  </si>
  <si>
    <t>ARGANS</t>
  </si>
  <si>
    <t>BRAP200O</t>
  </si>
  <si>
    <t>BRUTDSM</t>
  </si>
  <si>
    <t>CITYCHIC</t>
  </si>
  <si>
    <t>COLEXCT</t>
  </si>
  <si>
    <t>COLMFCM</t>
  </si>
  <si>
    <t>COLTA100</t>
  </si>
  <si>
    <t>DEEPHEAT</t>
  </si>
  <si>
    <t>DETSOAPO</t>
  </si>
  <si>
    <t>DOVEHCA</t>
  </si>
  <si>
    <t>DOVL250GR</t>
  </si>
  <si>
    <t>DOVL250N</t>
  </si>
  <si>
    <t>GSGS</t>
  </si>
  <si>
    <t>HALLSSSOC</t>
  </si>
  <si>
    <t>HAS250C</t>
  </si>
  <si>
    <t>HAS250CC</t>
  </si>
  <si>
    <t>HAS250SS</t>
  </si>
  <si>
    <t>JJBB500</t>
  </si>
  <si>
    <t>JJBO500</t>
  </si>
  <si>
    <t>JJBSO500</t>
  </si>
  <si>
    <t>JOLFSW16</t>
  </si>
  <si>
    <t>JOLM125</t>
  </si>
  <si>
    <t>JOLM30</t>
  </si>
  <si>
    <t>JOLR125</t>
  </si>
  <si>
    <t>JOLR30</t>
  </si>
  <si>
    <t>NAIRM</t>
  </si>
  <si>
    <t>NAIRS</t>
  </si>
  <si>
    <t>NPR</t>
  </si>
  <si>
    <t>PALMCHC</t>
  </si>
  <si>
    <t>PALMCLBCO</t>
  </si>
  <si>
    <t>PALMCO25</t>
  </si>
  <si>
    <t>PALMCO40</t>
  </si>
  <si>
    <t>PALMCOC</t>
  </si>
  <si>
    <t>PALMCOF</t>
  </si>
  <si>
    <t>PALMCOFF</t>
  </si>
  <si>
    <t>PALMCOHCI</t>
  </si>
  <si>
    <t>PALMCOJ1</t>
  </si>
  <si>
    <t>PALMCOL</t>
  </si>
  <si>
    <t>PALMCOM</t>
  </si>
  <si>
    <t>PALMCOSMC</t>
  </si>
  <si>
    <t>PALMCOTB</t>
  </si>
  <si>
    <t>PRCBALC1</t>
  </si>
  <si>
    <t>PRCBALW1</t>
  </si>
  <si>
    <t>PRCPLE100</t>
  </si>
  <si>
    <t>PRCROL100</t>
  </si>
  <si>
    <t>SOAPBOX</t>
  </si>
  <si>
    <t>STIVESOS</t>
  </si>
  <si>
    <t>VASALO4</t>
  </si>
  <si>
    <t>VASAR2</t>
  </si>
  <si>
    <t>VASLIPO</t>
  </si>
  <si>
    <t>VASPJ1</t>
  </si>
  <si>
    <t>VASPJ2</t>
  </si>
  <si>
    <t>VASPJ3</t>
  </si>
  <si>
    <t>WCT</t>
  </si>
  <si>
    <t>WILKPILL</t>
  </si>
  <si>
    <t>Pallet Qty</t>
  </si>
  <si>
    <t>a &amp; e plasters 20's wash proof</t>
  </si>
  <si>
    <t>6</t>
  </si>
  <si>
    <t>BELOL70</t>
  </si>
  <si>
    <t>BELTT10</t>
  </si>
  <si>
    <t>BELVAP50</t>
  </si>
  <si>
    <t>bells olive oil 70ml</t>
  </si>
  <si>
    <t>bells tea tree oil (pure) 10ml</t>
  </si>
  <si>
    <t>bells vapour rub 50g</t>
  </si>
  <si>
    <t>05029115011157</t>
  </si>
  <si>
    <t>JFMDBB</t>
  </si>
  <si>
    <t>PALMCLB</t>
  </si>
  <si>
    <t>TUSKBL</t>
  </si>
  <si>
    <t>TUSKG</t>
  </si>
  <si>
    <t>TUSKO</t>
  </si>
  <si>
    <t>05017848902552</t>
  </si>
  <si>
    <t>50612727</t>
  </si>
  <si>
    <t>05017848902545</t>
  </si>
  <si>
    <t>5017848249213</t>
  </si>
  <si>
    <t>05017848902590</t>
  </si>
  <si>
    <t>96049938</t>
  </si>
  <si>
    <t>just for men dark brown black h45</t>
  </si>
  <si>
    <t>3574669908528</t>
  </si>
  <si>
    <t>05010934500090</t>
  </si>
  <si>
    <t>none</t>
  </si>
  <si>
    <t>PALMCOTO</t>
  </si>
  <si>
    <t>NIVS75</t>
  </si>
  <si>
    <t>nivea soft 75ml tube</t>
  </si>
  <si>
    <t>ADDISSTB</t>
  </si>
  <si>
    <t xml:space="preserve">40010181041530 </t>
  </si>
  <si>
    <t>-</t>
  </si>
  <si>
    <t>palmers cocoa butter therapy oil 60ml original</t>
  </si>
  <si>
    <t>010181041594</t>
  </si>
  <si>
    <t>60010181041596</t>
  </si>
  <si>
    <t>PALMCOTOO</t>
  </si>
  <si>
    <t>3574661449166</t>
  </si>
  <si>
    <t>PALMLAT</t>
  </si>
  <si>
    <t>palmolive lather 100ml</t>
  </si>
  <si>
    <t>3015810608817</t>
  </si>
  <si>
    <t>3574669909105</t>
  </si>
  <si>
    <t>3574661463971</t>
  </si>
  <si>
    <t>BELCO10</t>
  </si>
  <si>
    <t>bells clove oil 10ml</t>
  </si>
  <si>
    <t>BELVAP50C</t>
  </si>
  <si>
    <t>bells children's vapour rub 50g</t>
  </si>
  <si>
    <t>BELWH200</t>
  </si>
  <si>
    <t>bells witch hazel (distilled) 200ml</t>
  </si>
  <si>
    <t>CORALBS</t>
  </si>
  <si>
    <t>coral bath sponge</t>
  </si>
  <si>
    <t>CORALMS</t>
  </si>
  <si>
    <t>coral massage sponge</t>
  </si>
  <si>
    <t>CORBABYS</t>
  </si>
  <si>
    <t>coral baby sponge</t>
  </si>
  <si>
    <t>SUPERCAR</t>
  </si>
  <si>
    <t>superbright jumbo car sponge</t>
  </si>
  <si>
    <t>SUPERSC6</t>
  </si>
  <si>
    <t>SUPERSS</t>
  </si>
  <si>
    <t>superbright 10pk sponge scourer</t>
  </si>
  <si>
    <t>VASMS4</t>
  </si>
  <si>
    <t>05017848902569</t>
  </si>
  <si>
    <t xml:space="preserve">50621903 </t>
  </si>
  <si>
    <t xml:space="preserve">5017848249336 </t>
  </si>
  <si>
    <t>05017848902408</t>
  </si>
  <si>
    <t xml:space="preserve">5011597001627 </t>
  </si>
  <si>
    <t xml:space="preserve">5011597002228 </t>
  </si>
  <si>
    <t>5011597022226</t>
  </si>
  <si>
    <t xml:space="preserve">5011597001634 </t>
  </si>
  <si>
    <t>5011597021632</t>
  </si>
  <si>
    <t xml:space="preserve">5011597008015 </t>
  </si>
  <si>
    <t>5011597038012</t>
  </si>
  <si>
    <t xml:space="preserve">5011597001443 </t>
  </si>
  <si>
    <t>5011597302823</t>
  </si>
  <si>
    <t xml:space="preserve">8714100012604 </t>
  </si>
  <si>
    <t>08714100012642</t>
  </si>
  <si>
    <t>addis smokers toothbrush now called wisdom smokers</t>
  </si>
  <si>
    <t>COLMFCLM</t>
  </si>
  <si>
    <t>HAS250AF</t>
  </si>
  <si>
    <t>head and shoulders 250ml apple fresh</t>
  </si>
  <si>
    <t>5410076230181</t>
  </si>
  <si>
    <t>05410076230198</t>
  </si>
  <si>
    <t>ERASSFA</t>
  </si>
  <si>
    <t>5060128983536</t>
  </si>
  <si>
    <t>15060128983533</t>
  </si>
  <si>
    <t xml:space="preserve">vaseline mature skin 400ml     </t>
  </si>
  <si>
    <t xml:space="preserve">4011200118200 </t>
  </si>
  <si>
    <t>010181041532</t>
  </si>
  <si>
    <t>Price</t>
  </si>
  <si>
    <t>Each</t>
  </si>
  <si>
    <t>NEUTRAGF</t>
  </si>
  <si>
    <t>NEUTRAGO</t>
  </si>
  <si>
    <t>NEUTRAGP</t>
  </si>
  <si>
    <t>neutradol original gel</t>
  </si>
  <si>
    <t>neutradol pink gel</t>
  </si>
  <si>
    <t>6920354812521</t>
  </si>
  <si>
    <t xml:space="preserve">5013912900066 </t>
  </si>
  <si>
    <t>05013912900080</t>
  </si>
  <si>
    <t xml:space="preserve">5013912359345 </t>
  </si>
  <si>
    <t xml:space="preserve">05013912571563 </t>
  </si>
  <si>
    <t xml:space="preserve">5013912909403 </t>
  </si>
  <si>
    <t>05013912909304</t>
  </si>
  <si>
    <t>palmers cocoa butter lotion 400ml pump</t>
  </si>
  <si>
    <t>palmers lotion coconut 250ml</t>
  </si>
  <si>
    <t>BIC5S40</t>
  </si>
  <si>
    <t>palmers coconut lip oil balm</t>
  </si>
  <si>
    <t>03086129230877</t>
  </si>
  <si>
    <t>Qty Req</t>
  </si>
  <si>
    <t>HUGNW64</t>
  </si>
  <si>
    <t>Ord Value</t>
  </si>
  <si>
    <t xml:space="preserve">3574669907903 </t>
  </si>
  <si>
    <t>3574661442815</t>
  </si>
  <si>
    <t>010181000089</t>
  </si>
  <si>
    <t>010181032226</t>
  </si>
  <si>
    <t>010181041808</t>
  </si>
  <si>
    <t>010181041655</t>
  </si>
  <si>
    <t>010181043352</t>
  </si>
  <si>
    <t>010181040009</t>
  </si>
  <si>
    <t>010181032806</t>
  </si>
  <si>
    <t>60010181032808</t>
  </si>
  <si>
    <t>NEUTRASO</t>
  </si>
  <si>
    <t>SUPERABC</t>
  </si>
  <si>
    <t>superbright 10pk super absorbant cloth</t>
  </si>
  <si>
    <t xml:space="preserve">5013912208001 </t>
  </si>
  <si>
    <t>05013912103900</t>
  </si>
  <si>
    <t xml:space="preserve">5011597008282 </t>
  </si>
  <si>
    <t xml:space="preserve">5011597018281 </t>
  </si>
  <si>
    <t>NEUTOBFW</t>
  </si>
  <si>
    <t>neutrogena oil balancing facial wash 200ml</t>
  </si>
  <si>
    <t>3574661039725</t>
  </si>
  <si>
    <t>superbright 4pk sponge cloths</t>
  </si>
  <si>
    <t xml:space="preserve">j &amp; j bath 500ml </t>
  </si>
  <si>
    <t xml:space="preserve">j &amp; j oil 500ml </t>
  </si>
  <si>
    <t>CCCLS</t>
  </si>
  <si>
    <t>clean and clear cleansing lotion 200ml sensitive</t>
  </si>
  <si>
    <t>5000207004981</t>
  </si>
  <si>
    <t>5013826010547</t>
  </si>
  <si>
    <t>QUEPADS100</t>
  </si>
  <si>
    <t xml:space="preserve">5031413903294 </t>
  </si>
  <si>
    <t xml:space="preserve">5031413925289 </t>
  </si>
  <si>
    <t>STIVESEB</t>
  </si>
  <si>
    <t>st ives scrub even &amp; bright radiant skin scrub 150ml</t>
  </si>
  <si>
    <t>8710908812576</t>
  </si>
  <si>
    <t>03574661521190</t>
  </si>
  <si>
    <t>dettol liquid 500ml</t>
  </si>
  <si>
    <t>50158089</t>
  </si>
  <si>
    <t>DET750</t>
  </si>
  <si>
    <t>dettol liquid 750ml</t>
  </si>
  <si>
    <t>50158225</t>
  </si>
  <si>
    <t>PALMCOTOR</t>
  </si>
  <si>
    <t>palmers cocoa butter therapy oil 150ml rose</t>
  </si>
  <si>
    <t>08717163707647</t>
  </si>
  <si>
    <t>010181043598</t>
  </si>
  <si>
    <t>60010181043590</t>
  </si>
  <si>
    <t>DET50012</t>
  </si>
  <si>
    <t>palmers cocoa butter tummy butter 125ml jars</t>
  </si>
  <si>
    <t>palmers cocoa butter hand cream conc cream 60g</t>
  </si>
  <si>
    <t>palmers cocoa butter hand cream conc cream 60g intensive</t>
  </si>
  <si>
    <t>VASLIPA</t>
  </si>
  <si>
    <t xml:space="preserve">vaseline lip therapy aloe vera </t>
  </si>
  <si>
    <t>PALMCMBO</t>
  </si>
  <si>
    <t xml:space="preserve">palmers cocoa butter moisturizing body oil 250ml </t>
  </si>
  <si>
    <t>010181041709</t>
  </si>
  <si>
    <t>PALMCBO</t>
  </si>
  <si>
    <t>palmers coconut oil body oil 150ml</t>
  </si>
  <si>
    <t>60010181032709</t>
  </si>
  <si>
    <t>010181032707</t>
  </si>
  <si>
    <t>BELPAR500</t>
  </si>
  <si>
    <t>bells paracetamol 500mg tablets 16s</t>
  </si>
  <si>
    <t>5017848251872</t>
  </si>
  <si>
    <t>05017848902101</t>
  </si>
  <si>
    <t>TIGERBR</t>
  </si>
  <si>
    <t>TIGERBW</t>
  </si>
  <si>
    <t>5014713200102</t>
  </si>
  <si>
    <t>05010232048171</t>
  </si>
  <si>
    <t>5014713200105</t>
  </si>
  <si>
    <t>05010232048164</t>
  </si>
  <si>
    <t>tiger balm 19g red</t>
  </si>
  <si>
    <t>tiger balm 19g white</t>
  </si>
  <si>
    <t>BICTWL5</t>
  </si>
  <si>
    <t>STERAAP</t>
  </si>
  <si>
    <t>steradent active plus tablets 30s</t>
  </si>
  <si>
    <t>5011417566312</t>
  </si>
  <si>
    <t>05011417783320</t>
  </si>
  <si>
    <t>BELG200</t>
  </si>
  <si>
    <t>bells glycerin 200</t>
  </si>
  <si>
    <t xml:space="preserve">5017848249411 </t>
  </si>
  <si>
    <t>05017848900282</t>
  </si>
  <si>
    <t>neutradol fresh gel</t>
  </si>
  <si>
    <t>VICKBABY</t>
  </si>
  <si>
    <t>vicks baby vaporub 50g</t>
  </si>
  <si>
    <t>NEUTHCTW</t>
  </si>
  <si>
    <t>neutrogena hand cream 50ml scented</t>
  </si>
  <si>
    <t>PALMCOTOR6</t>
  </si>
  <si>
    <t>palmers cocoa butter therapy oil 60ml rose</t>
  </si>
  <si>
    <t>PALMCOFF4</t>
  </si>
  <si>
    <t>palmers cocoa butter lotion 400ml fragrance free</t>
  </si>
  <si>
    <t>VICKRUB</t>
  </si>
  <si>
    <t>vicks vaporub 50g</t>
  </si>
  <si>
    <t xml:space="preserve">5011321365353 </t>
  </si>
  <si>
    <t>05011321365360</t>
  </si>
  <si>
    <t>BELALM0200</t>
  </si>
  <si>
    <t>bells almond oil 200ml</t>
  </si>
  <si>
    <t>60010181041893</t>
  </si>
  <si>
    <t>pretty pads 80's</t>
  </si>
  <si>
    <t>COLMFTB</t>
  </si>
  <si>
    <t>colgate max fresh toothbrush</t>
  </si>
  <si>
    <t>058000004481</t>
  </si>
  <si>
    <t>6001067524304</t>
  </si>
  <si>
    <t>JFMMB</t>
  </si>
  <si>
    <t>just for men medium brown h35</t>
  </si>
  <si>
    <t>5010934001856</t>
  </si>
  <si>
    <t>05010934500083</t>
  </si>
  <si>
    <t xml:space="preserve">8001841971049 </t>
  </si>
  <si>
    <t>08001841971032</t>
  </si>
  <si>
    <t>PEARSG</t>
  </si>
  <si>
    <t>8901030024061</t>
  </si>
  <si>
    <t>48901030207097</t>
  </si>
  <si>
    <t>GSSGCOND</t>
  </si>
  <si>
    <t>gillette series shave gel moisturising 200ml</t>
  </si>
  <si>
    <t>7702018980833</t>
  </si>
  <si>
    <t>07702018979165</t>
  </si>
  <si>
    <t>GSSGS</t>
  </si>
  <si>
    <t>gillette series shave gel sensitive 200ml</t>
  </si>
  <si>
    <t>7702018980819</t>
  </si>
  <si>
    <t>07702018979103</t>
  </si>
  <si>
    <t>8710908812415</t>
  </si>
  <si>
    <t>PALMCOL4</t>
  </si>
  <si>
    <t>palmers lotion coconut 400ml</t>
  </si>
  <si>
    <t>BELIBU200</t>
  </si>
  <si>
    <t>bells ibuprofen 200mg tablets 16s</t>
  </si>
  <si>
    <t>5107848251612</t>
  </si>
  <si>
    <t>05017848902064</t>
  </si>
  <si>
    <t>010181032653</t>
  </si>
  <si>
    <t>60010181032655</t>
  </si>
  <si>
    <t>BIC5N</t>
  </si>
  <si>
    <t>bic 5's normal</t>
  </si>
  <si>
    <t>3086125705027</t>
  </si>
  <si>
    <t>GSGR</t>
  </si>
  <si>
    <t>gillette shave gel regular 200ml</t>
  </si>
  <si>
    <t>7702018980901</t>
  </si>
  <si>
    <t>07702018980154</t>
  </si>
  <si>
    <t>gillette 2 razor 5's</t>
  </si>
  <si>
    <t>3014260287030</t>
  </si>
  <si>
    <t>CURGLTWIN</t>
  </si>
  <si>
    <t>clean up rubber gloves twin large</t>
  </si>
  <si>
    <t xml:space="preserve">5011597092892 </t>
  </si>
  <si>
    <t>5011597302052</t>
  </si>
  <si>
    <t>COLZZT</t>
  </si>
  <si>
    <t>colgate zig zag toothbrush</t>
  </si>
  <si>
    <t>6001067004943</t>
  </si>
  <si>
    <t>6001067504948</t>
  </si>
  <si>
    <t>AMPA</t>
  </si>
  <si>
    <t>AMPF</t>
  </si>
  <si>
    <t>AMPM</t>
  </si>
  <si>
    <t>AMPN</t>
  </si>
  <si>
    <t>amplex roll on active 50ml</t>
  </si>
  <si>
    <t>amplex roll on fresh 50ml</t>
  </si>
  <si>
    <t>amplex roll on mens black 50ml</t>
  </si>
  <si>
    <t>amplex roll on natural 50ml</t>
  </si>
  <si>
    <t>5014697055934</t>
  </si>
  <si>
    <t>5026445008473</t>
  </si>
  <si>
    <t>05026445002480</t>
  </si>
  <si>
    <t>5026445002336</t>
  </si>
  <si>
    <t>05026445002343</t>
  </si>
  <si>
    <t>5026445002459</t>
  </si>
  <si>
    <t>05026445002466</t>
  </si>
  <si>
    <t>MARIM</t>
  </si>
  <si>
    <t>5010232991477</t>
  </si>
  <si>
    <t>05010232037113</t>
  </si>
  <si>
    <t>nair 100ml moisture</t>
  </si>
  <si>
    <t>nair 100ml sensitive</t>
  </si>
  <si>
    <t>05010724826362</t>
  </si>
  <si>
    <t>SURESA</t>
  </si>
  <si>
    <t>sure spray 150ml active</t>
  </si>
  <si>
    <t xml:space="preserve">8717644331750 </t>
  </si>
  <si>
    <t>08717644331767</t>
  </si>
  <si>
    <t>SURESII</t>
  </si>
  <si>
    <t>sure spray 150ml invisible ice</t>
  </si>
  <si>
    <t xml:space="preserve">8717644721421 </t>
  </si>
  <si>
    <t>08717644721452</t>
  </si>
  <si>
    <t>PEARSB</t>
  </si>
  <si>
    <t>pears soap blue germ shield 125g</t>
  </si>
  <si>
    <t>8901030483837</t>
  </si>
  <si>
    <t>18901030496827</t>
  </si>
  <si>
    <t>PALMCMBF</t>
  </si>
  <si>
    <t>palmers cocoa butter formula men's 250ml</t>
  </si>
  <si>
    <t>010181045806</t>
  </si>
  <si>
    <t>60010181045808</t>
  </si>
  <si>
    <t>NEUTTCSCM</t>
  </si>
  <si>
    <t>neutrogena clear &amp; soothe clay mask 50ml</t>
  </si>
  <si>
    <t xml:space="preserve">3574661530604 </t>
  </si>
  <si>
    <t>03574661636511</t>
  </si>
  <si>
    <t>VIAKAL</t>
  </si>
  <si>
    <t>viakal limescale remover liquid 500ml</t>
  </si>
  <si>
    <t>5413149912212</t>
  </si>
  <si>
    <t>05413149267466</t>
  </si>
  <si>
    <t>HUGPW6</t>
  </si>
  <si>
    <t>DOVSHDM</t>
  </si>
  <si>
    <t>dove shampoo 250ml daily moisture</t>
  </si>
  <si>
    <t>8718114561660</t>
  </si>
  <si>
    <t>08712561858199</t>
  </si>
  <si>
    <t>IMPBSVP</t>
  </si>
  <si>
    <t>impulse body spray 75ml very pink</t>
  </si>
  <si>
    <t>JJB200</t>
  </si>
  <si>
    <t>j &amp; j buds 200's</t>
  </si>
  <si>
    <t>3574661440477</t>
  </si>
  <si>
    <t>03574661464923</t>
  </si>
  <si>
    <t>GILM3B4</t>
  </si>
  <si>
    <t>gillette mach 3 blades 4's</t>
  </si>
  <si>
    <t>7702018264230</t>
  </si>
  <si>
    <t>07702018264247</t>
  </si>
  <si>
    <t>MARIS</t>
  </si>
  <si>
    <t>5010232991484</t>
  </si>
  <si>
    <t>DOVESJAR</t>
  </si>
  <si>
    <t>dove silk jar 300ml</t>
  </si>
  <si>
    <t>40883007</t>
  </si>
  <si>
    <t>4000388170063</t>
  </si>
  <si>
    <t>PALMCSB40</t>
  </si>
  <si>
    <t xml:space="preserve">palmers shea butter lotion 400ml </t>
  </si>
  <si>
    <t>30010181151652</t>
  </si>
  <si>
    <t>TAMS20</t>
  </si>
  <si>
    <t>tampax super 20's</t>
  </si>
  <si>
    <t>4015400363002</t>
  </si>
  <si>
    <t>04015400438786</t>
  </si>
  <si>
    <t xml:space="preserve">5060128982720 </t>
  </si>
  <si>
    <t>15060128982727</t>
  </si>
  <si>
    <t xml:space="preserve">5060128982744 </t>
  </si>
  <si>
    <t>15060128982741</t>
  </si>
  <si>
    <t xml:space="preserve">5060128982737 </t>
  </si>
  <si>
    <t>15060128982611</t>
  </si>
  <si>
    <t xml:space="preserve">5060128982751 </t>
  </si>
  <si>
    <t>15060128982390</t>
  </si>
  <si>
    <t>CARLIPJC</t>
  </si>
  <si>
    <t>SURERBR</t>
  </si>
  <si>
    <t>COLCDCT</t>
  </si>
  <si>
    <t>colgate classic deep clean toothbrush</t>
  </si>
  <si>
    <t xml:space="preserve">8714789823775 </t>
  </si>
  <si>
    <t>8714789823782</t>
  </si>
  <si>
    <t>MARIL</t>
  </si>
  <si>
    <t>duo cloths 10's</t>
  </si>
  <si>
    <t>05010232037106</t>
  </si>
  <si>
    <t xml:space="preserve">5010232991460 </t>
  </si>
  <si>
    <t>05010232037120</t>
  </si>
  <si>
    <t>NEUTRASF</t>
  </si>
  <si>
    <t>5013912908185</t>
  </si>
  <si>
    <t>05013912908260</t>
  </si>
  <si>
    <t>NEUTRSP</t>
  </si>
  <si>
    <t>neutradol spray 300ml original</t>
  </si>
  <si>
    <t>neutradol spray 300ml fresh</t>
  </si>
  <si>
    <t>neutradol spray 300ml pink</t>
  </si>
  <si>
    <t>DUOCLOTH</t>
  </si>
  <si>
    <t>marigold kitchen rubber gloves small</t>
  </si>
  <si>
    <t>marigold kitchen rubber gloves medium</t>
  </si>
  <si>
    <t>marigold kitchen rubber gloves large</t>
  </si>
  <si>
    <t>15014697055931</t>
  </si>
  <si>
    <t xml:space="preserve">5011597002129  </t>
  </si>
  <si>
    <t>5011597012128</t>
  </si>
  <si>
    <t>PALMCOHCSB</t>
  </si>
  <si>
    <t>010181053351</t>
  </si>
  <si>
    <t>60010181053353</t>
  </si>
  <si>
    <t>PALMCHR</t>
  </si>
  <si>
    <t>palmers cococa butter heel repair 25g</t>
  </si>
  <si>
    <t>010181043925</t>
  </si>
  <si>
    <t>60010181043927</t>
  </si>
  <si>
    <t>PALMCOJ20</t>
  </si>
  <si>
    <t>palmers cocoa butter 200g jar</t>
  </si>
  <si>
    <t>palmers hand cream 60ml shea butter</t>
  </si>
  <si>
    <t>010181040085</t>
  </si>
  <si>
    <t>10010181040082</t>
  </si>
  <si>
    <t>PALMCSB</t>
  </si>
  <si>
    <t xml:space="preserve">palmers shea butter lotion 250ml </t>
  </si>
  <si>
    <t xml:space="preserve">010181051807 </t>
  </si>
  <si>
    <t>60010181051809</t>
  </si>
  <si>
    <t>BELOL200</t>
  </si>
  <si>
    <t>bells olive oil 200ml</t>
  </si>
  <si>
    <t>5017848249220</t>
  </si>
  <si>
    <t>05017848902538</t>
  </si>
  <si>
    <t>QUEBUD200</t>
  </si>
  <si>
    <t>pretty cotton buds 200's paper stem</t>
  </si>
  <si>
    <t>PRCBUD100</t>
  </si>
  <si>
    <t>pretty buds 100's bamboo stem</t>
  </si>
  <si>
    <t>5031413923698</t>
  </si>
  <si>
    <t>5031413923704</t>
  </si>
  <si>
    <t>5031413910902</t>
  </si>
  <si>
    <t>5031413910919</t>
  </si>
  <si>
    <t>IMPBST</t>
  </si>
  <si>
    <t>impulse body spray 75ml tease</t>
  </si>
  <si>
    <t xml:space="preserve">8717163020524 </t>
  </si>
  <si>
    <t>08717163020500</t>
  </si>
  <si>
    <t>IMPBSM</t>
  </si>
  <si>
    <t>impulse body spray 75ml musk</t>
  </si>
  <si>
    <t>8717163058015</t>
  </si>
  <si>
    <t>08717163057995</t>
  </si>
  <si>
    <t>DOVEHCAW</t>
  </si>
  <si>
    <t>dove hand cream 75ml awakening ritual green tea</t>
  </si>
  <si>
    <t>8710522386491</t>
  </si>
  <si>
    <t>08710522386576</t>
  </si>
  <si>
    <t>sensodyne 75ml gentle whitening</t>
  </si>
  <si>
    <t>05054563042125</t>
  </si>
  <si>
    <t>SENSGW</t>
  </si>
  <si>
    <t>5054563042118</t>
  </si>
  <si>
    <t>03086128385172</t>
  </si>
  <si>
    <t>3086123364226</t>
  </si>
  <si>
    <t>erasmic shave foam 250ml aloe</t>
  </si>
  <si>
    <t>COLMWCM</t>
  </si>
  <si>
    <t>COLTAT</t>
  </si>
  <si>
    <t>DOVL400E</t>
  </si>
  <si>
    <t xml:space="preserve">dove lotion 400ml essential </t>
  </si>
  <si>
    <t>010181041891</t>
  </si>
  <si>
    <t>palmers cocoa butter therapy oil 150ml original</t>
  </si>
  <si>
    <t>4000388563803</t>
  </si>
  <si>
    <t>08710908414701</t>
  </si>
  <si>
    <t>colgate triple action twin toothbrush</t>
  </si>
  <si>
    <t>08714789682631</t>
  </si>
  <si>
    <t>8714789682655</t>
  </si>
  <si>
    <t>COLW100</t>
  </si>
  <si>
    <t>6920354824845</t>
  </si>
  <si>
    <t>6281001101192</t>
  </si>
  <si>
    <t>TUSKR</t>
  </si>
  <si>
    <t>tusk body spray 150ml red</t>
  </si>
  <si>
    <t>5028748105400</t>
  </si>
  <si>
    <t>pretty moisturising lip balm twin pack original</t>
  </si>
  <si>
    <t xml:space="preserve">pretty moisturising lip balm twin pack coconut </t>
  </si>
  <si>
    <t xml:space="preserve">pretty moisturising lip balm twin pack aloe vera </t>
  </si>
  <si>
    <t>pretty moisturising lip balm twin pack strawberry</t>
  </si>
  <si>
    <t>PRETLBO</t>
  </si>
  <si>
    <t>PRETLBA</t>
  </si>
  <si>
    <t>PRETLBC</t>
  </si>
  <si>
    <t>PRETLBS</t>
  </si>
  <si>
    <t>CURACOC500</t>
  </si>
  <si>
    <t>curalene aqueous cocoa cream 500ml</t>
  </si>
  <si>
    <t>8908016224354</t>
  </si>
  <si>
    <t>5031413979930</t>
  </si>
  <si>
    <t>5031413979947</t>
  </si>
  <si>
    <t>5031413982312</t>
  </si>
  <si>
    <t>5031413982329</t>
  </si>
  <si>
    <t>5031413979961</t>
  </si>
  <si>
    <t>5031413979978</t>
  </si>
  <si>
    <t>5031413979909</t>
  </si>
  <si>
    <t>5031413979916</t>
  </si>
  <si>
    <t>E4550</t>
  </si>
  <si>
    <t>e45 cream tube 50g</t>
  </si>
  <si>
    <t>e45 moisturising lotion pump 500ml</t>
  </si>
  <si>
    <t>5054805038879</t>
  </si>
  <si>
    <t>05054805038893</t>
  </si>
  <si>
    <t>YARBS75BS</t>
  </si>
  <si>
    <t>yardley body spray 75ml bluebell &amp; sweetpea</t>
  </si>
  <si>
    <t>GILBIIF5</t>
  </si>
  <si>
    <t>3014260201753</t>
  </si>
  <si>
    <t>3014260211332</t>
  </si>
  <si>
    <t>5056179301597</t>
  </si>
  <si>
    <t>05056179351592</t>
  </si>
  <si>
    <t>4000388563209</t>
  </si>
  <si>
    <t>dove lotion 250ml essential care</t>
  </si>
  <si>
    <t>07702018382514</t>
  </si>
  <si>
    <t>AEDINO</t>
  </si>
  <si>
    <t>a &amp; e platers dinosaour &amp; pirates 20's</t>
  </si>
  <si>
    <t>15029115828103</t>
  </si>
  <si>
    <t>5029115828106</t>
  </si>
  <si>
    <t>NULONHCAO</t>
  </si>
  <si>
    <t>nulon hand cream 75ml argan oil</t>
  </si>
  <si>
    <t>5060128984113</t>
  </si>
  <si>
    <t>15060128984110</t>
  </si>
  <si>
    <t>NULONHCH</t>
  </si>
  <si>
    <t>nulon hand cream 75ml honey</t>
  </si>
  <si>
    <t>5060128984083</t>
  </si>
  <si>
    <t>NULONHC</t>
  </si>
  <si>
    <t>nulon q10 nourishing complex 75ml hand cream</t>
  </si>
  <si>
    <t>5060128980382</t>
  </si>
  <si>
    <t>15060128980389</t>
  </si>
  <si>
    <t>denim body spray 150ml raw passion</t>
  </si>
  <si>
    <t>denim body spray 150ml 1976</t>
  </si>
  <si>
    <t>denim body spray 150ml azure</t>
  </si>
  <si>
    <t>denim body spray 150ml desire</t>
  </si>
  <si>
    <t>DENBSR</t>
  </si>
  <si>
    <t>DENBSAZURE</t>
  </si>
  <si>
    <t>DENBS1976</t>
  </si>
  <si>
    <t>DENBSD</t>
  </si>
  <si>
    <t>NAIRBIK</t>
  </si>
  <si>
    <t xml:space="preserve">nair 100ml nair bikini and underarm cream </t>
  </si>
  <si>
    <t>5010724526378</t>
  </si>
  <si>
    <t>GILMACR1</t>
  </si>
  <si>
    <t>gillette mach 3 razor 1 up</t>
  </si>
  <si>
    <t>15060128984080</t>
  </si>
  <si>
    <t>7640142779230</t>
  </si>
  <si>
    <t>7640142779469</t>
  </si>
  <si>
    <t>7640142779445</t>
  </si>
  <si>
    <t>27640142779456</t>
  </si>
  <si>
    <t>27640142779470</t>
  </si>
  <si>
    <t>27640142779241</t>
  </si>
  <si>
    <t>3014260101626</t>
  </si>
  <si>
    <t>ORALBBLACK</t>
  </si>
  <si>
    <t>7640129895106</t>
  </si>
  <si>
    <t>oral b all rounder black toothbrush medium</t>
  </si>
  <si>
    <t>27640142778459</t>
  </si>
  <si>
    <t>GOT2BSSGU</t>
  </si>
  <si>
    <t xml:space="preserve">5012583206682 </t>
  </si>
  <si>
    <t>5017848253531</t>
  </si>
  <si>
    <t>05017848903467</t>
  </si>
  <si>
    <t>5017848249244</t>
  </si>
  <si>
    <t>05017848905478</t>
  </si>
  <si>
    <t>DOVL400I</t>
  </si>
  <si>
    <t>dove lotion 400ml intensive nourishment extra dry</t>
  </si>
  <si>
    <t>8711600453975</t>
  </si>
  <si>
    <t>08711600454071</t>
  </si>
  <si>
    <t>BATIB350</t>
  </si>
  <si>
    <t>5010724535967</t>
  </si>
  <si>
    <t>05010724835968</t>
  </si>
  <si>
    <t>5010724535936</t>
  </si>
  <si>
    <t>05010724835937</t>
  </si>
  <si>
    <t>NPR4</t>
  </si>
  <si>
    <t>nail polish remover 400ml</t>
  </si>
  <si>
    <t>5037741990449</t>
  </si>
  <si>
    <t>05037741990449</t>
  </si>
  <si>
    <t>NPRA</t>
  </si>
  <si>
    <t>nail polish remover acetone free 250ml</t>
  </si>
  <si>
    <t>5037741990456</t>
  </si>
  <si>
    <t>05037741990456</t>
  </si>
  <si>
    <t>E45125</t>
  </si>
  <si>
    <t>e45 cream 125g</t>
  </si>
  <si>
    <t>BATIC350</t>
  </si>
  <si>
    <t>DOVL400H</t>
  </si>
  <si>
    <t>4000388563902</t>
  </si>
  <si>
    <t>04000388563964</t>
  </si>
  <si>
    <t>dove lotion 400ml hydro light care with ceramide restoring serum</t>
  </si>
  <si>
    <t>RGS250C</t>
  </si>
  <si>
    <t>05012583500872</t>
  </si>
  <si>
    <t>NIVSHCM</t>
  </si>
  <si>
    <t>nivea shower cream 250ml cashmere &amp; cottonseed oil</t>
  </si>
  <si>
    <t>4005808130078</t>
  </si>
  <si>
    <t>4005808130092</t>
  </si>
  <si>
    <t>COLTWTB</t>
  </si>
  <si>
    <t>colgate twister toothbrush</t>
  </si>
  <si>
    <t>6001067024262</t>
  </si>
  <si>
    <t>6001067524267</t>
  </si>
  <si>
    <t>SENTBSS</t>
  </si>
  <si>
    <t xml:space="preserve">sensodyne toothbrush soft sensitive </t>
  </si>
  <si>
    <t>8901571010998</t>
  </si>
  <si>
    <t>POLIDENT</t>
  </si>
  <si>
    <t>poligrip flavour free 40g</t>
  </si>
  <si>
    <t>5000198136401</t>
  </si>
  <si>
    <t>05000198136418</t>
  </si>
  <si>
    <t xml:space="preserve">calpol infant suspension 100ml </t>
  </si>
  <si>
    <t>5010123722630</t>
  </si>
  <si>
    <t>CALIN</t>
  </si>
  <si>
    <t>head and shoulders 400ml classic clean</t>
  </si>
  <si>
    <t>head and shoulders 400ml smooth &amp; silky</t>
  </si>
  <si>
    <t>VASHAN75</t>
  </si>
  <si>
    <t>vaseline hand and nail 75ml</t>
  </si>
  <si>
    <t>VASLIPC</t>
  </si>
  <si>
    <t>vaseline lip therapy cocoa</t>
  </si>
  <si>
    <t>8006540811009</t>
  </si>
  <si>
    <t>8006540810996</t>
  </si>
  <si>
    <t>HAS400CC</t>
  </si>
  <si>
    <t>HAS400SS</t>
  </si>
  <si>
    <t>PANS500CO</t>
  </si>
  <si>
    <t>pantene shampoo 500ml colour protect</t>
  </si>
  <si>
    <t>GSFR</t>
  </si>
  <si>
    <t>gillette shave foam original 200ml</t>
  </si>
  <si>
    <t>7702018980925</t>
  </si>
  <si>
    <t>07702018980208</t>
  </si>
  <si>
    <t>GSFS</t>
  </si>
  <si>
    <t>gillette shave foam sensitive 200ml</t>
  </si>
  <si>
    <t>7702018980932</t>
  </si>
  <si>
    <t>07702018980222</t>
  </si>
  <si>
    <t>NIVSHC</t>
  </si>
  <si>
    <t xml:space="preserve">4005808795697 </t>
  </si>
  <si>
    <t>04005805006253</t>
  </si>
  <si>
    <t>PEARS</t>
  </si>
  <si>
    <t>5000228009194</t>
  </si>
  <si>
    <t>05000228999099</t>
  </si>
  <si>
    <t>IMPBSIC</t>
  </si>
  <si>
    <t>impulse body spray 75ml instant crush</t>
  </si>
  <si>
    <t>8710908678615</t>
  </si>
  <si>
    <t>08710908678639</t>
  </si>
  <si>
    <t>pretty moisturising lip balm twin pack blueberry</t>
  </si>
  <si>
    <t>pretty moisturising lip balm twin pack blackberry</t>
  </si>
  <si>
    <t>PRETLBB</t>
  </si>
  <si>
    <t>PRETLBBL</t>
  </si>
  <si>
    <t>pears soap orange 125g</t>
  </si>
  <si>
    <t>5031413935189</t>
  </si>
  <si>
    <t>5031413935196</t>
  </si>
  <si>
    <t>5031413935158</t>
  </si>
  <si>
    <t>5031413935165</t>
  </si>
  <si>
    <t>8712561485524</t>
  </si>
  <si>
    <t>08712561485197</t>
  </si>
  <si>
    <t>8720181079153</t>
  </si>
  <si>
    <t>lynx shower gel 225ml excite</t>
  </si>
  <si>
    <t>LYNXSGE</t>
  </si>
  <si>
    <t>ALWULP12</t>
  </si>
  <si>
    <t>CCEDW</t>
  </si>
  <si>
    <t>clean and clear exfoliating daily wash 150ml</t>
  </si>
  <si>
    <t>5000207007425</t>
  </si>
  <si>
    <t>16920354812528</t>
  </si>
  <si>
    <t>8718951288881</t>
  </si>
  <si>
    <t>08718951288874</t>
  </si>
  <si>
    <t>16920354824842</t>
  </si>
  <si>
    <t>8718951291010</t>
  </si>
  <si>
    <t>08718951291003</t>
  </si>
  <si>
    <t>06281001613886</t>
  </si>
  <si>
    <t>05000158407572</t>
  </si>
  <si>
    <t>04000388563261</t>
  </si>
  <si>
    <t>08710908777011</t>
  </si>
  <si>
    <t>07702018980178</t>
  </si>
  <si>
    <t>8711600323520</t>
  </si>
  <si>
    <t>08711600323544</t>
  </si>
  <si>
    <t>8006540988244</t>
  </si>
  <si>
    <t>8006540988251</t>
  </si>
  <si>
    <t>05010724826386</t>
  </si>
  <si>
    <t>03574660116885</t>
  </si>
  <si>
    <t>DOVECRNB</t>
  </si>
  <si>
    <t>18901571008848</t>
  </si>
  <si>
    <t>5011597302939</t>
  </si>
  <si>
    <t>5011597092939</t>
  </si>
  <si>
    <t>08720181079320</t>
  </si>
  <si>
    <t>05060120164940</t>
  </si>
  <si>
    <t>5011597011626</t>
  </si>
  <si>
    <t>VASESOE</t>
  </si>
  <si>
    <t>HALLSSOBLK</t>
  </si>
  <si>
    <t>5010455063142</t>
  </si>
  <si>
    <t>05010455064149</t>
  </si>
  <si>
    <t>WISXTC</t>
  </si>
  <si>
    <t>wisdom xtra clean toothbrush medium</t>
  </si>
  <si>
    <t>5028763005068</t>
  </si>
  <si>
    <t>8886467020094</t>
  </si>
  <si>
    <t>10859581006539</t>
  </si>
  <si>
    <t>8886467060861</t>
  </si>
  <si>
    <t>18886467060868</t>
  </si>
  <si>
    <t>05028763008175</t>
  </si>
  <si>
    <t>j &amp; j reach listerine toothbrush control medium</t>
  </si>
  <si>
    <t>JJTBCM</t>
  </si>
  <si>
    <t>38801051127219</t>
  </si>
  <si>
    <t>8801051127218</t>
  </si>
  <si>
    <t>PALMCOSS</t>
  </si>
  <si>
    <t>PALMCOFMC</t>
  </si>
  <si>
    <t>palmers cocoa butter formula foot magic cream 60g</t>
  </si>
  <si>
    <t>palmers cocoa butter formula foot magic scrub 60g</t>
  </si>
  <si>
    <t>PALMCOFMS</t>
  </si>
  <si>
    <t>HALLSMCH</t>
  </si>
  <si>
    <t>halls mentholyptus cherry sf</t>
  </si>
  <si>
    <t>50658053</t>
  </si>
  <si>
    <t>0501455037389</t>
  </si>
  <si>
    <t>HALLSMES</t>
  </si>
  <si>
    <t>50985098</t>
  </si>
  <si>
    <t>05034660016182</t>
  </si>
  <si>
    <t>HALLSOSF</t>
  </si>
  <si>
    <t>50696925</t>
  </si>
  <si>
    <t>05010455064378</t>
  </si>
  <si>
    <t>HALLSSHL</t>
  </si>
  <si>
    <t>halls soothers honey and lemon</t>
  </si>
  <si>
    <t>7622210412539</t>
  </si>
  <si>
    <t>07622210413260</t>
  </si>
  <si>
    <t>JJBOE500</t>
  </si>
  <si>
    <t>j &amp; j oil 500ml essential</t>
  </si>
  <si>
    <t>JJBO200</t>
  </si>
  <si>
    <t xml:space="preserve">j &amp; j oil 200ml </t>
  </si>
  <si>
    <t>3574661463834</t>
  </si>
  <si>
    <t>pretty cotton pleats 80g</t>
  </si>
  <si>
    <t>3574661724218</t>
  </si>
  <si>
    <t>NAIR150S</t>
  </si>
  <si>
    <t>nair 150ml cream sensitive</t>
  </si>
  <si>
    <t>010181043918</t>
  </si>
  <si>
    <t>60010181043910</t>
  </si>
  <si>
    <t>010181043932</t>
  </si>
  <si>
    <t>60010181043934</t>
  </si>
  <si>
    <t>01018158</t>
  </si>
  <si>
    <t>10010181042000</t>
  </si>
  <si>
    <t>5010724527986</t>
  </si>
  <si>
    <t>05010724827987</t>
  </si>
  <si>
    <t>3574661724249</t>
  </si>
  <si>
    <t>3574669909594</t>
  </si>
  <si>
    <t>vaseline soap 3 pack 75g total moisture soy &amp; oat</t>
  </si>
  <si>
    <t>VICKI</t>
  </si>
  <si>
    <t>vicks inhaler 5ml</t>
  </si>
  <si>
    <t>VASALO2</t>
  </si>
  <si>
    <t>vaseline aloe soothe 200ml</t>
  </si>
  <si>
    <t>8712561481663</t>
  </si>
  <si>
    <t>08712561481625</t>
  </si>
  <si>
    <t>RADBMS</t>
  </si>
  <si>
    <t>RADBREL</t>
  </si>
  <si>
    <t>RADBSR</t>
  </si>
  <si>
    <t>radox bath 500ml muscle soak</t>
  </si>
  <si>
    <t>radox bath 500ml relax</t>
  </si>
  <si>
    <t>radox bath 500ml stress relief</t>
  </si>
  <si>
    <t>GILM3B8</t>
  </si>
  <si>
    <t>gillette mach 3 blades 8's</t>
  </si>
  <si>
    <t>5000231050831</t>
  </si>
  <si>
    <t>05000231050848</t>
  </si>
  <si>
    <t>8710847950223</t>
  </si>
  <si>
    <t>08710847950322</t>
  </si>
  <si>
    <t>5000231050855</t>
  </si>
  <si>
    <t>7702018263783</t>
  </si>
  <si>
    <t>07702018263790</t>
  </si>
  <si>
    <t>AQU50MT</t>
  </si>
  <si>
    <t>aquafresh kids milk teeth 50ml</t>
  </si>
  <si>
    <t>5000347090967</t>
  </si>
  <si>
    <t>05000469090968</t>
  </si>
  <si>
    <t>AQU50LT</t>
  </si>
  <si>
    <t>aquafresh kids little teeth 50ml</t>
  </si>
  <si>
    <t xml:space="preserve">5000347090943 </t>
  </si>
  <si>
    <t>05000469090944</t>
  </si>
  <si>
    <t>AQU50BT</t>
  </si>
  <si>
    <t>aquafresh kids big teeth 50ml</t>
  </si>
  <si>
    <t xml:space="preserve">5000347090936 </t>
  </si>
  <si>
    <t>05000469090937</t>
  </si>
  <si>
    <t>JJBTTW500</t>
  </si>
  <si>
    <t xml:space="preserve">j &amp; j baby top to toe wash 500ml pump </t>
  </si>
  <si>
    <t>3574669909945</t>
  </si>
  <si>
    <t>3574661448763</t>
  </si>
  <si>
    <t>CIDALPUMP</t>
  </si>
  <si>
    <t>cidal pump soap 250ml grapefruit extract</t>
  </si>
  <si>
    <t>5054805042456</t>
  </si>
  <si>
    <t>05054805042463</t>
  </si>
  <si>
    <t>AST50PM</t>
  </si>
  <si>
    <t>astral cream 50ml</t>
  </si>
  <si>
    <t>AST200</t>
  </si>
  <si>
    <t>astral cream 200ml</t>
  </si>
  <si>
    <t>50007820</t>
  </si>
  <si>
    <t>5011784080701</t>
  </si>
  <si>
    <t>colgate double action toothbrush charcoal medium</t>
  </si>
  <si>
    <t>COLDACT</t>
  </si>
  <si>
    <t>8718951412057</t>
  </si>
  <si>
    <t>8718951412620</t>
  </si>
  <si>
    <t>NIVC150</t>
  </si>
  <si>
    <t>8006540616048</t>
  </si>
  <si>
    <t>08006540616055</t>
  </si>
  <si>
    <t>Product Description</t>
  </si>
  <si>
    <t>VASHAN2</t>
  </si>
  <si>
    <t xml:space="preserve">vaseline hand and nail 200ml </t>
  </si>
  <si>
    <t>8712561485548</t>
  </si>
  <si>
    <t>08712561485517</t>
  </si>
  <si>
    <t>astral cream 500ml</t>
  </si>
  <si>
    <t>AST500PM</t>
  </si>
  <si>
    <t>5011784080114</t>
  </si>
  <si>
    <t>DAXWG</t>
  </si>
  <si>
    <t>dax wave n groom red tin</t>
  </si>
  <si>
    <t>077315009042</t>
  </si>
  <si>
    <t>10077315009049</t>
  </si>
  <si>
    <t>ALWUNT10</t>
  </si>
  <si>
    <t>ALWUNP14</t>
  </si>
  <si>
    <t>VASCOC6</t>
  </si>
  <si>
    <t>VASESS600</t>
  </si>
  <si>
    <t>vaseline essential healing 600ml pump</t>
  </si>
  <si>
    <t>vaseline cocoa butter 600ml pump</t>
  </si>
  <si>
    <t>8901030841095</t>
  </si>
  <si>
    <t>8901030841101</t>
  </si>
  <si>
    <t>28901030841105</t>
  </si>
  <si>
    <t>28901030841099</t>
  </si>
  <si>
    <t>VASLIPRO</t>
  </si>
  <si>
    <t xml:space="preserve">vaseline lip therapy rosy   </t>
  </si>
  <si>
    <t>50064861</t>
  </si>
  <si>
    <t>VASCOC4</t>
  </si>
  <si>
    <t xml:space="preserve">vaseline cocoa radiant 400ml </t>
  </si>
  <si>
    <t>8712561483162</t>
  </si>
  <si>
    <t>palmers cocoa butter formula 400ml firm tones firming body lotion</t>
  </si>
  <si>
    <t>PALMCREN4</t>
  </si>
  <si>
    <t>palmers cocoa butter lotion 315ml firming butter</t>
  </si>
  <si>
    <t>PALMCFIRM4</t>
  </si>
  <si>
    <t xml:space="preserve">palmers cocoa butter formula 400ml exfoliating retexturing renew lotion  </t>
  </si>
  <si>
    <t>VASESS4</t>
  </si>
  <si>
    <t xml:space="preserve">vaseline essential healing 400ml </t>
  </si>
  <si>
    <t>8712561484398</t>
  </si>
  <si>
    <t>08720181351020</t>
  </si>
  <si>
    <t>0010181042645</t>
  </si>
  <si>
    <t>60010181042647</t>
  </si>
  <si>
    <t>0010181042966</t>
  </si>
  <si>
    <t>60010181042968</t>
  </si>
  <si>
    <t>HAS250IS</t>
  </si>
  <si>
    <t>head and shoulders 250ml itchy scalp</t>
  </si>
  <si>
    <t>5410076498758</t>
  </si>
  <si>
    <t>5410076498772</t>
  </si>
  <si>
    <t>BELALMO70</t>
  </si>
  <si>
    <t>bells almond oil 70ml</t>
  </si>
  <si>
    <t xml:space="preserve">5017848249237 </t>
  </si>
  <si>
    <t>05017848900329</t>
  </si>
  <si>
    <t>EYELASH</t>
  </si>
  <si>
    <t>eye lash curler</t>
  </si>
  <si>
    <t>5025903025924</t>
  </si>
  <si>
    <t>CLIPNAIL</t>
  </si>
  <si>
    <t>CLIPTOENAIL</t>
  </si>
  <si>
    <t>5025903025948</t>
  </si>
  <si>
    <t>5025903025931</t>
  </si>
  <si>
    <t>EMERYBOARD</t>
  </si>
  <si>
    <t>5025903025955</t>
  </si>
  <si>
    <t>TWEEZER</t>
  </si>
  <si>
    <t>tweezers slanted tip</t>
  </si>
  <si>
    <t>5025903025894</t>
  </si>
  <si>
    <t>SCISSORS</t>
  </si>
  <si>
    <t>nail scissors</t>
  </si>
  <si>
    <t>5025903026013</t>
  </si>
  <si>
    <t>05011784004295</t>
  </si>
  <si>
    <t xml:space="preserve">toe nail clippers </t>
  </si>
  <si>
    <t xml:space="preserve">nail clippers </t>
  </si>
  <si>
    <t xml:space="preserve">emeryboards 24's </t>
  </si>
  <si>
    <t>7350087736679</t>
  </si>
  <si>
    <t>17350087736676</t>
  </si>
  <si>
    <t>17350087736652</t>
  </si>
  <si>
    <t>NIVC4CB</t>
  </si>
  <si>
    <t xml:space="preserve">6001051000364 </t>
  </si>
  <si>
    <t>16001051000347</t>
  </si>
  <si>
    <t>SUDOC125</t>
  </si>
  <si>
    <t xml:space="preserve">5017007601289 </t>
  </si>
  <si>
    <t>05017007602019</t>
  </si>
  <si>
    <t>CCBHS</t>
  </si>
  <si>
    <t>clean and clear blackhead scrub 150ml</t>
  </si>
  <si>
    <t>3574660149807</t>
  </si>
  <si>
    <t>03574660162684</t>
  </si>
  <si>
    <t>COLMWT</t>
  </si>
  <si>
    <t>colgate max white toothbrush</t>
  </si>
  <si>
    <t>6001067025931</t>
  </si>
  <si>
    <t>6001067525936</t>
  </si>
  <si>
    <t>AVEENOML2</t>
  </si>
  <si>
    <t xml:space="preserve">aveeno daily moisturising lotion 200ml </t>
  </si>
  <si>
    <t>3574660123425</t>
  </si>
  <si>
    <t>03574660533620</t>
  </si>
  <si>
    <t>HAIRCLIP2</t>
  </si>
  <si>
    <t>HAIRTIEB</t>
  </si>
  <si>
    <t>HAIRTIEC</t>
  </si>
  <si>
    <t>5025903028574</t>
  </si>
  <si>
    <t>5025903028581</t>
  </si>
  <si>
    <t>5025903028680</t>
  </si>
  <si>
    <t>hair ties spiral black 4 pack</t>
  </si>
  <si>
    <t>hair ties spiral clear 4 pack</t>
  </si>
  <si>
    <t>hair clips 2 pack</t>
  </si>
  <si>
    <t>E45LP6</t>
  </si>
  <si>
    <t>7350087736617</t>
  </si>
  <si>
    <t>17350087736614</t>
  </si>
  <si>
    <t>pretty cotton roll 80g</t>
  </si>
  <si>
    <t>wrights coal tar soap 4 pack 100g</t>
  </si>
  <si>
    <t>NEUTDM4D</t>
  </si>
  <si>
    <t>neutrogena deep moisture body lotion pump 400ml dry</t>
  </si>
  <si>
    <t>NEUTDM4S</t>
  </si>
  <si>
    <t>neutrogena deep moisture body lotion pump 400ml sensitive</t>
  </si>
  <si>
    <t>3574661098937</t>
  </si>
  <si>
    <t>3574661098531</t>
  </si>
  <si>
    <t>LIST25TC</t>
  </si>
  <si>
    <t>listerine total care 250ml</t>
  </si>
  <si>
    <t xml:space="preserve">5010123730215 </t>
  </si>
  <si>
    <t xml:space="preserve">05010123821807 </t>
  </si>
  <si>
    <t>3574661586557</t>
  </si>
  <si>
    <t>3574661586762</t>
  </si>
  <si>
    <t>VASAR4</t>
  </si>
  <si>
    <t xml:space="preserve">vaseline advanced repair 400ml </t>
  </si>
  <si>
    <t>8712561480369</t>
  </si>
  <si>
    <t>nail brushes 20's</t>
  </si>
  <si>
    <t>NAILBRUS20</t>
  </si>
  <si>
    <t>5011597092144</t>
  </si>
  <si>
    <t>05011597533753</t>
  </si>
  <si>
    <t>5031413936803</t>
  </si>
  <si>
    <t>5031413936834</t>
  </si>
  <si>
    <t>5031413936841</t>
  </si>
  <si>
    <t>NIVSHMS</t>
  </si>
  <si>
    <t>nivea shower gel 250ml mens sensitive</t>
  </si>
  <si>
    <t>08780181351068</t>
  </si>
  <si>
    <t>4005808130573</t>
  </si>
  <si>
    <t>4005808130580</t>
  </si>
  <si>
    <t>DOVEHCC</t>
  </si>
  <si>
    <t>dove hand cream 75ml coconut and almond restoring ritual</t>
  </si>
  <si>
    <t>08710447275405</t>
  </si>
  <si>
    <t>tuskoud</t>
  </si>
  <si>
    <t>tusk body spray 150ml oud</t>
  </si>
  <si>
    <t>VASESS2</t>
  </si>
  <si>
    <t>vaseline essential moisture 200ml</t>
  </si>
  <si>
    <t>palmers cocoa butter moisurising lip balm</t>
  </si>
  <si>
    <t>5028748108333</t>
  </si>
  <si>
    <t>5028748108340</t>
  </si>
  <si>
    <t>10010181041706</t>
  </si>
  <si>
    <t>VASCOC2</t>
  </si>
  <si>
    <t>vaseline cocoa radiant butter 200ml</t>
  </si>
  <si>
    <t>8712561483094</t>
  </si>
  <si>
    <t>08712561483049</t>
  </si>
  <si>
    <t>NIVSHS</t>
  </si>
  <si>
    <t>nivea shower cream 250ml soft</t>
  </si>
  <si>
    <t>4005808123834</t>
  </si>
  <si>
    <t>4005808123841</t>
  </si>
  <si>
    <t>JJBSO300</t>
  </si>
  <si>
    <t>8712561479806</t>
  </si>
  <si>
    <t>08712561479790</t>
  </si>
  <si>
    <t>08720181351006</t>
  </si>
  <si>
    <t>JFMBMB</t>
  </si>
  <si>
    <t>just for men beard medium brown m35</t>
  </si>
  <si>
    <t>5010934002730</t>
  </si>
  <si>
    <t>05010934700759</t>
  </si>
  <si>
    <t>nivea deo 150ml men's cool kick</t>
  </si>
  <si>
    <t>4005808300259</t>
  </si>
  <si>
    <t>NIVDEOMC</t>
  </si>
  <si>
    <t>SIMPTWIN</t>
  </si>
  <si>
    <t xml:space="preserve">simple twin soap </t>
  </si>
  <si>
    <t>RADSGAC</t>
  </si>
  <si>
    <t>RADSGFM</t>
  </si>
  <si>
    <t>SUPERDC6</t>
  </si>
  <si>
    <t>superbright dish cloths 6's</t>
  </si>
  <si>
    <t>LIST500MM</t>
  </si>
  <si>
    <t>listerine mild n minty 500ml</t>
  </si>
  <si>
    <t>5013912909557</t>
  </si>
  <si>
    <t>05013912909540</t>
  </si>
  <si>
    <t>3574661684321</t>
  </si>
  <si>
    <t>03574661684451</t>
  </si>
  <si>
    <t>5011597093219</t>
  </si>
  <si>
    <t>5011597303219</t>
  </si>
  <si>
    <t>05011784080695</t>
  </si>
  <si>
    <t>05011784004271</t>
  </si>
  <si>
    <t>03574661143347</t>
  </si>
  <si>
    <t>05025970120522</t>
  </si>
  <si>
    <t>05000231050862</t>
  </si>
  <si>
    <t>05054805039357</t>
  </si>
  <si>
    <t>5054805039340</t>
  </si>
  <si>
    <t>CIDALTWI</t>
  </si>
  <si>
    <t>cidal soap twin pack 100g</t>
  </si>
  <si>
    <t>5054805039753</t>
  </si>
  <si>
    <t>05054805039760</t>
  </si>
  <si>
    <t>SIMPRFW</t>
  </si>
  <si>
    <t>simple refreshing facial wash gel 150ml</t>
  </si>
  <si>
    <t>5011451103863</t>
  </si>
  <si>
    <t>08720181258046</t>
  </si>
  <si>
    <t>RADBMT</t>
  </si>
  <si>
    <t>5000231070112</t>
  </si>
  <si>
    <t>05000231070129</t>
  </si>
  <si>
    <t>PALMBMH750</t>
  </si>
  <si>
    <t>palmolive bath 750ml milk &amp; honey</t>
  </si>
  <si>
    <t>8718951293748</t>
  </si>
  <si>
    <t>08718951293731</t>
  </si>
  <si>
    <t>05013826017904</t>
  </si>
  <si>
    <t>05012583508120</t>
  </si>
  <si>
    <t>03014260101633</t>
  </si>
  <si>
    <t>5031413936827</t>
  </si>
  <si>
    <t>5028748108289</t>
  </si>
  <si>
    <t>5028748108272</t>
  </si>
  <si>
    <t>05000158407633</t>
  </si>
  <si>
    <t>08001090617569</t>
  </si>
  <si>
    <t>18901030933889</t>
  </si>
  <si>
    <t>18901030933896</t>
  </si>
  <si>
    <t>18901030933902</t>
  </si>
  <si>
    <t>8714100597347</t>
  </si>
  <si>
    <t>08714100596203</t>
  </si>
  <si>
    <t>8718114642871</t>
  </si>
  <si>
    <t>08710447233924</t>
  </si>
  <si>
    <t>08710447233948</t>
  </si>
  <si>
    <t>08717163079065</t>
  </si>
  <si>
    <t>010181151651</t>
  </si>
  <si>
    <t>NIVBLE</t>
  </si>
  <si>
    <t>nivea lotion express hydration 250ml</t>
  </si>
  <si>
    <t>radox bath 500ml muscle therapy</t>
  </si>
  <si>
    <t>5010724526361</t>
  </si>
  <si>
    <t>5010724826385</t>
  </si>
  <si>
    <t>05010724826379</t>
  </si>
  <si>
    <t>4012273123009</t>
  </si>
  <si>
    <t>5028748108296</t>
  </si>
  <si>
    <t>5028748108265</t>
  </si>
  <si>
    <t>4005808113460</t>
  </si>
  <si>
    <t>04005805051185</t>
  </si>
  <si>
    <t>NIVSC200</t>
  </si>
  <si>
    <t>nivea soft 200ml</t>
  </si>
  <si>
    <t>lynx shower gel 225ml africa</t>
  </si>
  <si>
    <t>lynx shower gel 225ml black</t>
  </si>
  <si>
    <t>lynx shower gel 225ml gold</t>
  </si>
  <si>
    <t>LYNXSGA</t>
  </si>
  <si>
    <t>LYNXSGB</t>
  </si>
  <si>
    <t>LYNXSGG</t>
  </si>
  <si>
    <t>08720181079382</t>
  </si>
  <si>
    <t>8720181079184</t>
  </si>
  <si>
    <t>8720181079177</t>
  </si>
  <si>
    <t>08720181079368</t>
  </si>
  <si>
    <t>08720181079344</t>
  </si>
  <si>
    <t>8720181079160</t>
  </si>
  <si>
    <t>STERAAF</t>
  </si>
  <si>
    <t>steradent active fresh tablets 30s</t>
  </si>
  <si>
    <t>CURAC500</t>
  </si>
  <si>
    <t>curalene aqueous original 500ml</t>
  </si>
  <si>
    <t>PJ4PO</t>
  </si>
  <si>
    <t>PJ4PC</t>
  </si>
  <si>
    <t>8908016224132</t>
  </si>
  <si>
    <t>8908016224859</t>
  </si>
  <si>
    <t>8908016224866</t>
  </si>
  <si>
    <t>8908016224088</t>
  </si>
  <si>
    <t>8908016224187</t>
  </si>
  <si>
    <t>5011417566329</t>
  </si>
  <si>
    <t>JJBL500</t>
  </si>
  <si>
    <t xml:space="preserve">j &amp; j baby lotion 500ml </t>
  </si>
  <si>
    <t>3574669908108</t>
  </si>
  <si>
    <t>3574661448916</t>
  </si>
  <si>
    <t>PALMCSSEFCRB</t>
  </si>
  <si>
    <t>PALMCSSEFOJ</t>
  </si>
  <si>
    <t>PALMCSSADSNC</t>
  </si>
  <si>
    <t>palmers skin success fade milk bottle 250ml</t>
  </si>
  <si>
    <t>palmers skin success deep cleansing astringent bottle 250ml</t>
  </si>
  <si>
    <t>60010181075508</t>
  </si>
  <si>
    <t>10010181075558</t>
  </si>
  <si>
    <t>60010181076369</t>
  </si>
  <si>
    <t>10010181077064</t>
  </si>
  <si>
    <t>10010181080002</t>
  </si>
  <si>
    <t>PALMCFMBL</t>
  </si>
  <si>
    <t>PALMCSSDCA</t>
  </si>
  <si>
    <t>CYCLAXJS2</t>
  </si>
  <si>
    <t>cyclax just soap twin pack 100g</t>
  </si>
  <si>
    <t>5026445004460</t>
  </si>
  <si>
    <t>05026445004477</t>
  </si>
  <si>
    <t>palmers skin success anti dark spot night cream 75g</t>
  </si>
  <si>
    <t>palmers skin success anti dark spot cream oily skin 75g</t>
  </si>
  <si>
    <t>palmers skin success anti dark spot cream all skin types 75g</t>
  </si>
  <si>
    <t>HUMBCBV100</t>
  </si>
  <si>
    <t>humble bamboo cottonbuds 100's</t>
  </si>
  <si>
    <t>010181075506</t>
  </si>
  <si>
    <t>010181075551</t>
  </si>
  <si>
    <t>010181076367</t>
  </si>
  <si>
    <t>010181080005</t>
  </si>
  <si>
    <t>VASAR6</t>
  </si>
  <si>
    <t>vaseline advanced repair 600ml pump</t>
  </si>
  <si>
    <t>8901030841132</t>
  </si>
  <si>
    <t>28901030841136</t>
  </si>
  <si>
    <t>JJBO300</t>
  </si>
  <si>
    <t xml:space="preserve">j &amp; j oil 300ml </t>
  </si>
  <si>
    <t>3574669909143</t>
  </si>
  <si>
    <t>3574661463865</t>
  </si>
  <si>
    <t>HALLSDOP</t>
  </si>
  <si>
    <t>5034660508021</t>
  </si>
  <si>
    <t>05034660011842</t>
  </si>
  <si>
    <t>HALLSSOOST</t>
  </si>
  <si>
    <t>5034660508038</t>
  </si>
  <si>
    <t>05034660011859</t>
  </si>
  <si>
    <t>NIVC60</t>
  </si>
  <si>
    <t>LYNXSGJF</t>
  </si>
  <si>
    <t>lynx shower gel 225ml jungle fresh</t>
  </si>
  <si>
    <t>8720181442780</t>
  </si>
  <si>
    <t>08720181442797</t>
  </si>
  <si>
    <t>MUMROMI</t>
  </si>
  <si>
    <t>7350075692574</t>
  </si>
  <si>
    <t>17350075692571</t>
  </si>
  <si>
    <t>mum roll on men apline mist 45ml</t>
  </si>
  <si>
    <t>60085948</t>
  </si>
  <si>
    <t>6001022005275</t>
  </si>
  <si>
    <t>GIL2R5</t>
  </si>
  <si>
    <t>dove roll-on 50ml classic</t>
  </si>
  <si>
    <t>dove roll-on 50ml powder</t>
  </si>
  <si>
    <t>010181077067</t>
  </si>
  <si>
    <t>4005808166251</t>
  </si>
  <si>
    <t>42164104</t>
  </si>
  <si>
    <t>DOVEROCL</t>
  </si>
  <si>
    <t>DOVEROPO</t>
  </si>
  <si>
    <t>59095408</t>
  </si>
  <si>
    <t>IMPBSTL</t>
  </si>
  <si>
    <t>impulse body spray 75ml true love</t>
  </si>
  <si>
    <t>8717644367209</t>
  </si>
  <si>
    <t>08717644367513</t>
  </si>
  <si>
    <t>IMPBSBS</t>
  </si>
  <si>
    <t xml:space="preserve">impulse body spray 75ml be surprised </t>
  </si>
  <si>
    <t>8712561228985</t>
  </si>
  <si>
    <t>08712561229135</t>
  </si>
  <si>
    <t>IMPBSGL</t>
  </si>
  <si>
    <t>impulse body spray 75ml glamour</t>
  </si>
  <si>
    <t xml:space="preserve">8718114233000 </t>
  </si>
  <si>
    <t>08718114233017</t>
  </si>
  <si>
    <t>VASALO6</t>
  </si>
  <si>
    <t>8901030841118</t>
  </si>
  <si>
    <t>vaseline aloe soothe 600ml pump</t>
  </si>
  <si>
    <t>Layer Qty</t>
  </si>
  <si>
    <t>GSSGCC</t>
  </si>
  <si>
    <t>gillette series shave gel cleansing with charcoal 200ml</t>
  </si>
  <si>
    <t>7702018619696</t>
  </si>
  <si>
    <t>07702018619689</t>
  </si>
  <si>
    <t>palmers cocoa butter formula swivel stick moisturising dry lips</t>
  </si>
  <si>
    <t>CAREXSHM</t>
  </si>
  <si>
    <t>carex shower gel 500ml moisture</t>
  </si>
  <si>
    <t xml:space="preserve">5000101968211 </t>
  </si>
  <si>
    <t>05000101968228</t>
  </si>
  <si>
    <t>CAREXSHO</t>
  </si>
  <si>
    <t>carex shower gel 500ml original</t>
  </si>
  <si>
    <t xml:space="preserve">5000101968051 </t>
  </si>
  <si>
    <t>05000101968068</t>
  </si>
  <si>
    <t>CAREXSHSE</t>
  </si>
  <si>
    <t>5000101968136</t>
  </si>
  <si>
    <t>05000101968143</t>
  </si>
  <si>
    <t>carex bath 500ml sensitive</t>
  </si>
  <si>
    <t>CAREXSHLH</t>
  </si>
  <si>
    <t>05000101505720</t>
  </si>
  <si>
    <t>PALMSOAW</t>
  </si>
  <si>
    <t>palmolive soap 90g almond  4's</t>
  </si>
  <si>
    <t>8718951364394</t>
  </si>
  <si>
    <t>08718951364387</t>
  </si>
  <si>
    <t>CAREXSHP</t>
  </si>
  <si>
    <t>carex bath 500ml peony &amp;  blossom</t>
  </si>
  <si>
    <t>carex shower gel 500ml love hearts</t>
  </si>
  <si>
    <t>5000101505737</t>
  </si>
  <si>
    <t>5000101514265</t>
  </si>
  <si>
    <t>radox shower gel 225ml feel revived</t>
  </si>
  <si>
    <t>radox shower gel 225ml feel uplifted</t>
  </si>
  <si>
    <t>radox shower gel 225ml feel refreshed</t>
  </si>
  <si>
    <t>RADSGFREVI</t>
  </si>
  <si>
    <t>RADSGU</t>
  </si>
  <si>
    <t>RADSGM</t>
  </si>
  <si>
    <t>RADSGR</t>
  </si>
  <si>
    <t>8720181336058</t>
  </si>
  <si>
    <t>08720181336256</t>
  </si>
  <si>
    <t>8720181336133</t>
  </si>
  <si>
    <t>08720181336331</t>
  </si>
  <si>
    <t>8720181336126</t>
  </si>
  <si>
    <t>08720181336317</t>
  </si>
  <si>
    <t>8720181336157</t>
  </si>
  <si>
    <t>08720181336379</t>
  </si>
  <si>
    <t>DOVECBSB</t>
  </si>
  <si>
    <t>8717163762233</t>
  </si>
  <si>
    <t>08717163762981</t>
  </si>
  <si>
    <t>PALMCOFLHF0</t>
  </si>
  <si>
    <t>palmers coconut oil formula hydration facial oil 30ml</t>
  </si>
  <si>
    <t>010181032387</t>
  </si>
  <si>
    <t>60010181032389</t>
  </si>
  <si>
    <t>PALMCOFCB</t>
  </si>
  <si>
    <t xml:space="preserve">palmers coconut oil formula cleansing balm 64g </t>
  </si>
  <si>
    <t>010181032424</t>
  </si>
  <si>
    <t>60010181032426</t>
  </si>
  <si>
    <t>PALMCOWFM</t>
  </si>
  <si>
    <t xml:space="preserve">palmers coconut water facial moisturiser 50g </t>
  </si>
  <si>
    <t>010181032455</t>
  </si>
  <si>
    <t>60010181032457</t>
  </si>
  <si>
    <t>PALMCOSFS</t>
  </si>
  <si>
    <t>palmers coconut sugar facial scrub tube 90g</t>
  </si>
  <si>
    <t>010181035432</t>
  </si>
  <si>
    <t>60010181035434</t>
  </si>
  <si>
    <t>dove cream bath 450ml shea butter</t>
  </si>
  <si>
    <t>28901030841112</t>
  </si>
  <si>
    <t>GSGC</t>
  </si>
  <si>
    <t>gillette shave gel extra comfort mach 3 200ml</t>
  </si>
  <si>
    <t>7702018308309</t>
  </si>
  <si>
    <t>07702018308293</t>
  </si>
  <si>
    <t>05000101514258</t>
  </si>
  <si>
    <t>radox shower gel 225ml feel moisturised</t>
  </si>
  <si>
    <t>LIST500MPG</t>
  </si>
  <si>
    <t>listerine multi protect gum 500ml</t>
  </si>
  <si>
    <t>3574661684345</t>
  </si>
  <si>
    <t>3574661684499</t>
  </si>
  <si>
    <t>IMPS4ORIG</t>
  </si>
  <si>
    <t>6297000323060</t>
  </si>
  <si>
    <t>DOVL250W</t>
  </si>
  <si>
    <t xml:space="preserve">dove lotion 250ml winter care </t>
  </si>
  <si>
    <t>8720181022548</t>
  </si>
  <si>
    <t>08720181022586</t>
  </si>
  <si>
    <t>VASHBDB</t>
  </si>
  <si>
    <t>8901030841125</t>
  </si>
  <si>
    <t>DOVL400GR</t>
  </si>
  <si>
    <t xml:space="preserve">dove lotion 400ml glowing ritual </t>
  </si>
  <si>
    <t>8710908777769</t>
  </si>
  <si>
    <t>08710908862915</t>
  </si>
  <si>
    <t>vaseline healthy bright lotion 600ml pump pink</t>
  </si>
  <si>
    <t>colgate double action twin toothbrush</t>
  </si>
  <si>
    <t>COLDATBT</t>
  </si>
  <si>
    <t>6001067001485</t>
  </si>
  <si>
    <t>6001067501480</t>
  </si>
  <si>
    <t>DOVL250E</t>
  </si>
  <si>
    <t>dove lotion 250ml intensive nourishment extra dry</t>
  </si>
  <si>
    <t>8711700807258</t>
  </si>
  <si>
    <t>HAS2502I1</t>
  </si>
  <si>
    <t>head and shoulders 225ml classic clean 2 in 1 pm£2.99</t>
  </si>
  <si>
    <t>4005808925124</t>
  </si>
  <si>
    <t>4005808925148</t>
  </si>
  <si>
    <t>4084500663565</t>
  </si>
  <si>
    <t>4084500663572</t>
  </si>
  <si>
    <t>08710908116094</t>
  </si>
  <si>
    <t>28901030841129</t>
  </si>
  <si>
    <t>dove spray 150ml mens fresh</t>
  </si>
  <si>
    <t>DOVESPMF</t>
  </si>
  <si>
    <t>59095781</t>
  </si>
  <si>
    <t>08720181274350</t>
  </si>
  <si>
    <t>8720181533198</t>
  </si>
  <si>
    <t>08720181533211</t>
  </si>
  <si>
    <t>dove body wash 450ml fruity nourish</t>
  </si>
  <si>
    <t>DOVEBW45FN</t>
  </si>
  <si>
    <t>8720181468391</t>
  </si>
  <si>
    <t>PALMCOHBO25</t>
  </si>
  <si>
    <t>PALMCSBO25</t>
  </si>
  <si>
    <t>palmers coconut hydrate body oil 250ml</t>
  </si>
  <si>
    <t>palmers coconut oil foaming facial cleanser 150ml</t>
  </si>
  <si>
    <t>gillette bll fixed 5's carded</t>
  </si>
  <si>
    <t>PALMCOFCL</t>
  </si>
  <si>
    <t>NIVBL4R</t>
  </si>
  <si>
    <t>08720181469022</t>
  </si>
  <si>
    <t xml:space="preserve">010181032783 </t>
  </si>
  <si>
    <t>10010181032780</t>
  </si>
  <si>
    <t xml:space="preserve">010181051708 </t>
  </si>
  <si>
    <t>10010181051705</t>
  </si>
  <si>
    <t xml:space="preserve">010181032158 </t>
  </si>
  <si>
    <t>60010181032150</t>
  </si>
  <si>
    <t>TSPP</t>
  </si>
  <si>
    <t>truesmile propurple toothpaste &amp; brush</t>
  </si>
  <si>
    <t>5061015250977</t>
  </si>
  <si>
    <t>15061015250974</t>
  </si>
  <si>
    <t>radox shower gel 225ml for men 2 in 1 feel awake</t>
  </si>
  <si>
    <t>DOVECBI450</t>
  </si>
  <si>
    <t>dove cream bath 450ml indulging</t>
  </si>
  <si>
    <t>08717163762967</t>
  </si>
  <si>
    <t>8717163762226</t>
  </si>
  <si>
    <t>palmers shea raw nourishing body oil 250ml</t>
  </si>
  <si>
    <t>GILM3T4</t>
  </si>
  <si>
    <t>gillette mach 3 turbo blades 4's</t>
  </si>
  <si>
    <t>7702018263813</t>
  </si>
  <si>
    <t>DOVESO</t>
  </si>
  <si>
    <t>dove soap 4 pack original</t>
  </si>
  <si>
    <t>8720181218286</t>
  </si>
  <si>
    <t>08720181218422</t>
  </si>
  <si>
    <t>AQUAKSTRAW</t>
  </si>
  <si>
    <t>aquafresh kids splash strawberry 50ml 3-8 years</t>
  </si>
  <si>
    <t>5054563087546</t>
  </si>
  <si>
    <t>7350087736655</t>
  </si>
  <si>
    <t>BELLOR14</t>
  </si>
  <si>
    <t>bells loratadine allergy 10mg tablets 14's</t>
  </si>
  <si>
    <t>bells cetirizine allergy 10mg tablets 14's</t>
  </si>
  <si>
    <t>BELCET14</t>
  </si>
  <si>
    <t>BELIBUCAP16</t>
  </si>
  <si>
    <t>bells ibrprofen 200mg liquid capsules 16's</t>
  </si>
  <si>
    <t>SURERII</t>
  </si>
  <si>
    <t xml:space="preserve">87343052 </t>
  </si>
  <si>
    <t>08710447330180</t>
  </si>
  <si>
    <t>DOVECBA450</t>
  </si>
  <si>
    <t>8717163762202</t>
  </si>
  <si>
    <t>08717163762929</t>
  </si>
  <si>
    <t xml:space="preserve">5017848252428 </t>
  </si>
  <si>
    <t>05017848903597</t>
  </si>
  <si>
    <t xml:space="preserve">5017848252442 </t>
  </si>
  <si>
    <t>05017848406664</t>
  </si>
  <si>
    <t xml:space="preserve">5017848252367 </t>
  </si>
  <si>
    <t>05017848903184</t>
  </si>
  <si>
    <t>08001090426918</t>
  </si>
  <si>
    <t>dove cream bath 450ml soothing almond</t>
  </si>
  <si>
    <t>05054563087560</t>
  </si>
  <si>
    <t>imperial leather soap 190g classic original 6 pack large family bar</t>
  </si>
  <si>
    <t>IMPS190F</t>
  </si>
  <si>
    <t>8850169047024</t>
  </si>
  <si>
    <t>8006540822463</t>
  </si>
  <si>
    <t>08006540822456</t>
  </si>
  <si>
    <t>8006540822340</t>
  </si>
  <si>
    <t>08006540822333</t>
  </si>
  <si>
    <t>always ultra day &amp; night 10's</t>
  </si>
  <si>
    <t>8006540822647</t>
  </si>
  <si>
    <t>08006540822630</t>
  </si>
  <si>
    <t>always classic super 9's</t>
  </si>
  <si>
    <t>NIVAFTBS</t>
  </si>
  <si>
    <t>nivea aftershave balm 100ml sensitive</t>
  </si>
  <si>
    <t>5025970023281</t>
  </si>
  <si>
    <t>05025970112244</t>
  </si>
  <si>
    <t>5025970023274</t>
  </si>
  <si>
    <t>05025970112220</t>
  </si>
  <si>
    <t>NIVAFTBR</t>
  </si>
  <si>
    <t xml:space="preserve">nivea aftershave balm 100ml protect and care replenisishing  </t>
  </si>
  <si>
    <t>SENSCM</t>
  </si>
  <si>
    <t>sensodyne 75ml cool mint</t>
  </si>
  <si>
    <t>5054563216458</t>
  </si>
  <si>
    <t>DOVL250RR</t>
  </si>
  <si>
    <t>DOVL25IN</t>
  </si>
  <si>
    <t xml:space="preserve">dove lotion 250ml indulgent nourishment with shea butter </t>
  </si>
  <si>
    <t>8711700887922</t>
  </si>
  <si>
    <t>08710447328132</t>
  </si>
  <si>
    <t>IMPBWI</t>
  </si>
  <si>
    <t>imperial leather body wash 250ml invigorating pm£1.49</t>
  </si>
  <si>
    <t>5000101510991</t>
  </si>
  <si>
    <t>IMPS4GEN</t>
  </si>
  <si>
    <t>05000101510984</t>
  </si>
  <si>
    <t>BADEDASS</t>
  </si>
  <si>
    <t>badedas shower gel 200ml</t>
  </si>
  <si>
    <t>05000231072505</t>
  </si>
  <si>
    <t>SANROAF</t>
  </si>
  <si>
    <t>SANROHFF</t>
  </si>
  <si>
    <t>sanex roll-on 50ml active fresh</t>
  </si>
  <si>
    <t>sanex roll-on 50ml dermo hypoallergenic</t>
  </si>
  <si>
    <t>8718951564428</t>
  </si>
  <si>
    <t>8718951610927</t>
  </si>
  <si>
    <t>always ultra day long wings 12's</t>
  </si>
  <si>
    <t>always ultra day normal wings 14's</t>
  </si>
  <si>
    <t>5060128980566</t>
  </si>
  <si>
    <t>15060128980563</t>
  </si>
  <si>
    <t xml:space="preserve">0787211000295 </t>
  </si>
  <si>
    <t>08718951564411</t>
  </si>
  <si>
    <t>08718951610910</t>
  </si>
  <si>
    <t>COLZCT</t>
  </si>
  <si>
    <t>colgate zig zag charcoal toothbrush</t>
  </si>
  <si>
    <t>6001067157182</t>
  </si>
  <si>
    <t>6001067657187</t>
  </si>
  <si>
    <t xml:space="preserve">vicks sinex soother nasal spray 15ml </t>
  </si>
  <si>
    <t>5011321311664</t>
  </si>
  <si>
    <t>VICKNS</t>
  </si>
  <si>
    <t>JJBP200</t>
  </si>
  <si>
    <t>j &amp; j natural baby powder 200g</t>
  </si>
  <si>
    <t>3574661728131</t>
  </si>
  <si>
    <t>03574661728148</t>
  </si>
  <si>
    <t>MRMUSS</t>
  </si>
  <si>
    <t>mr muscle shower trigger 750ml</t>
  </si>
  <si>
    <t>WISSSK68</t>
  </si>
  <si>
    <t>wisdom kids step by step 6+ years toothbrush</t>
  </si>
  <si>
    <t>5028763009370</t>
  </si>
  <si>
    <t>05028763009387</t>
  </si>
  <si>
    <t>OLAYTEDFM</t>
  </si>
  <si>
    <t>5000174163049</t>
  </si>
  <si>
    <t>5000174163063</t>
  </si>
  <si>
    <t>LIST250CM</t>
  </si>
  <si>
    <t>listerine coolmint 250ml</t>
  </si>
  <si>
    <t>5010123703509</t>
  </si>
  <si>
    <t>03574880835283</t>
  </si>
  <si>
    <t>LIST250F</t>
  </si>
  <si>
    <t>listerine freshburst 250ml</t>
  </si>
  <si>
    <t>5010123703431</t>
  </si>
  <si>
    <t>03574660635348</t>
  </si>
  <si>
    <t>LUXSST</t>
  </si>
  <si>
    <t>lux soap 80g soft touch 3 pack</t>
  </si>
  <si>
    <t>8886467064357</t>
  </si>
  <si>
    <t>18886467064354</t>
  </si>
  <si>
    <t>LUXSVT</t>
  </si>
  <si>
    <t>lux soap 80g velvet touch 3 pack</t>
  </si>
  <si>
    <t>8886467064364</t>
  </si>
  <si>
    <t>18886467064361</t>
  </si>
  <si>
    <t>LUXSBI</t>
  </si>
  <si>
    <t>lux soap 80g bright impress 3 pack</t>
  </si>
  <si>
    <t>8886467064388</t>
  </si>
  <si>
    <t>18886467064385</t>
  </si>
  <si>
    <t>KMT100</t>
  </si>
  <si>
    <t>kleenex extra large tissues  new</t>
  </si>
  <si>
    <t>5029053570129</t>
  </si>
  <si>
    <t>5029054224021</t>
  </si>
  <si>
    <t>8710908778322</t>
  </si>
  <si>
    <t>5011321321052</t>
  </si>
  <si>
    <t>olay total effects 7in1 daily face moisturiser fragrance free 50ml</t>
  </si>
  <si>
    <t>5000204061345</t>
  </si>
  <si>
    <t>05000204061338</t>
  </si>
  <si>
    <t>LIST500L&amp;M</t>
  </si>
  <si>
    <t>listerine fresh lime &amp; mint 500ml</t>
  </si>
  <si>
    <t>3574661684307</t>
  </si>
  <si>
    <t>03574661684413</t>
  </si>
  <si>
    <t>08720181351044</t>
  </si>
  <si>
    <t>DOV25POM</t>
  </si>
  <si>
    <t>DOV25COC</t>
  </si>
  <si>
    <t>DOV25A</t>
  </si>
  <si>
    <t>mentadent 75ml toothpaste cavity protection</t>
  </si>
  <si>
    <t>mentadent 75ml toothpaste protect + freshen</t>
  </si>
  <si>
    <t>mentadent 75ml toothpaste protect + whitening</t>
  </si>
  <si>
    <t>8720181406645</t>
  </si>
  <si>
    <t>8720181406669</t>
  </si>
  <si>
    <t>8720181406652</t>
  </si>
  <si>
    <t>08720181406676</t>
  </si>
  <si>
    <t>08720181406713</t>
  </si>
  <si>
    <t>08720181406690</t>
  </si>
  <si>
    <t>MENT75PW</t>
  </si>
  <si>
    <t>MENT7FPF</t>
  </si>
  <si>
    <t>MENT75CP</t>
  </si>
  <si>
    <t>59095705</t>
  </si>
  <si>
    <t>08720181274039</t>
  </si>
  <si>
    <t>SURERMUF</t>
  </si>
  <si>
    <t>8908016224033</t>
  </si>
  <si>
    <t>8908016224057</t>
  </si>
  <si>
    <t>dove spray 250ml original not for sale in usa canada and gcc countries</t>
  </si>
  <si>
    <t>dove spray 250ml apple &amp; white tea not for sale in usa canada and gcc countries</t>
  </si>
  <si>
    <t>dove spray 250ml coconut &amp; jasmine not for sale in usa canada and gcc countries</t>
  </si>
  <si>
    <t>dove spray 250ml pomegranate not for sale in usa canada and gcc countries</t>
  </si>
  <si>
    <t>8717163997345</t>
  </si>
  <si>
    <t>08717163007426</t>
  </si>
  <si>
    <t>8717163714942</t>
  </si>
  <si>
    <t>08717163715178</t>
  </si>
  <si>
    <t>8711600786257</t>
  </si>
  <si>
    <t>08711600797185</t>
  </si>
  <si>
    <t>8717163676721</t>
  </si>
  <si>
    <t>08717163676813</t>
  </si>
  <si>
    <t>got2b styling glue ultra 150ml</t>
  </si>
  <si>
    <t>DOV25O</t>
  </si>
  <si>
    <t>OLDSPCAPT</t>
  </si>
  <si>
    <t>old spice deo stick 50ml captain</t>
  </si>
  <si>
    <t>8001090970497</t>
  </si>
  <si>
    <t>8001090970503</t>
  </si>
  <si>
    <t>OLDSPDEEP</t>
  </si>
  <si>
    <t>old spice deo stick 50ml deep sea</t>
  </si>
  <si>
    <t>8001841283944</t>
  </si>
  <si>
    <t>8001841283951</t>
  </si>
  <si>
    <t>OLDSPORIG</t>
  </si>
  <si>
    <t>old spice deo stick 50ml original</t>
  </si>
  <si>
    <t>5000174003451</t>
  </si>
  <si>
    <t>5000174003512</t>
  </si>
  <si>
    <t>BELEUC25</t>
  </si>
  <si>
    <t>bells eucalyptus oil 25g</t>
  </si>
  <si>
    <t>50612710</t>
  </si>
  <si>
    <t>05017848900923</t>
  </si>
  <si>
    <t>old spice deo stick 50ml night panther</t>
  </si>
  <si>
    <t>OLDSPNP</t>
  </si>
  <si>
    <t>8006540424186</t>
  </si>
  <si>
    <t>8006540424193</t>
  </si>
  <si>
    <t>PRETLBW</t>
  </si>
  <si>
    <t>pretty moisturising lip balm twin pack watermelon</t>
  </si>
  <si>
    <t>5031413935219</t>
  </si>
  <si>
    <t>5031413935226</t>
  </si>
  <si>
    <t>mr muscle oven cleaner 300ml</t>
  </si>
  <si>
    <t xml:space="preserve">5000204890938 </t>
  </si>
  <si>
    <t>HAS250DHC</t>
  </si>
  <si>
    <t>head and shoulders 250ml deep hydration coconut 250ml</t>
  </si>
  <si>
    <t>8001841413532</t>
  </si>
  <si>
    <t>08001841413549</t>
  </si>
  <si>
    <t>CLINOMYN</t>
  </si>
  <si>
    <t>clinomyn smokers toothpaste 75ml</t>
  </si>
  <si>
    <t>5011111073000</t>
  </si>
  <si>
    <t>17350068606653</t>
  </si>
  <si>
    <t>LYPSCHAL</t>
  </si>
  <si>
    <t>LYPSCOAL</t>
  </si>
  <si>
    <t>LYPSSTPO</t>
  </si>
  <si>
    <t>96097250</t>
  </si>
  <si>
    <t>96143889</t>
  </si>
  <si>
    <t>96097267</t>
  </si>
  <si>
    <t>AVEENOBML5</t>
  </si>
  <si>
    <t>aveeno moisturising lotion 500ml</t>
  </si>
  <si>
    <t>3574661604732</t>
  </si>
  <si>
    <t>5036631000763</t>
  </si>
  <si>
    <t>6036631000718</t>
  </si>
  <si>
    <t>5036631002637</t>
  </si>
  <si>
    <t>JJBL300</t>
  </si>
  <si>
    <t xml:space="preserve">j &amp; j baby lotion 300ml </t>
  </si>
  <si>
    <t>3574669908085</t>
  </si>
  <si>
    <t>3574661494425</t>
  </si>
  <si>
    <t>87189514312935</t>
  </si>
  <si>
    <t>sanex roll-on 50ml hydrate protect</t>
  </si>
  <si>
    <t>SANROHP</t>
  </si>
  <si>
    <t>18850169047021</t>
  </si>
  <si>
    <t>8718951431942</t>
  </si>
  <si>
    <t>RADBREV</t>
  </si>
  <si>
    <t>08720181586699</t>
  </si>
  <si>
    <t>radox bath 500ml revitalise</t>
  </si>
  <si>
    <t>IMPBWBS</t>
  </si>
  <si>
    <t>IMPBWCV</t>
  </si>
  <si>
    <t>IMPBWCE</t>
  </si>
  <si>
    <t>IMPBWFL</t>
  </si>
  <si>
    <t>IMPBWMR</t>
  </si>
  <si>
    <t>IMPBWMN</t>
  </si>
  <si>
    <t>IMPBWRF</t>
  </si>
  <si>
    <t>imperial leather body wash 250ml bergamot &amp; sea salt</t>
  </si>
  <si>
    <t>imperial leather body wash 250ml cotton &amp; vanilla</t>
  </si>
  <si>
    <t xml:space="preserve">imperial leather body wash 250ml cypress &amp; eucalyptus </t>
  </si>
  <si>
    <t>imperial leather body wash 250ml floral &amp; nectar</t>
  </si>
  <si>
    <t>imperial leather body wash 250ml mallow &amp; rose milk</t>
  </si>
  <si>
    <t>imperial leather body wash 250ml mandarin &amp; neroli</t>
  </si>
  <si>
    <t>imperial leather body wash 250ml rose &amp; frankincense</t>
  </si>
  <si>
    <t>5000101513930</t>
  </si>
  <si>
    <t>5000101513978</t>
  </si>
  <si>
    <t>5000101513954</t>
  </si>
  <si>
    <t>5000101513916</t>
  </si>
  <si>
    <t>5000101513992</t>
  </si>
  <si>
    <t>5000101514012</t>
  </si>
  <si>
    <t>5000101514487</t>
  </si>
  <si>
    <t>05000101513923</t>
  </si>
  <si>
    <t>05000101513961</t>
  </si>
  <si>
    <t>05000101513947</t>
  </si>
  <si>
    <t>05000101513909</t>
  </si>
  <si>
    <t>05000101513985</t>
  </si>
  <si>
    <t>05000101514005</t>
  </si>
  <si>
    <t>05000101514470</t>
  </si>
  <si>
    <t>LYPSMIXED</t>
  </si>
  <si>
    <t>5036631000770</t>
  </si>
  <si>
    <t>05036631001371</t>
  </si>
  <si>
    <t>right guard deo spray 250ml clean</t>
  </si>
  <si>
    <t>RGRWI</t>
  </si>
  <si>
    <t xml:space="preserve">right guard rollon womens invisible </t>
  </si>
  <si>
    <t>96138342</t>
  </si>
  <si>
    <t>8720181586682</t>
  </si>
  <si>
    <t>4987176077776</t>
  </si>
  <si>
    <t>80753939</t>
  </si>
  <si>
    <t>bells dry tickly cough 200ml</t>
  </si>
  <si>
    <t>bells cough linctus 200ml</t>
  </si>
  <si>
    <t>BELDTC</t>
  </si>
  <si>
    <t>BELSIMLIN2</t>
  </si>
  <si>
    <t>ORIGSCS</t>
  </si>
  <si>
    <t>ORIGSLT</t>
  </si>
  <si>
    <t>ORIGSMT</t>
  </si>
  <si>
    <t>ORIGSRR</t>
  </si>
  <si>
    <t>ORIGSSS</t>
  </si>
  <si>
    <t>ORIGSVR</t>
  </si>
  <si>
    <t>original source shower gel coconut &amp; shea butter 250ml</t>
  </si>
  <si>
    <t>original source shower gel lavender &amp; tea tree 250ml</t>
  </si>
  <si>
    <t>original source shower gel mint &amp; tea tree 250ml</t>
  </si>
  <si>
    <t>original source shower gel rhubarb &amp; raspberry 250ml</t>
  </si>
  <si>
    <t>original source shower gel sea salt &amp; samphire 250ml</t>
  </si>
  <si>
    <t>original source shower gel vanilla &amp; raspberry 250ml</t>
  </si>
  <si>
    <t>5017848251957</t>
  </si>
  <si>
    <t>05017848902583</t>
  </si>
  <si>
    <t>5017848250295</t>
  </si>
  <si>
    <t>05017848902088</t>
  </si>
  <si>
    <t>5000101100468</t>
  </si>
  <si>
    <t>05000101100444</t>
  </si>
  <si>
    <t>5000101077005</t>
  </si>
  <si>
    <t>05000101077067</t>
  </si>
  <si>
    <t>5000101508011</t>
  </si>
  <si>
    <t>05000101508004</t>
  </si>
  <si>
    <t>5000101500183</t>
  </si>
  <si>
    <t>05000101500176</t>
  </si>
  <si>
    <t>5000101504952</t>
  </si>
  <si>
    <t>05000101504945</t>
  </si>
  <si>
    <t>5000101845208</t>
  </si>
  <si>
    <t>05000101845253</t>
  </si>
  <si>
    <t>NIVBLIS</t>
  </si>
  <si>
    <t>nivea lotion irresistibly smooth 250ml</t>
  </si>
  <si>
    <t>4006000089584</t>
  </si>
  <si>
    <t>DOVECRMH</t>
  </si>
  <si>
    <t xml:space="preserve">8901030755392 </t>
  </si>
  <si>
    <t>DOVECRRN</t>
  </si>
  <si>
    <t>8886467020124</t>
  </si>
  <si>
    <t>CURAHT200</t>
  </si>
  <si>
    <t>curalene hair tonic 200ml</t>
  </si>
  <si>
    <t>oral b complete clean toothbrush medium</t>
  </si>
  <si>
    <t>ORALBCCTB</t>
  </si>
  <si>
    <t>05012583506348</t>
  </si>
  <si>
    <t>10859581006546</t>
  </si>
  <si>
    <t>03574661607467</t>
  </si>
  <si>
    <t>5017848255191</t>
  </si>
  <si>
    <t>05017848255191</t>
  </si>
  <si>
    <t>JJBP400</t>
  </si>
  <si>
    <t>j &amp; j natural baby powder 400g</t>
  </si>
  <si>
    <t>3574661728216</t>
  </si>
  <si>
    <t>03574661728223</t>
  </si>
  <si>
    <t>OUSTAFCS</t>
  </si>
  <si>
    <t>oust room spray 300ml clean scent</t>
  </si>
  <si>
    <t>5000204503494</t>
  </si>
  <si>
    <t>05000204882261</t>
  </si>
  <si>
    <t>PJ225</t>
  </si>
  <si>
    <t>8908016224019</t>
  </si>
  <si>
    <t>8908016224040</t>
  </si>
  <si>
    <t>PJ225A</t>
  </si>
  <si>
    <t xml:space="preserve">8908016224675 </t>
  </si>
  <si>
    <t>8908016224699</t>
  </si>
  <si>
    <t>pet jelly 4 pack 10ml cocoa butter curelene</t>
  </si>
  <si>
    <t>pet jelly 4 pack 10ml original curelene</t>
  </si>
  <si>
    <t>3014260113032</t>
  </si>
  <si>
    <t>8001090179319</t>
  </si>
  <si>
    <t>10859581006997</t>
  </si>
  <si>
    <t>petroleum jelly 225ml curelene original</t>
  </si>
  <si>
    <t>petroleum jelly 225ml curelene aloe vera</t>
  </si>
  <si>
    <t>4006000089591</t>
  </si>
  <si>
    <t>VASESOH</t>
  </si>
  <si>
    <t>vaseline soap 3 pack 75g bright vit b3</t>
  </si>
  <si>
    <t>8886467060854</t>
  </si>
  <si>
    <t>18886467060851</t>
  </si>
  <si>
    <t>lypsyl tube cherry &amp; almond spf15 carded</t>
  </si>
  <si>
    <t>lypsyl tube coconut &amp; almond spf15 carded</t>
  </si>
  <si>
    <t>lypsyl tube strawberry &amp; pomegranate spf15 carded</t>
  </si>
  <si>
    <t>lyspyl mixed hanging card spf15 (original, strawberry/pomegrante, cherry/almond)</t>
  </si>
  <si>
    <t xml:space="preserve">j &amp; j shampoo 300ml </t>
  </si>
  <si>
    <t>8908016224422</t>
  </si>
  <si>
    <t>8904442800674</t>
  </si>
  <si>
    <t>TSCC</t>
  </si>
  <si>
    <t>truesmile complete care toothpaste &amp; brush</t>
  </si>
  <si>
    <t>TSEC</t>
  </si>
  <si>
    <t>truesmile extreme clean toothpaste &amp; brush</t>
  </si>
  <si>
    <t>TSIF</t>
  </si>
  <si>
    <t>truesmile intense fresh toothpaste &amp; brush</t>
  </si>
  <si>
    <t>MLMOGH</t>
  </si>
  <si>
    <t>MLMOGL</t>
  </si>
  <si>
    <t>my little miracle baby oil gel lavender &amp; chamomile 200ml</t>
  </si>
  <si>
    <t>5061015252001</t>
  </si>
  <si>
    <t>5061015252018</t>
  </si>
  <si>
    <t>15061015252008</t>
  </si>
  <si>
    <t>15061015252015</t>
  </si>
  <si>
    <t>CHABSB</t>
  </si>
  <si>
    <t>charlie body spray 75ml black</t>
  </si>
  <si>
    <t>5000386296412</t>
  </si>
  <si>
    <t>05000386296429</t>
  </si>
  <si>
    <t>CHABSP</t>
  </si>
  <si>
    <t>charlie body spray 75ml pink</t>
  </si>
  <si>
    <t>5000386292872</t>
  </si>
  <si>
    <t>05000386292889</t>
  </si>
  <si>
    <t>CHABSR</t>
  </si>
  <si>
    <t>charlie body spray 75ml red</t>
  </si>
  <si>
    <t>5000386018366</t>
  </si>
  <si>
    <t>05000386113122</t>
  </si>
  <si>
    <t>bells children dry tickly cough 200ml</t>
  </si>
  <si>
    <t>TRESMASKCOC</t>
  </si>
  <si>
    <t>tresemme 440ml nourishing coconut hair mask</t>
  </si>
  <si>
    <t>8720181238031</t>
  </si>
  <si>
    <t>DOVEROMF</t>
  </si>
  <si>
    <t>dove roll-on 50ml men's fresh</t>
  </si>
  <si>
    <t>DOVEROSC</t>
  </si>
  <si>
    <t>dove roll-on 50ml summer care</t>
  </si>
  <si>
    <t>59098751</t>
  </si>
  <si>
    <t>SURERNSCD</t>
  </si>
  <si>
    <t>SURERNSUP</t>
  </si>
  <si>
    <t>sure roll-on 50ml non stop cotton dry</t>
  </si>
  <si>
    <t>59095743</t>
  </si>
  <si>
    <t>59095774</t>
  </si>
  <si>
    <t>SUDOC250</t>
  </si>
  <si>
    <t>SUDO400C</t>
  </si>
  <si>
    <t>5017007601302</t>
  </si>
  <si>
    <t>sudocrem 125g</t>
  </si>
  <si>
    <t>sudocrem 250g</t>
  </si>
  <si>
    <t>sudocrem 400g</t>
  </si>
  <si>
    <t>05017007601319</t>
  </si>
  <si>
    <t>BELKILKOF100</t>
  </si>
  <si>
    <t>bells kilkof cough 100ml</t>
  </si>
  <si>
    <t>PRETLBG</t>
  </si>
  <si>
    <t>pretty moisturising lip balm twin pack grape</t>
  </si>
  <si>
    <t>SENSPRO</t>
  </si>
  <si>
    <t>SENSPROW</t>
  </si>
  <si>
    <t>5000347022999</t>
  </si>
  <si>
    <t>05000469022990</t>
  </si>
  <si>
    <t>5000347034091</t>
  </si>
  <si>
    <t>05000469034092</t>
  </si>
  <si>
    <t>sensodyne 75ml pronamel whitening</t>
  </si>
  <si>
    <t>sensodyne 75ml pronamel daily</t>
  </si>
  <si>
    <t>3574669907873</t>
  </si>
  <si>
    <t>3574661443287</t>
  </si>
  <si>
    <t>CLEARURC</t>
  </si>
  <si>
    <t xml:space="preserve">clearasil ultra rapid cream 25ml </t>
  </si>
  <si>
    <t>5011417544846</t>
  </si>
  <si>
    <t>05011417761960</t>
  </si>
  <si>
    <t>CLEARURAP</t>
  </si>
  <si>
    <t xml:space="preserve">clearasil ultra rapid action pads 65’s </t>
  </si>
  <si>
    <t>PJ225COCOA</t>
  </si>
  <si>
    <t>petroleum jelly 225ml cocoa butter</t>
  </si>
  <si>
    <t xml:space="preserve">6909026224893 </t>
  </si>
  <si>
    <t>8908016224309</t>
  </si>
  <si>
    <t>PJ225B</t>
  </si>
  <si>
    <t>petroleum jelly 225ml baby</t>
  </si>
  <si>
    <t xml:space="preserve">4961510224286 </t>
  </si>
  <si>
    <t>8908016224316</t>
  </si>
  <si>
    <t>sure roll-on 50ml non stop uplifting watermelon fresh</t>
  </si>
  <si>
    <t>08720181274312</t>
  </si>
  <si>
    <t>YARBS75MG</t>
  </si>
  <si>
    <t>yardley body spray 75ml magnolia &amp; fig</t>
  </si>
  <si>
    <t>YARBS75BP</t>
  </si>
  <si>
    <t>yardley body spray 75ml blossom and peach</t>
  </si>
  <si>
    <t>5056179301528</t>
  </si>
  <si>
    <t>05056179351523</t>
  </si>
  <si>
    <t>5031413937503</t>
  </si>
  <si>
    <t>5031413937510</t>
  </si>
  <si>
    <t>05011417759165</t>
  </si>
  <si>
    <t>5000158100657</t>
  </si>
  <si>
    <t>VHT1</t>
  </si>
  <si>
    <t>vaseline hair tonic 100ml</t>
  </si>
  <si>
    <t>8901030556647</t>
  </si>
  <si>
    <t>18901030556644</t>
  </si>
  <si>
    <t>CARLIPPM</t>
  </si>
  <si>
    <t>0083078007133</t>
  </si>
  <si>
    <t>0083078007140</t>
  </si>
  <si>
    <t>YARBS75EL</t>
  </si>
  <si>
    <t>yardley body spray 75ml english lavender</t>
  </si>
  <si>
    <t>5060322952291</t>
  </si>
  <si>
    <t>05060322957296</t>
  </si>
  <si>
    <t>DOVECR250IN</t>
  </si>
  <si>
    <t>8886467049484</t>
  </si>
  <si>
    <t>DOVECR25N</t>
  </si>
  <si>
    <t>8886467016514</t>
  </si>
  <si>
    <t>BELKDTC</t>
  </si>
  <si>
    <t>CCBHC</t>
  </si>
  <si>
    <t>clean and clear blackhead cleanser 200ml</t>
  </si>
  <si>
    <t>3574660123906</t>
  </si>
  <si>
    <t>3574660123890</t>
  </si>
  <si>
    <t>NIVBLNC4</t>
  </si>
  <si>
    <t>nivea body lotion 400ml nourishing cocoa lotion</t>
  </si>
  <si>
    <t xml:space="preserve">6001051000036 </t>
  </si>
  <si>
    <t>16001051000033</t>
  </si>
  <si>
    <t>LUXSMS</t>
  </si>
  <si>
    <t>LUXSAS</t>
  </si>
  <si>
    <t>lux soap 80g magic spell 3 pack</t>
  </si>
  <si>
    <t>lux soap 80g aqua sparkle 3 pack</t>
  </si>
  <si>
    <t>ALCN8</t>
  </si>
  <si>
    <t>always classic night 8's</t>
  </si>
  <si>
    <t>ORIGSMA</t>
  </si>
  <si>
    <t xml:space="preserve">original source shower gel mango 250ml </t>
  </si>
  <si>
    <t>ORIGSZL</t>
  </si>
  <si>
    <t>original source shower gel zingy lime 250ml</t>
  </si>
  <si>
    <t>NIVDEOBW</t>
  </si>
  <si>
    <t>nivea deo 150ml black &amp; white invisible clear</t>
  </si>
  <si>
    <t>4005900036568</t>
  </si>
  <si>
    <t>05025970122465</t>
  </si>
  <si>
    <t>08720181239093</t>
  </si>
  <si>
    <t>5056179304574</t>
  </si>
  <si>
    <t>05056179354579</t>
  </si>
  <si>
    <t>5000101844997</t>
  </si>
  <si>
    <t>05000101844942</t>
  </si>
  <si>
    <t>5000101152672</t>
  </si>
  <si>
    <t>05000101152658</t>
  </si>
  <si>
    <t>8886467064371</t>
  </si>
  <si>
    <t>18886467064378</t>
  </si>
  <si>
    <t>8886467064340</t>
  </si>
  <si>
    <t>18886467064347</t>
  </si>
  <si>
    <t>NIVC4R</t>
  </si>
  <si>
    <t>4005808685844</t>
  </si>
  <si>
    <t>16001051000286</t>
  </si>
  <si>
    <t>20859581006765</t>
  </si>
  <si>
    <t>20859581006741</t>
  </si>
  <si>
    <t>dove cream 75ml beauty jar pink</t>
  </si>
  <si>
    <t>dove cream 75ml mens hydra jar grey</t>
  </si>
  <si>
    <t>dove cream 75ml rich nourishment jar blue</t>
  </si>
  <si>
    <t>dove cream 250ml rich nourishment jar blue</t>
  </si>
  <si>
    <t>dove cream 250ml nourishing jar pink</t>
  </si>
  <si>
    <t>dove cream 250ml mens hydra jar grey</t>
  </si>
  <si>
    <t>DOVECR25MH</t>
  </si>
  <si>
    <t>PJ225OUD</t>
  </si>
  <si>
    <t>petroleum jelly 225ml oud</t>
  </si>
  <si>
    <t>8886467049613</t>
  </si>
  <si>
    <t>28886467049617</t>
  </si>
  <si>
    <t>5061015250540</t>
  </si>
  <si>
    <t>15061015250547</t>
  </si>
  <si>
    <t>5061015250557</t>
  </si>
  <si>
    <t>15061015250554</t>
  </si>
  <si>
    <t>5061015250571</t>
  </si>
  <si>
    <t>15061015250578</t>
  </si>
  <si>
    <t>PALMBATHR</t>
  </si>
  <si>
    <t>LYNXSGEF</t>
  </si>
  <si>
    <t>lynx shower gel 225ml epic fresh</t>
  </si>
  <si>
    <t>8720181204067</t>
  </si>
  <si>
    <t>08720181204135</t>
  </si>
  <si>
    <t>SURE200IP</t>
  </si>
  <si>
    <t>sure spray 200ml invisible pure</t>
  </si>
  <si>
    <t>8720181334870</t>
  </si>
  <si>
    <t>08720181335280</t>
  </si>
  <si>
    <t>TRESMASKCR</t>
  </si>
  <si>
    <t>tresemme 440ml colour revitalise hair mask</t>
  </si>
  <si>
    <t>8720181238055</t>
  </si>
  <si>
    <t>08720181238130</t>
  </si>
  <si>
    <t>gillette shave foam sensitive 400ml</t>
  </si>
  <si>
    <t>GSF400S</t>
  </si>
  <si>
    <t>8700216497084</t>
  </si>
  <si>
    <t>8700216497077</t>
  </si>
  <si>
    <t>PLEDMSJ</t>
  </si>
  <si>
    <t>pledge 5 in 1 multi surface jasmine 250ml</t>
  </si>
  <si>
    <t xml:space="preserve">5000204689297 </t>
  </si>
  <si>
    <t>05000204689303</t>
  </si>
  <si>
    <t>DOVEBSP</t>
  </si>
  <si>
    <t>dove body scrub jar 225ml pomegrante</t>
  </si>
  <si>
    <t>8710447257265</t>
  </si>
  <si>
    <t>08710447257401</t>
  </si>
  <si>
    <t>LIST250SP</t>
  </si>
  <si>
    <t>listerine spearmint 250ml</t>
  </si>
  <si>
    <t>PAMPS56</t>
  </si>
  <si>
    <t>CCDAMC</t>
  </si>
  <si>
    <t>clean and clear dual action moisturising cream 100ml</t>
  </si>
  <si>
    <t>5000207007159</t>
  </si>
  <si>
    <t>05013826017348</t>
  </si>
  <si>
    <t>CCDAW</t>
  </si>
  <si>
    <t>clean and clear deep action cream wash 150ml oil free</t>
  </si>
  <si>
    <t>3574661245409</t>
  </si>
  <si>
    <t>03574661247144</t>
  </si>
  <si>
    <t xml:space="preserve">halls mentholyptus extra strong </t>
  </si>
  <si>
    <t>halls mentholyptus original sugar free</t>
  </si>
  <si>
    <t>halls soothers peach and raspberry</t>
  </si>
  <si>
    <t xml:space="preserve">halls soothers blackcurrant </t>
  </si>
  <si>
    <t xml:space="preserve">halls soothers strawberry </t>
  </si>
  <si>
    <t>DOV200MS</t>
  </si>
  <si>
    <t>dove spray 200ml mens sport</t>
  </si>
  <si>
    <t>8720181474217</t>
  </si>
  <si>
    <t>08720181474248</t>
  </si>
  <si>
    <t>3574661684284</t>
  </si>
  <si>
    <t>03574661684376</t>
  </si>
  <si>
    <t>5017007601326</t>
  </si>
  <si>
    <t>05017007602033</t>
  </si>
  <si>
    <t>8718951720879</t>
  </si>
  <si>
    <t>08718951720862</t>
  </si>
  <si>
    <t>COLDAT</t>
  </si>
  <si>
    <t>colgate double action toothbrush medium</t>
  </si>
  <si>
    <t>6001067007289</t>
  </si>
  <si>
    <t>6001067502005</t>
  </si>
  <si>
    <t>COL100</t>
  </si>
  <si>
    <t>6920354826191</t>
  </si>
  <si>
    <t>6920354837005</t>
  </si>
  <si>
    <t xml:space="preserve">dove shampoo 400ml daily moisture </t>
  </si>
  <si>
    <t>dove shampoo 400ml colour care</t>
  </si>
  <si>
    <t>8712561384841</t>
  </si>
  <si>
    <t>8712561488297</t>
  </si>
  <si>
    <t>DOV4SHC</t>
  </si>
  <si>
    <t>DOV4SHM</t>
  </si>
  <si>
    <t>08712561538411</t>
  </si>
  <si>
    <t>08710908015502</t>
  </si>
  <si>
    <t>FIXOPUB40</t>
  </si>
  <si>
    <t>8700216594981</t>
  </si>
  <si>
    <t>8700216594974</t>
  </si>
  <si>
    <t>FIXOUFF40</t>
  </si>
  <si>
    <t>8700216597005</t>
  </si>
  <si>
    <t>8700216596978</t>
  </si>
  <si>
    <t>FIXOCF47</t>
  </si>
  <si>
    <t>8700216596893</t>
  </si>
  <si>
    <t>8700216596916</t>
  </si>
  <si>
    <t>fixodent plus unbeatable bite 40g flavour free</t>
  </si>
  <si>
    <t>fixodent complete fresh strong hold fresh flavour 47g</t>
  </si>
  <si>
    <t>5017848249060</t>
  </si>
  <si>
    <t>05017848902682</t>
  </si>
  <si>
    <t>08720181274190</t>
  </si>
  <si>
    <t>8001841041360</t>
  </si>
  <si>
    <t>08001841041353</t>
  </si>
  <si>
    <t xml:space="preserve">pampers fresh clean wipes 52's </t>
  </si>
  <si>
    <t>fixodent ultimate 40g flavour free</t>
  </si>
  <si>
    <t>CARLIPCL</t>
  </si>
  <si>
    <t>0083078421144</t>
  </si>
  <si>
    <t>CARLIPJC12</t>
  </si>
  <si>
    <t>0083078012700</t>
  </si>
  <si>
    <t>0083078012717</t>
  </si>
  <si>
    <t>8720181466427</t>
  </si>
  <si>
    <t>08720181468155</t>
  </si>
  <si>
    <t>BELDIAR</t>
  </si>
  <si>
    <t>bells diarrhoea relief 2mg capsules 6's</t>
  </si>
  <si>
    <t>BELMS</t>
  </si>
  <si>
    <t>bells magnesium sulphate 50g</t>
  </si>
  <si>
    <t>50620814</t>
  </si>
  <si>
    <t>5017848254675</t>
  </si>
  <si>
    <t>05017848905355</t>
  </si>
  <si>
    <t>05017848900763</t>
  </si>
  <si>
    <t>VASOILCOCOA</t>
  </si>
  <si>
    <t xml:space="preserve">vaseline body oil 200ml cocoa radiant </t>
  </si>
  <si>
    <t>VASOILCREST</t>
  </si>
  <si>
    <t>JFMBRB</t>
  </si>
  <si>
    <t>just for men beard dark brown m45</t>
  </si>
  <si>
    <t>5010934002747</t>
  </si>
  <si>
    <t>05010934700766</t>
  </si>
  <si>
    <t>VASCALMH6</t>
  </si>
  <si>
    <t>vaseline calming healing 600ml pump</t>
  </si>
  <si>
    <t>305210043596</t>
  </si>
  <si>
    <t>8886467039997</t>
  </si>
  <si>
    <t>8886467042560</t>
  </si>
  <si>
    <t>18901030841139</t>
  </si>
  <si>
    <t>vaseline body oil 200ml coconut restore</t>
  </si>
  <si>
    <t>18886467042567</t>
  </si>
  <si>
    <t>18886467039994</t>
  </si>
  <si>
    <t>ADDISDUAL</t>
  </si>
  <si>
    <t>addis dual toothbrush now called wisdom</t>
  </si>
  <si>
    <t>5028763004467</t>
  </si>
  <si>
    <t>05028763004474</t>
  </si>
  <si>
    <t>jolen cream bleach 125ml mild</t>
  </si>
  <si>
    <t>AMPO</t>
  </si>
  <si>
    <t xml:space="preserve">amplex roll on ocean 50ml </t>
  </si>
  <si>
    <t>5026445002435</t>
  </si>
  <si>
    <t>05026445002442</t>
  </si>
  <si>
    <t xml:space="preserve">palmolive shower gel 500ml coconut </t>
  </si>
  <si>
    <t>8718951215689</t>
  </si>
  <si>
    <t xml:space="preserve">palmolive bubble bath 500ml pamper &amp; indulge </t>
  </si>
  <si>
    <t>8718951720916</t>
  </si>
  <si>
    <t>8718951720763</t>
  </si>
  <si>
    <t>PALMSH5CM</t>
  </si>
  <si>
    <t>PALMBATHN</t>
  </si>
  <si>
    <t>PALMBATHP</t>
  </si>
  <si>
    <t>aveeno skin relief lotion 300ml</t>
  </si>
  <si>
    <t>AVEENODMCO</t>
  </si>
  <si>
    <t>aveeno daily moisturising creamy oil body lotion moisturiser 300ml</t>
  </si>
  <si>
    <t>AVEENOML30P</t>
  </si>
  <si>
    <t>3574660541298</t>
  </si>
  <si>
    <t>3574660536737</t>
  </si>
  <si>
    <t>AVEENOC5</t>
  </si>
  <si>
    <t>aveeno cream 500ml pump</t>
  </si>
  <si>
    <t>3574661156392</t>
  </si>
  <si>
    <t>03574661183626</t>
  </si>
  <si>
    <t>08718951720756</t>
  </si>
  <si>
    <t>palmolive bubble bath 500 relax &amp; wind down</t>
  </si>
  <si>
    <t>08718951720909</t>
  </si>
  <si>
    <t>08718951215672</t>
  </si>
  <si>
    <t xml:space="preserve">kotex maxi nighttime 10’s </t>
  </si>
  <si>
    <t>KOTEXMN10</t>
  </si>
  <si>
    <t>5029053586090</t>
  </si>
  <si>
    <t>05029054253984</t>
  </si>
  <si>
    <t>KOTEXMS16</t>
  </si>
  <si>
    <t>kotex maxi super 16's</t>
  </si>
  <si>
    <t>KOTEXMN18</t>
  </si>
  <si>
    <t>kotex maxi normal 18's</t>
  </si>
  <si>
    <t>5029053500294</t>
  </si>
  <si>
    <t>05029054212288</t>
  </si>
  <si>
    <t>5029053500287</t>
  </si>
  <si>
    <t>05029054212301</t>
  </si>
  <si>
    <t>DUREXP3</t>
  </si>
  <si>
    <t>durex pleauremax 3's</t>
  </si>
  <si>
    <t>5038483234198</t>
  </si>
  <si>
    <t>03574660541304</t>
  </si>
  <si>
    <t>03574660696172</t>
  </si>
  <si>
    <t>palmolive bubble bath 500ml revive &amp; indulge</t>
  </si>
  <si>
    <t>carmex lip balm cherry pot (12 pack)</t>
  </si>
  <si>
    <t>05038483234204</t>
  </si>
  <si>
    <t>DOV25PEAR</t>
  </si>
  <si>
    <t>dove spray 250ml pear &amp; aloe not for sale in usa canada and gcc countries</t>
  </si>
  <si>
    <t>8710908559204</t>
  </si>
  <si>
    <t>08710908558863</t>
  </si>
  <si>
    <t>DOV25I</t>
  </si>
  <si>
    <t>dove spray 250ml invisible dry not for sale in usa canada and gcc countries</t>
  </si>
  <si>
    <t>COLJS</t>
  </si>
  <si>
    <t>6920354812859</t>
  </si>
  <si>
    <t>16920354880527</t>
  </si>
  <si>
    <t>BRSG5A</t>
  </si>
  <si>
    <t>brut shower gel 500ml attraction</t>
  </si>
  <si>
    <t xml:space="preserve">8886467049477 </t>
  </si>
  <si>
    <t>18886467049474</t>
  </si>
  <si>
    <t>BRSG5S</t>
  </si>
  <si>
    <t>brut shower gel 500ml sports style</t>
  </si>
  <si>
    <t>18886467049467</t>
  </si>
  <si>
    <t>PALMSOAP4</t>
  </si>
  <si>
    <t>palmolive soap 90g green moisture  4's</t>
  </si>
  <si>
    <t>PALMCBWC250</t>
  </si>
  <si>
    <t>palmers coconut brazilian whipped bum bust body cream 250ml</t>
  </si>
  <si>
    <t xml:space="preserve">palmers cocoa butter shimmer radiance body oil 150ml </t>
  </si>
  <si>
    <t>PALMCSRBO</t>
  </si>
  <si>
    <t>PALMCTV250</t>
  </si>
  <si>
    <t>PALMCTV400</t>
  </si>
  <si>
    <t>10010181041713</t>
  </si>
  <si>
    <t>10010181048187</t>
  </si>
  <si>
    <t>10010181042659</t>
  </si>
  <si>
    <t>'0010181032874</t>
  </si>
  <si>
    <t>0010181042652</t>
  </si>
  <si>
    <t>old spice deo stick 50ml whitewater</t>
  </si>
  <si>
    <t>OLDSPWHITE</t>
  </si>
  <si>
    <t>5000174003413</t>
  </si>
  <si>
    <t>5000174708257</t>
  </si>
  <si>
    <t>ORIGSLE</t>
  </si>
  <si>
    <t>original source shower gel lemon &amp; tea tree 2502ml</t>
  </si>
  <si>
    <t>IMPS100G</t>
  </si>
  <si>
    <t>imperial leather soap 90g gentle twin pack</t>
  </si>
  <si>
    <t>DEEPFR35</t>
  </si>
  <si>
    <t>deep freeze cold gel 35ml</t>
  </si>
  <si>
    <t xml:space="preserve">5011501016105 </t>
  </si>
  <si>
    <t>05011501016112</t>
  </si>
  <si>
    <t>DEEPFRP</t>
  </si>
  <si>
    <t>deep freeze pain relief gel 100g</t>
  </si>
  <si>
    <t xml:space="preserve">5011501016136 </t>
  </si>
  <si>
    <t>05011501016143</t>
  </si>
  <si>
    <t>DEEPHE67</t>
  </si>
  <si>
    <t>deep heat rub 67g</t>
  </si>
  <si>
    <t>5011501040094</t>
  </si>
  <si>
    <t>05011501003860</t>
  </si>
  <si>
    <t>5000101513862</t>
  </si>
  <si>
    <t>05000101513855</t>
  </si>
  <si>
    <t>SENSDCG</t>
  </si>
  <si>
    <t>sensodyne 75ml deep clean gel</t>
  </si>
  <si>
    <t>5054563014627</t>
  </si>
  <si>
    <t>05054563014634</t>
  </si>
  <si>
    <t>OLBASCH12</t>
  </si>
  <si>
    <t xml:space="preserve">olbas oil for children 12ml </t>
  </si>
  <si>
    <t>5000477673184</t>
  </si>
  <si>
    <t>05000477673108</t>
  </si>
  <si>
    <t>SIMPMFG</t>
  </si>
  <si>
    <t xml:space="preserve">simple micellar gel wash water boost 150ml </t>
  </si>
  <si>
    <t>8710908710773</t>
  </si>
  <si>
    <t>SIMPRAR</t>
  </si>
  <si>
    <t xml:space="preserve">simple age resisting facial wash  regeneration 150ml </t>
  </si>
  <si>
    <t>5011451104020</t>
  </si>
  <si>
    <t>8886467049460</t>
  </si>
  <si>
    <t>8717163997383</t>
  </si>
  <si>
    <t>IMPPSORIG</t>
  </si>
  <si>
    <t>IMPPSGEN</t>
  </si>
  <si>
    <t>imperial leather pump soap 300ml original</t>
  </si>
  <si>
    <t>imperial leather pump soap 300ml gentle</t>
  </si>
  <si>
    <t>5000101514661</t>
  </si>
  <si>
    <t>5000101514685</t>
  </si>
  <si>
    <t>05000101514678</t>
  </si>
  <si>
    <t>05000101514654</t>
  </si>
  <si>
    <t>08717163007761</t>
  </si>
  <si>
    <t>my little miracle baby oil gel honey &amp; vit e 200ml</t>
  </si>
  <si>
    <t>LIST250MM</t>
  </si>
  <si>
    <t>listerine mild n minty 250ml</t>
  </si>
  <si>
    <t xml:space="preserve">3574661684291 </t>
  </si>
  <si>
    <t>03574661684390</t>
  </si>
  <si>
    <t>JJBO300CT</t>
  </si>
  <si>
    <t>j &amp; j oil 300ml cotton touch</t>
  </si>
  <si>
    <t>3574669909891</t>
  </si>
  <si>
    <t>5000101845116</t>
  </si>
  <si>
    <t>05000101845178</t>
  </si>
  <si>
    <t>NIVC400</t>
  </si>
  <si>
    <t>6001051002054</t>
  </si>
  <si>
    <t>HAS250SR</t>
  </si>
  <si>
    <t>head and shoulders 250ml supreme repair</t>
  </si>
  <si>
    <t>8700216031257</t>
  </si>
  <si>
    <t>8700216031202</t>
  </si>
  <si>
    <t>NIVROLDI</t>
  </si>
  <si>
    <t>nivea roll on 50ml men's dry impact</t>
  </si>
  <si>
    <t>42299783</t>
  </si>
  <si>
    <t>04005805232119</t>
  </si>
  <si>
    <t>NIVBL4LAV</t>
  </si>
  <si>
    <t>NIVBL4E</t>
  </si>
  <si>
    <t>NIVBL4RPU</t>
  </si>
  <si>
    <t>nivea body lotion 400ml lavender</t>
  </si>
  <si>
    <t>4005900985293</t>
  </si>
  <si>
    <t>nivea body lotion 400ml express hydration pump</t>
  </si>
  <si>
    <t>4005900444554</t>
  </si>
  <si>
    <t>4005900440891</t>
  </si>
  <si>
    <t>NIVVISRFWG</t>
  </si>
  <si>
    <t>nivea refreshing face wash gel 150ml</t>
  </si>
  <si>
    <t>4005808668861</t>
  </si>
  <si>
    <t>04005805087276</t>
  </si>
  <si>
    <t>NIVSHE</t>
  </si>
  <si>
    <t>nivea shower gel 250ml mens energy</t>
  </si>
  <si>
    <t>4005808130115</t>
  </si>
  <si>
    <t>4005808130122</t>
  </si>
  <si>
    <t>DENBSB</t>
  </si>
  <si>
    <t>denim body spray 150ml black</t>
  </si>
  <si>
    <t>7640129895083</t>
  </si>
  <si>
    <t>27640129895452</t>
  </si>
  <si>
    <t>DENBSO</t>
  </si>
  <si>
    <t>denim body spray 150ml original</t>
  </si>
  <si>
    <t>7640129895069</t>
  </si>
  <si>
    <t>27640129895414</t>
  </si>
  <si>
    <t>DENBSM</t>
  </si>
  <si>
    <t>denim body spray 150ml musk</t>
  </si>
  <si>
    <t>7640129895076</t>
  </si>
  <si>
    <t>27640129895438</t>
  </si>
  <si>
    <t>0101810481800</t>
  </si>
  <si>
    <t>palmers tahitian vanilla 250ml cocoa butter lotion</t>
  </si>
  <si>
    <t>palmers tahitian vanilla 400ml cocoa butter lotion</t>
  </si>
  <si>
    <t>010181041716</t>
  </si>
  <si>
    <t>10010181032872</t>
  </si>
  <si>
    <t>VASCOC7</t>
  </si>
  <si>
    <t>vaseline cocoa butter 725ml pump</t>
  </si>
  <si>
    <t>8901030912986</t>
  </si>
  <si>
    <t>dove spray 150ml cucumber</t>
  </si>
  <si>
    <t>dove spray 150ml coconut &amp; jasmine</t>
  </si>
  <si>
    <t>dove spray 150ml apple &amp;white tea</t>
  </si>
  <si>
    <t>dove spray 150ml pear &amp; aloe</t>
  </si>
  <si>
    <t>DOVESPPA</t>
  </si>
  <si>
    <t>DOVESPP</t>
  </si>
  <si>
    <t>DOVESPRC</t>
  </si>
  <si>
    <t>DOVESPCJ</t>
  </si>
  <si>
    <t>DOVESPAW</t>
  </si>
  <si>
    <t>08720181258121</t>
  </si>
  <si>
    <t>08720181258022</t>
  </si>
  <si>
    <t>8710908559235</t>
  </si>
  <si>
    <t>08710908558986</t>
  </si>
  <si>
    <t>8717163714843</t>
  </si>
  <si>
    <t>08720181126208</t>
  </si>
  <si>
    <t>dove spray 150ml pomegranate</t>
  </si>
  <si>
    <t>8711600786226</t>
  </si>
  <si>
    <t>08720181126161</t>
  </si>
  <si>
    <t>8717163676714</t>
  </si>
  <si>
    <t>08720181126185</t>
  </si>
  <si>
    <t>8717163964965</t>
  </si>
  <si>
    <t>08720181126123</t>
  </si>
  <si>
    <t>8714789703015</t>
  </si>
  <si>
    <t>08714789702995</t>
  </si>
  <si>
    <t>3574661464800</t>
  </si>
  <si>
    <t>NIVD250MAE</t>
  </si>
  <si>
    <t>nivea deo 250ml mens active energy</t>
  </si>
  <si>
    <t>4005900852496</t>
  </si>
  <si>
    <t>04005805344423</t>
  </si>
  <si>
    <t>COLH100</t>
  </si>
  <si>
    <t>18901030912983</t>
  </si>
  <si>
    <t>6001067021452</t>
  </si>
  <si>
    <t>36001067521458</t>
  </si>
  <si>
    <t>18934839125513</t>
  </si>
  <si>
    <t>DOVEBWH</t>
  </si>
  <si>
    <t>8720181466434</t>
  </si>
  <si>
    <t>08720181468605</t>
  </si>
  <si>
    <t>DOVEBWVG</t>
  </si>
  <si>
    <t>dove body wash 225ml velvet glow</t>
  </si>
  <si>
    <t>8720181468537</t>
  </si>
  <si>
    <t>08720181469107</t>
  </si>
  <si>
    <t>DOVEBWFN</t>
  </si>
  <si>
    <t>dove body wash 225ml fruity nourish</t>
  </si>
  <si>
    <t>8720181468445</t>
  </si>
  <si>
    <t>08720181469084</t>
  </si>
  <si>
    <t>NEUTVCFWP</t>
  </si>
  <si>
    <t>neutrogena clear &amp; radiant face wash pink pump</t>
  </si>
  <si>
    <t>04005805413525</t>
  </si>
  <si>
    <t>4005808246014</t>
  </si>
  <si>
    <t>04005805003474</t>
  </si>
  <si>
    <t>JJB100</t>
  </si>
  <si>
    <t>j &amp; j buds 100's</t>
  </si>
  <si>
    <t>carmex lip balm classic pot (12 pack)</t>
  </si>
  <si>
    <t>NIVBLNDS</t>
  </si>
  <si>
    <t>PALMCO40EX</t>
  </si>
  <si>
    <t>0010181141652</t>
  </si>
  <si>
    <t>nivea lotion rich nourishing 250ml for dry skin</t>
  </si>
  <si>
    <t>DOVEROMCL</t>
  </si>
  <si>
    <t>dove roll-on 50ml men's classic</t>
  </si>
  <si>
    <t>59092643</t>
  </si>
  <si>
    <t>LIST500F</t>
  </si>
  <si>
    <t>listerine freshburst 500ml</t>
  </si>
  <si>
    <t>5010123703547</t>
  </si>
  <si>
    <t>3574661626857</t>
  </si>
  <si>
    <t>3574661626864</t>
  </si>
  <si>
    <t>tampax super plus 20's</t>
  </si>
  <si>
    <t>CALINSF</t>
  </si>
  <si>
    <t>calpol infant suspension 100ml sugar free</t>
  </si>
  <si>
    <t>5010123722708</t>
  </si>
  <si>
    <t>03574661143330</t>
  </si>
  <si>
    <t>CALSPSF</t>
  </si>
  <si>
    <t xml:space="preserve">calpol six plus suspension sugar free 80ml </t>
  </si>
  <si>
    <t>3574660435221</t>
  </si>
  <si>
    <t>03574661075792</t>
  </si>
  <si>
    <t>DOVEROFR</t>
  </si>
  <si>
    <t>dove roll-on 50ml fresh</t>
  </si>
  <si>
    <t>08720181272288</t>
  </si>
  <si>
    <t>radox shower gel 225ml feel active</t>
  </si>
  <si>
    <t>8720181336096</t>
  </si>
  <si>
    <t>08720181336294</t>
  </si>
  <si>
    <t>50010181141657</t>
  </si>
  <si>
    <t>8720181336034</t>
  </si>
  <si>
    <t>08720181336218</t>
  </si>
  <si>
    <t>08720181267086</t>
  </si>
  <si>
    <t>16001051001771</t>
  </si>
  <si>
    <t>NIVVISRCT</t>
  </si>
  <si>
    <t>nivea refreshing 2 in 1 cleanser and toner 200ml</t>
  </si>
  <si>
    <t>4005808183029</t>
  </si>
  <si>
    <t>05025970504629</t>
  </si>
  <si>
    <t>GOT2BBFS</t>
  </si>
  <si>
    <t>got2b blasting freeze spray 300ml</t>
  </si>
  <si>
    <t>5012583105091</t>
  </si>
  <si>
    <t>05012583502135</t>
  </si>
  <si>
    <t>LYNXSGSF</t>
  </si>
  <si>
    <t>lynx shower gel 225ml sunset fresh</t>
  </si>
  <si>
    <t>8720181605666</t>
  </si>
  <si>
    <t>08720181605697</t>
  </si>
  <si>
    <t>BIC10S</t>
  </si>
  <si>
    <t>bic 1 10's sensitive</t>
  </si>
  <si>
    <t>3086125705119</t>
  </si>
  <si>
    <t>03086128385233</t>
  </si>
  <si>
    <t>04005805220369</t>
  </si>
  <si>
    <t>LYNXSGDT</t>
  </si>
  <si>
    <t>lynx shower gel 225ml dark temptation</t>
  </si>
  <si>
    <t>8720181079139</t>
  </si>
  <si>
    <t>08720181079283</t>
  </si>
  <si>
    <t>LYNXSGIC</t>
  </si>
  <si>
    <t>lynx shower gel 225ml ice chill</t>
  </si>
  <si>
    <t>8720181079245</t>
  </si>
  <si>
    <t>08720181079504</t>
  </si>
  <si>
    <t>0083078400118</t>
  </si>
  <si>
    <t>0083078411213</t>
  </si>
  <si>
    <t>0083078400057</t>
  </si>
  <si>
    <t>SURERQ</t>
  </si>
  <si>
    <t>SURERIA</t>
  </si>
  <si>
    <t>sure roll-on 50ml womens bright bouquet</t>
  </si>
  <si>
    <t>MILKMAG</t>
  </si>
  <si>
    <t>milk of magnesia 200ml</t>
  </si>
  <si>
    <t>5012616291791</t>
  </si>
  <si>
    <t>05012616113949</t>
  </si>
  <si>
    <t>sure roll-on 50ml womens non stop invisible aqua</t>
  </si>
  <si>
    <t>59095750</t>
  </si>
  <si>
    <t>08720181274237</t>
  </si>
  <si>
    <t>59095699</t>
  </si>
  <si>
    <t>08720181275111</t>
  </si>
  <si>
    <t>sure roll-on 50ml womens non stop pure fresh</t>
  </si>
  <si>
    <t>59095767</t>
  </si>
  <si>
    <t>08720181274275</t>
  </si>
  <si>
    <t>SURERNSPF</t>
  </si>
  <si>
    <t>sure roll-on 50ml mens non stop ultra fresh</t>
  </si>
  <si>
    <t>SURERNSBB</t>
  </si>
  <si>
    <t>59095736</t>
  </si>
  <si>
    <t>08720181274152</t>
  </si>
  <si>
    <t>TOUCHSS</t>
  </si>
  <si>
    <t>touch of silver colour care shampoo 200ml</t>
  </si>
  <si>
    <t xml:space="preserve">5012008721004 </t>
  </si>
  <si>
    <t>05012008721011</t>
  </si>
  <si>
    <t>TOUCHSC</t>
  </si>
  <si>
    <t>touch of silver colour care 200ml conditioner</t>
  </si>
  <si>
    <t>5012008721202</t>
  </si>
  <si>
    <t>05012008721219</t>
  </si>
  <si>
    <t>TOUIC</t>
  </si>
  <si>
    <t>touch of silver intensive conditioner 150ml</t>
  </si>
  <si>
    <t>5012008721103</t>
  </si>
  <si>
    <t>05012008721110</t>
  </si>
  <si>
    <t>0083078911171</t>
  </si>
  <si>
    <t>0083078005580</t>
  </si>
  <si>
    <t>CARLIPCLST</t>
  </si>
  <si>
    <t>CARLIPW</t>
  </si>
  <si>
    <t>0083078018139</t>
  </si>
  <si>
    <t>0083078018146</t>
  </si>
  <si>
    <t>SURESCP</t>
  </si>
  <si>
    <t>sure spray 150ml invisible pure</t>
  </si>
  <si>
    <t>8712561880176</t>
  </si>
  <si>
    <t>08712561879989</t>
  </si>
  <si>
    <t>SURESQ</t>
  </si>
  <si>
    <t>sure spray 150ml quantum</t>
  </si>
  <si>
    <t>04005805219677</t>
  </si>
  <si>
    <t>08717644300435</t>
  </si>
  <si>
    <t>8717644300428</t>
  </si>
  <si>
    <t>huggies wipes 48's natural</t>
  </si>
  <si>
    <t>sure roll-on 50ml mens non stop quantum dry</t>
  </si>
  <si>
    <t>sure roll-on 50ml men's invisible ice fresh</t>
  </si>
  <si>
    <t>sure roll-on 50ml non stop bright bouquet</t>
  </si>
  <si>
    <t>5029053584447</t>
  </si>
  <si>
    <t>05029054253434</t>
  </si>
  <si>
    <t>BRUTGIFT</t>
  </si>
  <si>
    <t>brut gift set original 200ml deo spray &amp; 100ml aftershave</t>
  </si>
  <si>
    <t>8710522646854</t>
  </si>
  <si>
    <t>PLAX250C</t>
  </si>
  <si>
    <t>plax mouthwash 250ml coolmint</t>
  </si>
  <si>
    <t>8714789726137</t>
  </si>
  <si>
    <t>08714789726113</t>
  </si>
  <si>
    <t>08710522646861</t>
  </si>
  <si>
    <t>palmers skin success extra strength cream 75g</t>
  </si>
  <si>
    <t>PALMCSSESC75</t>
  </si>
  <si>
    <t>010181072307</t>
  </si>
  <si>
    <t>HENARAALOE</t>
  </si>
  <si>
    <t>henna classic aloe vera 480ml</t>
  </si>
  <si>
    <t>ORIGSCA</t>
  </si>
  <si>
    <t>ORIGSLC</t>
  </si>
  <si>
    <t>CAREXPO</t>
  </si>
  <si>
    <t>carex pump soap 250ml original</t>
  </si>
  <si>
    <t>PALMCOTOFR</t>
  </si>
  <si>
    <t>palmers cocoa butter therapy oil face 30ml rose</t>
  </si>
  <si>
    <t>010181041730</t>
  </si>
  <si>
    <t>SANSGMAF</t>
  </si>
  <si>
    <t>sanex shower gel mens 400ml active fresh</t>
  </si>
  <si>
    <t>SAND2DI</t>
  </si>
  <si>
    <t>sanex deo 200ml dermo invisible pm2.49</t>
  </si>
  <si>
    <t>sanex deo 200ml dermo sensitive pm2.49</t>
  </si>
  <si>
    <t>SAND2DS</t>
  </si>
  <si>
    <t>huggies wipes 48's pure</t>
  </si>
  <si>
    <t>LIST500SPEAR</t>
  </si>
  <si>
    <t>listerine spearmint 500ml</t>
  </si>
  <si>
    <t>3574661684314</t>
  </si>
  <si>
    <t>03574661684437</t>
  </si>
  <si>
    <t>NIVC200</t>
  </si>
  <si>
    <t>5025970801322</t>
  </si>
  <si>
    <t>05025970100074</t>
  </si>
  <si>
    <t>8718951592889</t>
  </si>
  <si>
    <t>08718951592872</t>
  </si>
  <si>
    <t>05056267005376</t>
  </si>
  <si>
    <t>05056267005390</t>
  </si>
  <si>
    <t>5056267005406</t>
  </si>
  <si>
    <t xml:space="preserve">5000101189333 </t>
  </si>
  <si>
    <t>05000101189340</t>
  </si>
  <si>
    <t xml:space="preserve">5000101189760 </t>
  </si>
  <si>
    <t>05000101189753</t>
  </si>
  <si>
    <t>palmers cocoa butter lotion 400ml + 25% bonus (500ml) pump</t>
  </si>
  <si>
    <t>60010181072309</t>
  </si>
  <si>
    <t xml:space="preserve">5026445001179 </t>
  </si>
  <si>
    <t>05000444104321</t>
  </si>
  <si>
    <t>VICKRUB100</t>
  </si>
  <si>
    <t>vicks vaporub 100g</t>
  </si>
  <si>
    <t>5000174929591</t>
  </si>
  <si>
    <t>05011321365896</t>
  </si>
  <si>
    <t>DOVEKLSM</t>
  </si>
  <si>
    <t>DOVEKHRM</t>
  </si>
  <si>
    <t>DOVEKHSM</t>
  </si>
  <si>
    <t>DOVEK4HC</t>
  </si>
  <si>
    <t>DOVEK4SS</t>
  </si>
  <si>
    <t>DOVEK4HS</t>
  </si>
  <si>
    <t>dove baby head to toe wash rich moisture 200ml</t>
  </si>
  <si>
    <t>dove baby head to toe wash sensitive moisture fragrance200ml</t>
  </si>
  <si>
    <t>dove baby lotion 200ml sensitive fragrance free moisture</t>
  </si>
  <si>
    <t>dove baby head to toe wash 400ml calming</t>
  </si>
  <si>
    <t>dove baby shampoo rich moisture 400ml</t>
  </si>
  <si>
    <t>dove baby head to toe body wash 400ml sensitive fragrance free</t>
  </si>
  <si>
    <t>8710908657535</t>
  </si>
  <si>
    <t>08710908656200</t>
  </si>
  <si>
    <t>8710908657979</t>
  </si>
  <si>
    <t>08710908656293</t>
  </si>
  <si>
    <t>8710908658006</t>
  </si>
  <si>
    <t>5900998000332</t>
  </si>
  <si>
    <t>05900998056025</t>
  </si>
  <si>
    <t>08710908656316</t>
  </si>
  <si>
    <t xml:space="preserve">8717163858226 </t>
  </si>
  <si>
    <t>08717163858257</t>
  </si>
  <si>
    <t>60010181741732</t>
  </si>
  <si>
    <t>SIMPRRM</t>
  </si>
  <si>
    <t>simple replenish rich moisturiser 125ml</t>
  </si>
  <si>
    <t>5011451103948</t>
  </si>
  <si>
    <t>05011451307728</t>
  </si>
  <si>
    <t>JFMBB</t>
  </si>
  <si>
    <t>just for men beard real black m55</t>
  </si>
  <si>
    <t>5010934002754</t>
  </si>
  <si>
    <t>05010934700773</t>
  </si>
  <si>
    <t>VASPJ1C</t>
  </si>
  <si>
    <t>vaseline pet jelly no 1 50ml cocoa</t>
  </si>
  <si>
    <t>VASPJ2C</t>
  </si>
  <si>
    <t>vaseline pet jelly no 2 100ml cocoa butter</t>
  </si>
  <si>
    <t>VASPJ3C</t>
  </si>
  <si>
    <t>vaseline pet jelly no 3 250ml cocoa butter</t>
  </si>
  <si>
    <t>VASPJ3A</t>
  </si>
  <si>
    <t>vaseline pet jelly no 3 250ml aloe vera</t>
  </si>
  <si>
    <t>VASPJ1BABY</t>
  </si>
  <si>
    <t>vaseline pet jelly no 1 50ml baby</t>
  </si>
  <si>
    <t>NIVBLF4</t>
  </si>
  <si>
    <t>nivea body lotion 400ml firming q10</t>
  </si>
  <si>
    <t>4005808237487</t>
  </si>
  <si>
    <t>nivea body lotion 400ml perfect and radiant</t>
  </si>
  <si>
    <t>NIVBL4PR</t>
  </si>
  <si>
    <t>4005900123978</t>
  </si>
  <si>
    <t>PEARS75</t>
  </si>
  <si>
    <t>pears soap orange 75g</t>
  </si>
  <si>
    <t>8901030005015</t>
  </si>
  <si>
    <t>8901030006029</t>
  </si>
  <si>
    <t>NEUTCSMUR</t>
  </si>
  <si>
    <t>neutrogena clear &amp; soothe make up remover 200ml</t>
  </si>
  <si>
    <t xml:space="preserve">3574661529240 </t>
  </si>
  <si>
    <t>6001051004744</t>
  </si>
  <si>
    <t>NIVC4RC</t>
  </si>
  <si>
    <t>4005900961631</t>
  </si>
  <si>
    <t>NIVC45FC</t>
  </si>
  <si>
    <t>DOVEBWAS</t>
  </si>
  <si>
    <t>dove body wash 225ml anti stress</t>
  </si>
  <si>
    <t>8720181459955</t>
  </si>
  <si>
    <t xml:space="preserve">bic twin lady 5's </t>
  </si>
  <si>
    <t>LASERP10</t>
  </si>
  <si>
    <t>laser pillar pack double edge blade 10's</t>
  </si>
  <si>
    <t>5015911101475</t>
  </si>
  <si>
    <t>OLAYBF2R</t>
  </si>
  <si>
    <t>olay essentials beauty fluid normal 200ml</t>
  </si>
  <si>
    <t>5010527371229</t>
  </si>
  <si>
    <t>5000174379952</t>
  </si>
  <si>
    <t>GILFB4</t>
  </si>
  <si>
    <t>gillette fusion blades 4's</t>
  </si>
  <si>
    <t xml:space="preserve">7702018851294 </t>
  </si>
  <si>
    <t>07702018851300</t>
  </si>
  <si>
    <t>08720181460203</t>
  </si>
  <si>
    <t>4005808237500</t>
  </si>
  <si>
    <t>4005900123985</t>
  </si>
  <si>
    <t>NIVC2504</t>
  </si>
  <si>
    <t>4005808801053</t>
  </si>
  <si>
    <t>4005808163953</t>
  </si>
  <si>
    <t>03574661553146</t>
  </si>
  <si>
    <t>16001051004741</t>
  </si>
  <si>
    <t>04005805395265</t>
  </si>
  <si>
    <t>5066267006383</t>
  </si>
  <si>
    <t>original source shower milk lime &amp; coconut 250ml</t>
  </si>
  <si>
    <t>original source shower milk cherry &amp; almond 250ml</t>
  </si>
  <si>
    <t>aveeno daily moisturising body lotion 300ml</t>
  </si>
  <si>
    <t>AVEENODMBL</t>
  </si>
  <si>
    <t>3574661285894</t>
  </si>
  <si>
    <t>03574661286198</t>
  </si>
  <si>
    <t>HAS330C2IN1</t>
  </si>
  <si>
    <t>8710908657122</t>
  </si>
  <si>
    <t>08710908655944</t>
  </si>
  <si>
    <t>8710908657399</t>
  </si>
  <si>
    <t>08710908655968</t>
  </si>
  <si>
    <t>8700216214247</t>
  </si>
  <si>
    <t>8700216214230</t>
  </si>
  <si>
    <t>DOVEBW45N</t>
  </si>
  <si>
    <t>dove body wash 450ml nourishing</t>
  </si>
  <si>
    <t>8909106021723</t>
  </si>
  <si>
    <t>18909106021720</t>
  </si>
  <si>
    <t>8909106021709</t>
  </si>
  <si>
    <t>18909106021706</t>
  </si>
  <si>
    <t>8909106021785</t>
  </si>
  <si>
    <t>18909106021782</t>
  </si>
  <si>
    <t>8909106021778</t>
  </si>
  <si>
    <t>18909106021775</t>
  </si>
  <si>
    <t>8909106021754</t>
  </si>
  <si>
    <t>18909106021751</t>
  </si>
  <si>
    <t>lynx body spray xl 200ml gold</t>
  </si>
  <si>
    <t>LYNX2BSG</t>
  </si>
  <si>
    <t>8710447249055</t>
  </si>
  <si>
    <t>08710447249284</t>
  </si>
  <si>
    <t>vaseline lip therapy emily in paris rouge romance</t>
  </si>
  <si>
    <t>VASLIPEM</t>
  </si>
  <si>
    <t>NIVBMMC</t>
  </si>
  <si>
    <t>4005900209726</t>
  </si>
  <si>
    <t>BELKCR</t>
  </si>
  <si>
    <t>bells childrens cough relief 200ml</t>
  </si>
  <si>
    <t>5017848254507</t>
  </si>
  <si>
    <t>05017848905140</t>
  </si>
  <si>
    <t>NIVBLSS4</t>
  </si>
  <si>
    <t>nivea body lotion 400ml shea butter moments</t>
  </si>
  <si>
    <t>4006000081465</t>
  </si>
  <si>
    <t>VASPJ2ALOE</t>
  </si>
  <si>
    <t>vaseline pet jelly no 2 100ml aloe vera</t>
  </si>
  <si>
    <t>VASPJ1A</t>
  </si>
  <si>
    <t>vaseline pet jelly no 1 50ml aloe</t>
  </si>
  <si>
    <t>VASGHDR75</t>
  </si>
  <si>
    <t>vaseline gluta - hya 75ml serum burst lotion dewy radiance</t>
  </si>
  <si>
    <t>MRMUSOV</t>
  </si>
  <si>
    <t>05000204205602</t>
  </si>
  <si>
    <t>DURAA2P</t>
  </si>
  <si>
    <t>duracell batteries aa mn1500 2 pack</t>
  </si>
  <si>
    <t>CARLIPS</t>
  </si>
  <si>
    <t>0083078001902</t>
  </si>
  <si>
    <t>0083078400156</t>
  </si>
  <si>
    <t>carmex lip balm stick lime</t>
  </si>
  <si>
    <t>carmex lip balm stick classic</t>
  </si>
  <si>
    <t>carmex lip balm stick vanilla</t>
  </si>
  <si>
    <t>carmex lip balm tube wild berry</t>
  </si>
  <si>
    <t>carmex lip balm tube peach and mango</t>
  </si>
  <si>
    <t>carmex lip balm tube strawberry</t>
  </si>
  <si>
    <t xml:space="preserve">carmex lip balm tube classic </t>
  </si>
  <si>
    <t>CARLIPSTL</t>
  </si>
  <si>
    <t>CARLIPSTV</t>
  </si>
  <si>
    <t>carmex lip balm stick strawberry</t>
  </si>
  <si>
    <t>CARLIPSTS</t>
  </si>
  <si>
    <t>0083078422189</t>
  </si>
  <si>
    <t>0083078422240</t>
  </si>
  <si>
    <t>0083078009097</t>
  </si>
  <si>
    <t>5000394126091</t>
  </si>
  <si>
    <t>PAMPFC52</t>
  </si>
  <si>
    <t xml:space="preserve">pampers sensitive wipes 52's </t>
  </si>
  <si>
    <t>8001841041391</t>
  </si>
  <si>
    <t>imperial leather soap 110g classic original 4 pack</t>
  </si>
  <si>
    <t>05000394127036</t>
  </si>
  <si>
    <t>8720181797514</t>
  </si>
  <si>
    <t>08720181797521</t>
  </si>
  <si>
    <t>8909106021747</t>
  </si>
  <si>
    <t>18909106021744</t>
  </si>
  <si>
    <t>4006000081472</t>
  </si>
  <si>
    <t>4005900209740</t>
  </si>
  <si>
    <t>8909106021716</t>
  </si>
  <si>
    <t>18909106021713</t>
  </si>
  <si>
    <t>0083078402242</t>
  </si>
  <si>
    <t>0083078402181</t>
  </si>
  <si>
    <t>0083078009076</t>
  </si>
  <si>
    <t>NIVBL4EH</t>
  </si>
  <si>
    <t xml:space="preserve">nivea body lotion 400ml express hydration   </t>
  </si>
  <si>
    <t>4005808246663</t>
  </si>
  <si>
    <t>4005808246687</t>
  </si>
  <si>
    <t>08001841041384</t>
  </si>
  <si>
    <t>8720181591242</t>
  </si>
  <si>
    <t>08720181591266</t>
  </si>
  <si>
    <t>TOUCHGOC</t>
  </si>
  <si>
    <t>touch of silver provoke go icy conditioner 150ml</t>
  </si>
  <si>
    <t>05012008747110</t>
  </si>
  <si>
    <t>5012008747103</t>
  </si>
  <si>
    <t>8720181608407</t>
  </si>
  <si>
    <t>08720181608810</t>
  </si>
  <si>
    <t>RADSGPP</t>
  </si>
  <si>
    <t>radox shower gel 225ml pool party</t>
  </si>
  <si>
    <t>8720181492402</t>
  </si>
  <si>
    <t>08720181492440</t>
  </si>
  <si>
    <t>NIVDEOPB</t>
  </si>
  <si>
    <t>nivea deo 150ml pearl &amp; beauty</t>
  </si>
  <si>
    <t>4005808837311</t>
  </si>
  <si>
    <t>vaseline body oil 200ml calming healing</t>
  </si>
  <si>
    <t>8886304601141</t>
  </si>
  <si>
    <t>vaseline body oil 200ml daily brightening</t>
  </si>
  <si>
    <t>8886304600397</t>
  </si>
  <si>
    <t>VASOILCALM</t>
  </si>
  <si>
    <t>VASOILBRIG</t>
  </si>
  <si>
    <t>SENSCAV</t>
  </si>
  <si>
    <t>sensodyne 75ml cavity &amp; sensitivity</t>
  </si>
  <si>
    <t>6001076901066</t>
  </si>
  <si>
    <t>6001076901073</t>
  </si>
  <si>
    <t>DOVEBW45CI</t>
  </si>
  <si>
    <t>dove body wash 450ml creamy induldge</t>
  </si>
  <si>
    <t>petroleum jelly 225ml coconut</t>
  </si>
  <si>
    <t>8908016224378</t>
  </si>
  <si>
    <t>8908016224385</t>
  </si>
  <si>
    <t>NIVRODES</t>
  </si>
  <si>
    <t>NIVROFE</t>
  </si>
  <si>
    <t>nivea roll on 50ml mens deep espresso</t>
  </si>
  <si>
    <t>NIVROLFN</t>
  </si>
  <si>
    <t>NIVROLFA</t>
  </si>
  <si>
    <t>nivea roll on 50ml men's fresh active</t>
  </si>
  <si>
    <t>4005900088079</t>
  </si>
  <si>
    <t>4005900088062</t>
  </si>
  <si>
    <t>4005900121714</t>
  </si>
  <si>
    <t>4005900121707</t>
  </si>
  <si>
    <t>4005900700773</t>
  </si>
  <si>
    <t>4005900700766</t>
  </si>
  <si>
    <t>4005900088048</t>
  </si>
  <si>
    <t>4005900088031</t>
  </si>
  <si>
    <t>PJ225C</t>
  </si>
  <si>
    <t>DUREXFEEL3</t>
  </si>
  <si>
    <t>durex feels 3's</t>
  </si>
  <si>
    <t>6001106226602</t>
  </si>
  <si>
    <t>DUREXFE3</t>
  </si>
  <si>
    <t>durex featherlite thins 3's</t>
  </si>
  <si>
    <t>8850163000100</t>
  </si>
  <si>
    <t>05038483130933</t>
  </si>
  <si>
    <t>nivea creme 60ml</t>
  </si>
  <si>
    <t>nivea creme 150ml tin</t>
  </si>
  <si>
    <t>nivea creme 200ml</t>
  </si>
  <si>
    <t>nivea creme 250 tin</t>
  </si>
  <si>
    <t>nivea creme 400ml tin</t>
  </si>
  <si>
    <t>nivea creme 400ml cocoa butter</t>
  </si>
  <si>
    <t>nivea creme 400ml repair &amp; care dry sensitive</t>
  </si>
  <si>
    <t>nivea creme 400ml mens revitalising</t>
  </si>
  <si>
    <t>nivea creme 450ml family care sensitive</t>
  </si>
  <si>
    <t>nivea shower creme 250ml coconut</t>
  </si>
  <si>
    <t>OLAYBF1R</t>
  </si>
  <si>
    <t>olay essentials beauty fluid normal 100ml</t>
  </si>
  <si>
    <t>5010527371304</t>
  </si>
  <si>
    <t>5000174558333</t>
  </si>
  <si>
    <t>3574661321554</t>
  </si>
  <si>
    <t>03574661323459</t>
  </si>
  <si>
    <t>nivea roll on 50ml womens fresh energy</t>
  </si>
  <si>
    <t>nivea roll on 50ml womens fresh natural</t>
  </si>
  <si>
    <t>05025970114385</t>
  </si>
  <si>
    <t>PEARS100G</t>
  </si>
  <si>
    <t>pears soap 100g green</t>
  </si>
  <si>
    <t>8901030545818</t>
  </si>
  <si>
    <t>8901030528552</t>
  </si>
  <si>
    <t>pears soap 125g green</t>
  </si>
  <si>
    <t>JJBW4SE</t>
  </si>
  <si>
    <t>j &amp; j bodywash 400ml soft &amp; energise</t>
  </si>
  <si>
    <t>AVEENOML</t>
  </si>
  <si>
    <t>aveeno skin relief moisturising lotion 200ml</t>
  </si>
  <si>
    <t xml:space="preserve">3574660325492 </t>
  </si>
  <si>
    <t>03574661495927</t>
  </si>
  <si>
    <t>NIVDEO250PB</t>
  </si>
  <si>
    <t>nivea deo 250ml pearl &amp; beauty</t>
  </si>
  <si>
    <t>4005808837335</t>
  </si>
  <si>
    <t>05025970114392</t>
  </si>
  <si>
    <t>NIVRILCK</t>
  </si>
  <si>
    <t>4005900087973</t>
  </si>
  <si>
    <t>nivea roll on 50ml men's cool kick</t>
  </si>
  <si>
    <t>42299806</t>
  </si>
  <si>
    <t>4005805231082</t>
  </si>
  <si>
    <t>3574661384580</t>
  </si>
  <si>
    <t>3574661384603</t>
  </si>
  <si>
    <t>EUCRYLF</t>
  </si>
  <si>
    <t>eucryl toothpowder freshmint</t>
  </si>
  <si>
    <t>5011309895612</t>
  </si>
  <si>
    <t>05011309895728</t>
  </si>
  <si>
    <t>EUCRYLO</t>
  </si>
  <si>
    <t>eucryl toothpowder original</t>
  </si>
  <si>
    <t>5011309895810</t>
  </si>
  <si>
    <t>05011309895926</t>
  </si>
  <si>
    <t>16001106226609</t>
  </si>
  <si>
    <t>SIMPST</t>
  </si>
  <si>
    <t>simple soothing toner 200ml</t>
  </si>
  <si>
    <t>5011451103856</t>
  </si>
  <si>
    <t>05011451307636</t>
  </si>
  <si>
    <t xml:space="preserve">nivea roll on 50ml men's black &amp; white </t>
  </si>
  <si>
    <t>NIVROLMB</t>
  </si>
  <si>
    <t>EUCRYLTP</t>
  </si>
  <si>
    <t>eucryl toothpaste</t>
  </si>
  <si>
    <t>5011309895513</t>
  </si>
  <si>
    <t>05011309895520</t>
  </si>
  <si>
    <t>RADBFDET</t>
  </si>
  <si>
    <t>radox bath 500ml feel detoxed</t>
  </si>
  <si>
    <t>DOVE250EX</t>
  </si>
  <si>
    <t xml:space="preserve">dove body wash 225ml reviving </t>
  </si>
  <si>
    <t>SURERSM</t>
  </si>
  <si>
    <t xml:space="preserve">sure roll-on 50ml men's sensitive </t>
  </si>
  <si>
    <t>59095729</t>
  </si>
  <si>
    <t>08720181274114</t>
  </si>
  <si>
    <t>nivea body milk 400ml moisture care olive dry skin</t>
  </si>
  <si>
    <t>NIVBMRN</t>
  </si>
  <si>
    <t>4005808246267</t>
  </si>
  <si>
    <t>DOVL400S</t>
  </si>
  <si>
    <t>dove lotion 400ml purely pampering with shea butter</t>
  </si>
  <si>
    <t>8711700841252</t>
  </si>
  <si>
    <t>08711700841269</t>
  </si>
  <si>
    <t>dove spray 150ml original</t>
  </si>
  <si>
    <t xml:space="preserve">dove spray 150ml mens cool fresh </t>
  </si>
  <si>
    <t>8717163994252</t>
  </si>
  <si>
    <t>8717163965030</t>
  </si>
  <si>
    <t>8710908325731</t>
  </si>
  <si>
    <t>8717644579886</t>
  </si>
  <si>
    <t>DOVESPRI</t>
  </si>
  <si>
    <t>DOVESPRO</t>
  </si>
  <si>
    <t>DOVESPMCO</t>
  </si>
  <si>
    <t>DOVESPMCF</t>
  </si>
  <si>
    <t>DOVE225R</t>
  </si>
  <si>
    <t>8720181460111</t>
  </si>
  <si>
    <t>08720181460524</t>
  </si>
  <si>
    <t>dove body wash 225ml gentle scrub</t>
  </si>
  <si>
    <t>8720181462863</t>
  </si>
  <si>
    <t>08720181463297</t>
  </si>
  <si>
    <t>08720181533556</t>
  </si>
  <si>
    <t>08720181520440</t>
  </si>
  <si>
    <t>08717163965023</t>
  </si>
  <si>
    <t>dove spray 150ml invisible dry</t>
  </si>
  <si>
    <t>08717163994481</t>
  </si>
  <si>
    <t>08720181126000</t>
  </si>
  <si>
    <t>dove spray 150ml mens extra fresh</t>
  </si>
  <si>
    <t>08710908790133</t>
  </si>
  <si>
    <t>WISSSK02</t>
  </si>
  <si>
    <t>wisdom kids step by step 0-2 years toothbrush</t>
  </si>
  <si>
    <t>5028763009332</t>
  </si>
  <si>
    <t>05028763009349</t>
  </si>
  <si>
    <t>WISSSK35</t>
  </si>
  <si>
    <t>wisdom kids step by step 3-5 years toothbrush</t>
  </si>
  <si>
    <t>5028763009356</t>
  </si>
  <si>
    <t>05028763009363</t>
  </si>
  <si>
    <t>TAMR20</t>
  </si>
  <si>
    <t>tampax regular 20's</t>
  </si>
  <si>
    <t>4015400363033</t>
  </si>
  <si>
    <t>04015400438762</t>
  </si>
  <si>
    <t>TAMCOMSP</t>
  </si>
  <si>
    <t>tampax compak 18's super plus</t>
  </si>
  <si>
    <t xml:space="preserve">8001090705723 </t>
  </si>
  <si>
    <t>08001090705716</t>
  </si>
  <si>
    <t>plax mouthwash 250ml softmint</t>
  </si>
  <si>
    <t>PLAX250S</t>
  </si>
  <si>
    <t>GILCLEARGAI</t>
  </si>
  <si>
    <t>gillette clear gel 70ml arctic ice</t>
  </si>
  <si>
    <t>7702018978106</t>
  </si>
  <si>
    <t>LYPST30O</t>
  </si>
  <si>
    <t>lypsyl tower 30's original</t>
  </si>
  <si>
    <t>96097274</t>
  </si>
  <si>
    <t>28886304601145</t>
  </si>
  <si>
    <t>28886304600391</t>
  </si>
  <si>
    <t>8714789726229</t>
  </si>
  <si>
    <t>08714789726205</t>
  </si>
  <si>
    <t>VEET200EX</t>
  </si>
  <si>
    <t>veet cream expert with shea butter 200ml</t>
  </si>
  <si>
    <t>5011417587690</t>
  </si>
  <si>
    <t>nivea body lotion 400ml rich nourishing pump intense care</t>
  </si>
  <si>
    <t>4005808246281</t>
  </si>
  <si>
    <t>nivea body lotion 400ml rich nourishing 72 hr moisture</t>
  </si>
  <si>
    <t>nivea body milk 400ml rich nourishing 5 in1 dry to very dry skin 48h</t>
  </si>
  <si>
    <t>4005900230836</t>
  </si>
  <si>
    <t>4005900230843</t>
  </si>
  <si>
    <t>8908016224293</t>
  </si>
  <si>
    <t>8904442801282</t>
  </si>
  <si>
    <t>PJ225GLY</t>
  </si>
  <si>
    <t>petroleum jelly 225ml glycerin</t>
  </si>
  <si>
    <t>8904442801497</t>
  </si>
  <si>
    <t>890442801510</t>
  </si>
  <si>
    <t>PALMCOCSOAP</t>
  </si>
  <si>
    <t>010181145551</t>
  </si>
  <si>
    <t>RADSG4FR</t>
  </si>
  <si>
    <t>radox shower gel 450ml feel refreshed</t>
  </si>
  <si>
    <t>8720181332524</t>
  </si>
  <si>
    <t>08720181332647</t>
  </si>
  <si>
    <t>DOVECB72W</t>
  </si>
  <si>
    <t>dove cream bath 720ml winter care</t>
  </si>
  <si>
    <t>8720181558740</t>
  </si>
  <si>
    <t>08720181558771</t>
  </si>
  <si>
    <t>TRESLCSBR</t>
  </si>
  <si>
    <t>tresemme 200ml leave in cream serum biotin repair</t>
  </si>
  <si>
    <t>8720181594854</t>
  </si>
  <si>
    <t>08720181594892</t>
  </si>
  <si>
    <t>SIMPPCL</t>
  </si>
  <si>
    <t>simple purifying cleansing lotion 200ml</t>
  </si>
  <si>
    <t>5011451103849</t>
  </si>
  <si>
    <t>05011451307629</t>
  </si>
  <si>
    <t>SIMPEMUR</t>
  </si>
  <si>
    <t>simple eye make up remover 125ml</t>
  </si>
  <si>
    <t>5011451103917</t>
  </si>
  <si>
    <t>DUREXF3</t>
  </si>
  <si>
    <t>durex featherlite ultima  3's</t>
  </si>
  <si>
    <t>5038483492901</t>
  </si>
  <si>
    <t>05038483492918</t>
  </si>
  <si>
    <t>DUREXRF</t>
  </si>
  <si>
    <t>durex real feel 3's</t>
  </si>
  <si>
    <t>5052197025699</t>
  </si>
  <si>
    <t>05052197025705</t>
  </si>
  <si>
    <t>CARPAV</t>
  </si>
  <si>
    <t>carex pump soap 250ml aloe vera</t>
  </si>
  <si>
    <t>5900998000325</t>
  </si>
  <si>
    <t>05900998056018</t>
  </si>
  <si>
    <t>5036631000725</t>
  </si>
  <si>
    <t>NIVC4CK</t>
  </si>
  <si>
    <t>nivea crème 400ml mens cool kick</t>
  </si>
  <si>
    <t>6001051000753</t>
  </si>
  <si>
    <t>16001051000644</t>
  </si>
  <si>
    <t>NIVC4MH</t>
  </si>
  <si>
    <t>nivea crème 400ml mens max hydration</t>
  </si>
  <si>
    <t>4005808685837</t>
  </si>
  <si>
    <t>16001051000279</t>
  </si>
  <si>
    <t>05011451307698</t>
  </si>
  <si>
    <t>7702018978113</t>
  </si>
  <si>
    <t>COLMFS</t>
  </si>
  <si>
    <t>JJBSO750</t>
  </si>
  <si>
    <t xml:space="preserve">j &amp; j shampoo 750ml </t>
  </si>
  <si>
    <t>neutrogena hand cream 75ml scented</t>
  </si>
  <si>
    <t>NEUTHC75S</t>
  </si>
  <si>
    <t>3574660258264</t>
  </si>
  <si>
    <t>03574660258271</t>
  </si>
  <si>
    <t>3574669907927</t>
  </si>
  <si>
    <t>3574661443119</t>
  </si>
  <si>
    <t>DOVESTIC</t>
  </si>
  <si>
    <t>dove stick 50ml classic fresh</t>
  </si>
  <si>
    <t>59099659</t>
  </si>
  <si>
    <t>08720181575488</t>
  </si>
  <si>
    <t>08717644590713</t>
  </si>
  <si>
    <t>50220221</t>
  </si>
  <si>
    <t>8700216653848</t>
  </si>
  <si>
    <t>DOVESTMC</t>
  </si>
  <si>
    <t>DOVESPRCL</t>
  </si>
  <si>
    <t>dove spray 150ml classic</t>
  </si>
  <si>
    <t>8720181286902</t>
  </si>
  <si>
    <t>08720181294426</t>
  </si>
  <si>
    <t>HAS250CS</t>
  </si>
  <si>
    <t>head and shoulders 250ml clarify and shine</t>
  </si>
  <si>
    <t>8718951289987</t>
  </si>
  <si>
    <t>87189512899704</t>
  </si>
  <si>
    <t>30010181145552</t>
  </si>
  <si>
    <t>8700216653824</t>
  </si>
  <si>
    <t>VEETWSFS20</t>
  </si>
  <si>
    <t>veet expert wax strips face sensitive 20's</t>
  </si>
  <si>
    <t>5011417588345</t>
  </si>
  <si>
    <t>05011417806715</t>
  </si>
  <si>
    <t>05011417807347</t>
  </si>
  <si>
    <t>INECTBL5A</t>
  </si>
  <si>
    <t>inecto naturals body lotion 500ml aloe vera</t>
  </si>
  <si>
    <t>5012008740005</t>
  </si>
  <si>
    <t>05012008740012</t>
  </si>
  <si>
    <t>TRESKSMOIL</t>
  </si>
  <si>
    <t>tresemme 75ml keratin smooth oil</t>
  </si>
  <si>
    <t>8720181603976</t>
  </si>
  <si>
    <t>TRESLAOIL75</t>
  </si>
  <si>
    <t>TRESLASPR200</t>
  </si>
  <si>
    <t>TRESLASER200</t>
  </si>
  <si>
    <t>tresemme 75ml lamellar shine oil</t>
  </si>
  <si>
    <t>tresemme 200ml lamellar shine gloss spray</t>
  </si>
  <si>
    <t>tresemme 200ml lamellar shine serum</t>
  </si>
  <si>
    <t>8720181482618</t>
  </si>
  <si>
    <t>8720181623134</t>
  </si>
  <si>
    <t>8720181474637</t>
  </si>
  <si>
    <t>PALMCSSCS</t>
  </si>
  <si>
    <t>palmers skin success complexion soap bar 100g</t>
  </si>
  <si>
    <t>010181073809</t>
  </si>
  <si>
    <t>10010181073806</t>
  </si>
  <si>
    <t>NIVC4RN</t>
  </si>
  <si>
    <t xml:space="preserve">nivea crème 400ml rich nourishing </t>
  </si>
  <si>
    <t xml:space="preserve">4005808780570 </t>
  </si>
  <si>
    <t>16001051000316</t>
  </si>
  <si>
    <t>VASDSR100</t>
  </si>
  <si>
    <t>COLFCG75</t>
  </si>
  <si>
    <t>COLFCR75</t>
  </si>
  <si>
    <t>4005808515615</t>
  </si>
  <si>
    <t>17319470028606</t>
  </si>
  <si>
    <t>RADBFH</t>
  </si>
  <si>
    <t>radox bath liquid 500ml feel heavenly</t>
  </si>
  <si>
    <t>8710847950247</t>
  </si>
  <si>
    <t>08710847950285</t>
  </si>
  <si>
    <t>VASPJ3BABY</t>
  </si>
  <si>
    <t>vaseline pet jelly no 3 250ml baby</t>
  </si>
  <si>
    <t>NIVC4Q10</t>
  </si>
  <si>
    <t>nivea crème 400ml q10 firming</t>
  </si>
  <si>
    <t>PANS3CC3</t>
  </si>
  <si>
    <t>PANS3CP</t>
  </si>
  <si>
    <t>PANS360RP</t>
  </si>
  <si>
    <t>PANS3SS</t>
  </si>
  <si>
    <t>PANS3VB</t>
  </si>
  <si>
    <t>pantene shampoo 325ml classic clean</t>
  </si>
  <si>
    <t>pantene shampoo 325ml colour protect</t>
  </si>
  <si>
    <t>pantene shampoo 325ml repair &amp; protect</t>
  </si>
  <si>
    <t>pantene shampoo 325ml smooth &amp; sleek</t>
  </si>
  <si>
    <t>pantene shampoo 325ml volume &amp; body</t>
  </si>
  <si>
    <t>8700216566964</t>
  </si>
  <si>
    <t>8700216566926</t>
  </si>
  <si>
    <t>8700216567480</t>
  </si>
  <si>
    <t>8700216566919</t>
  </si>
  <si>
    <t>8700216566841</t>
  </si>
  <si>
    <t>6281001101253</t>
  </si>
  <si>
    <t>06281001632252</t>
  </si>
  <si>
    <t>6281001101246</t>
  </si>
  <si>
    <t>06281001632245</t>
  </si>
  <si>
    <t>6001051006274</t>
  </si>
  <si>
    <t>26001051006278</t>
  </si>
  <si>
    <t>8710447260548</t>
  </si>
  <si>
    <t>08710447260562</t>
  </si>
  <si>
    <t>08720181474644</t>
  </si>
  <si>
    <t>08720181623158</t>
  </si>
  <si>
    <t>08720181604027</t>
  </si>
  <si>
    <t>vaseline hand and body lotion dark spot rescue 100ml</t>
  </si>
  <si>
    <t>08720181482625</t>
  </si>
  <si>
    <t>8909106021761</t>
  </si>
  <si>
    <t>18909106021768</t>
  </si>
  <si>
    <t xml:space="preserve">imperial leather foamburst 200ml nourishing lychee &amp; lotus flower </t>
  </si>
  <si>
    <t>IMPFC</t>
  </si>
  <si>
    <t>IMPFE</t>
  </si>
  <si>
    <t>IMPFN</t>
  </si>
  <si>
    <t>IMPFP</t>
  </si>
  <si>
    <t>IMPFR</t>
  </si>
  <si>
    <t>5000101510212</t>
  </si>
  <si>
    <t>5000101510236</t>
  </si>
  <si>
    <t>5000101510199</t>
  </si>
  <si>
    <t>5000101510250</t>
  </si>
  <si>
    <t>5000101510175</t>
  </si>
  <si>
    <t>05000101510205</t>
  </si>
  <si>
    <t>05000101510229</t>
  </si>
  <si>
    <t>05000101510182</t>
  </si>
  <si>
    <t>05000101510243</t>
  </si>
  <si>
    <t>05000101510168</t>
  </si>
  <si>
    <t>PALMSOAP</t>
  </si>
  <si>
    <t>palmolive soap 90g moisture original 3's</t>
  </si>
  <si>
    <t>8714789698922</t>
  </si>
  <si>
    <t>08714789698908</t>
  </si>
  <si>
    <t>SANDINV</t>
  </si>
  <si>
    <t xml:space="preserve">sanex deo 200ml dermo invisible </t>
  </si>
  <si>
    <t>SANDSENS</t>
  </si>
  <si>
    <t xml:space="preserve">sanex deo 200ml dermo sensitive </t>
  </si>
  <si>
    <t>SANDEXC</t>
  </si>
  <si>
    <t>sanex deo 200ml dermo extra control</t>
  </si>
  <si>
    <t>SANDMAC</t>
  </si>
  <si>
    <t xml:space="preserve">sanex deo 200ml mens active control </t>
  </si>
  <si>
    <t>SANDAF</t>
  </si>
  <si>
    <t>sanex deo 200ml dermo active fresh</t>
  </si>
  <si>
    <t>8718951730526</t>
  </si>
  <si>
    <t>8718951730618</t>
  </si>
  <si>
    <t>8718951730588</t>
  </si>
  <si>
    <t>8718951727687</t>
  </si>
  <si>
    <t>8718951730557</t>
  </si>
  <si>
    <t>08718951730519</t>
  </si>
  <si>
    <t>08718951730601</t>
  </si>
  <si>
    <t>08718951730571</t>
  </si>
  <si>
    <t>08718951727670</t>
  </si>
  <si>
    <t>08718951730540</t>
  </si>
  <si>
    <t>SANBWZF</t>
  </si>
  <si>
    <t>SANBWZN</t>
  </si>
  <si>
    <t>8718951647961</t>
  </si>
  <si>
    <t>08718951647954</t>
  </si>
  <si>
    <t>8718951647930</t>
  </si>
  <si>
    <t>08718951647923</t>
  </si>
  <si>
    <t>SANBFS570</t>
  </si>
  <si>
    <t>SANBFDK570</t>
  </si>
  <si>
    <t>SANBFM570</t>
  </si>
  <si>
    <t xml:space="preserve">sanex baby wash 450ml zero % baby nourish </t>
  </si>
  <si>
    <t>sanex baby wash 450ml zero% baby frag free</t>
  </si>
  <si>
    <t>sanex bath foam 570ml dermo kids</t>
  </si>
  <si>
    <t>8718951417397</t>
  </si>
  <si>
    <t>8718951389151</t>
  </si>
  <si>
    <t>8718951386198</t>
  </si>
  <si>
    <t>08718951417380</t>
  </si>
  <si>
    <t>08718951389144</t>
  </si>
  <si>
    <t>08718951386181</t>
  </si>
  <si>
    <t>SANSGMOI</t>
  </si>
  <si>
    <t>SANSGPH</t>
  </si>
  <si>
    <t>sanex shower gel 570ml dermo moisturising</t>
  </si>
  <si>
    <t>sanex shower gel 570ml pro hydrate</t>
  </si>
  <si>
    <t xml:space="preserve">sanex shower gel 570ml dermo sensitive </t>
  </si>
  <si>
    <t>SANSGSEN</t>
  </si>
  <si>
    <t>8718951389120</t>
  </si>
  <si>
    <t>8718951386068</t>
  </si>
  <si>
    <t>8718951389779</t>
  </si>
  <si>
    <t>08718951389113</t>
  </si>
  <si>
    <t>08718951386051</t>
  </si>
  <si>
    <t>08718951389762</t>
  </si>
  <si>
    <t>sanex shower gel 720ml dermo kids</t>
  </si>
  <si>
    <t xml:space="preserve">sanex shower gel 720ml dermo moisturising  </t>
  </si>
  <si>
    <t xml:space="preserve">sanex shower gel 720ml dermo sensitive </t>
  </si>
  <si>
    <t>8718951386273</t>
  </si>
  <si>
    <t>8718951389311</t>
  </si>
  <si>
    <t>8718951392106</t>
  </si>
  <si>
    <t>08718951390225</t>
  </si>
  <si>
    <t>08718951389489</t>
  </si>
  <si>
    <t>08718951392243</t>
  </si>
  <si>
    <t>SANSG7M</t>
  </si>
  <si>
    <t>SANSG7S</t>
  </si>
  <si>
    <t>SANSG7K</t>
  </si>
  <si>
    <t>colgate 50ml kids 0-2 years toothpaste strawberry import</t>
  </si>
  <si>
    <t>colgate 75ml fresh confidence toothpaste red</t>
  </si>
  <si>
    <t>colgate 75ml fresh confidence toothpaste green</t>
  </si>
  <si>
    <t>colgate 100ml triple action toothpaste import</t>
  </si>
  <si>
    <t>colgate 100ml maximum cavity import</t>
  </si>
  <si>
    <t>colgate 100ml herbal import</t>
  </si>
  <si>
    <t>colgate 100ml max fresh clean mint import green</t>
  </si>
  <si>
    <t>colgate 100ml max fresh coolmint import blue</t>
  </si>
  <si>
    <t>colgate 100ml max fresh white crystal mint import</t>
  </si>
  <si>
    <t>colgate 100ml max fresh spicy import</t>
  </si>
  <si>
    <t>colgate 100ml advanced whitening toothpaste import</t>
  </si>
  <si>
    <t>8718951576193</t>
  </si>
  <si>
    <t>08718951576186</t>
  </si>
  <si>
    <t>COL75FG</t>
  </si>
  <si>
    <t>8700216566971</t>
  </si>
  <si>
    <t>8700216567510</t>
  </si>
  <si>
    <t>8700216566902</t>
  </si>
  <si>
    <t>8700216566889</t>
  </si>
  <si>
    <t>8700216213370</t>
  </si>
  <si>
    <t>8700216213356</t>
  </si>
  <si>
    <t>8700216214193</t>
  </si>
  <si>
    <t>8700216214186</t>
  </si>
  <si>
    <t>8700216214223</t>
  </si>
  <si>
    <t>8700216214209</t>
  </si>
  <si>
    <t>8700216158602</t>
  </si>
  <si>
    <t>8700216158572</t>
  </si>
  <si>
    <t>VASCO75</t>
  </si>
  <si>
    <t>vaseline hand cream 75ml cocoa</t>
  </si>
  <si>
    <t>8720181346514</t>
  </si>
  <si>
    <t>08720181346521</t>
  </si>
  <si>
    <t>HAS330S2IN1</t>
  </si>
  <si>
    <t>HAS330A2IN1</t>
  </si>
  <si>
    <t>HAS330CF2IN1</t>
  </si>
  <si>
    <t>HAS330T2IN1</t>
  </si>
  <si>
    <t>NIVSHSP</t>
  </si>
  <si>
    <t>4005808130610</t>
  </si>
  <si>
    <t>4005808130627</t>
  </si>
  <si>
    <t>colgate 75ml fresh gel toothpaste</t>
  </si>
  <si>
    <t>8720181158353</t>
  </si>
  <si>
    <t>08720181164019</t>
  </si>
  <si>
    <t>palmers cocoa butter soap 133g</t>
  </si>
  <si>
    <t>JOLFHRK</t>
  </si>
  <si>
    <t>jolen facial hair remover kit</t>
  </si>
  <si>
    <t>5060128985646</t>
  </si>
  <si>
    <t>15060128985643</t>
  </si>
  <si>
    <t>NIVAFTCZS</t>
  </si>
  <si>
    <t>nivea aftershave balm 100ml  men post shave sensitive cooling zero alcohol</t>
  </si>
  <si>
    <t>4005808944811</t>
  </si>
  <si>
    <t>3086127500934</t>
  </si>
  <si>
    <t>03086128221135</t>
  </si>
  <si>
    <t>CUTICURAT25</t>
  </si>
  <si>
    <t>cuticura medicated talc 250ml</t>
  </si>
  <si>
    <t>CUTICURAT15</t>
  </si>
  <si>
    <t>cuticura medicated talc 150ml</t>
  </si>
  <si>
    <t>PLAX500C</t>
  </si>
  <si>
    <t>PLAX500S</t>
  </si>
  <si>
    <t>plax mouthwash 500ml coolmint</t>
  </si>
  <si>
    <t>plax mouthwash 500ml softmint</t>
  </si>
  <si>
    <t>8714789726168</t>
  </si>
  <si>
    <t>8714789726250</t>
  </si>
  <si>
    <t>08714789726236</t>
  </si>
  <si>
    <t>08714789726144</t>
  </si>
  <si>
    <t>oral b 75ml toothpaste 123 whitening</t>
  </si>
  <si>
    <t>ORALB123DW</t>
  </si>
  <si>
    <t>ORALB123EF</t>
  </si>
  <si>
    <t>8700216787307</t>
  </si>
  <si>
    <t>8700216787291</t>
  </si>
  <si>
    <t>8700216787284</t>
  </si>
  <si>
    <t>8700216787277</t>
  </si>
  <si>
    <t>3014260048686</t>
  </si>
  <si>
    <t>3014260048693</t>
  </si>
  <si>
    <t>ORALBTBCNF3</t>
  </si>
  <si>
    <t>oral b toothbrush clean natural fresh 40 medium triple pack</t>
  </si>
  <si>
    <t>PALMSH5S</t>
  </si>
  <si>
    <t>8718951248656</t>
  </si>
  <si>
    <t>8700216566933</t>
  </si>
  <si>
    <t>head and shoulders 330ml men's total care 2 in 1</t>
  </si>
  <si>
    <t>head and shoulders 330ml classic clean 2 in 1</t>
  </si>
  <si>
    <t>head and shoulders 330ml smooth &amp; silky 2 in 1</t>
  </si>
  <si>
    <t>head and shoulders 330ml apple fresh 2 in 1</t>
  </si>
  <si>
    <t>head and shoulders 330ml citrus fresh 2 in 1</t>
  </si>
  <si>
    <t xml:space="preserve">imperial leather foamburst 200ml bergamot &amp; sea mineral </t>
  </si>
  <si>
    <t>imperial leather foamburst 200ml mallow &amp; rose milk</t>
  </si>
  <si>
    <t xml:space="preserve">imperial leather foamburst 200ml cotton flower &amp; vanilla </t>
  </si>
  <si>
    <t>imperial leather foamburst 200ml blackcurrant &amp; passion fruit</t>
  </si>
  <si>
    <t>8006530317559</t>
  </si>
  <si>
    <t>08006530317511</t>
  </si>
  <si>
    <t>8006530317504</t>
  </si>
  <si>
    <t>08006530317542</t>
  </si>
  <si>
    <t>05029054253373</t>
  </si>
  <si>
    <t>oral b 75ml toothpaste 123 extra fresh</t>
  </si>
  <si>
    <t>04005805526256</t>
  </si>
  <si>
    <t>nivea shower gel 250ml men's sport 3 in 1</t>
  </si>
  <si>
    <t>SIGTEASY</t>
  </si>
  <si>
    <t>886467014062</t>
  </si>
  <si>
    <t>signal toothbrush easy clean medium</t>
  </si>
  <si>
    <t>palmolive shower gel 500ml sensitive milk protect</t>
  </si>
  <si>
    <t>08718951314306</t>
  </si>
  <si>
    <t>sanex bath foam 625ml dermo moisturising</t>
  </si>
  <si>
    <t>sanex bath foam 625ml dermo sensitive</t>
  </si>
  <si>
    <t>GALPPARACAP</t>
  </si>
  <si>
    <t>GALPPARTAB</t>
  </si>
  <si>
    <t>galpharm paracetamol tablets 500mg 16's</t>
  </si>
  <si>
    <t>galpharm paracetamol caplets 500mg 16's</t>
  </si>
  <si>
    <t>5017353504760</t>
  </si>
  <si>
    <t>5017353500809</t>
  </si>
  <si>
    <t>ORALBEFW</t>
  </si>
  <si>
    <t>oral b essential floss 50m mint waxed</t>
  </si>
  <si>
    <t>5010622005029</t>
  </si>
  <si>
    <t>05017353111937</t>
  </si>
  <si>
    <t>05017353107909</t>
  </si>
  <si>
    <t>CARLIPPINE</t>
  </si>
  <si>
    <t>CARLIPPAS</t>
  </si>
  <si>
    <t>carmex lip balm tube passion fruit</t>
  </si>
  <si>
    <t>carmex lip balm tube pineapple and mint</t>
  </si>
  <si>
    <t>CARLIP2CH</t>
  </si>
  <si>
    <t>carmex lip balm 2 pack cherry stick</t>
  </si>
  <si>
    <t>CARLIP2CL</t>
  </si>
  <si>
    <t>carmex lip balm 2 pack classic tube</t>
  </si>
  <si>
    <t>CARLIP2SC</t>
  </si>
  <si>
    <t>carmex lip balm 2 pack strawberry &amp; cherry tube</t>
  </si>
  <si>
    <t>DENTUC75</t>
  </si>
  <si>
    <t>dentu-crème 75ml toothpaste</t>
  </si>
  <si>
    <t>5012616291746</t>
  </si>
  <si>
    <t>05012616113895</t>
  </si>
  <si>
    <t>BRUTDSI</t>
  </si>
  <si>
    <t>brut deo spray 200ml identity</t>
  </si>
  <si>
    <t>8720181072833</t>
  </si>
  <si>
    <t>08720181072901</t>
  </si>
  <si>
    <t>PALMSGCO</t>
  </si>
  <si>
    <t>palmolive shower gel 250ml coconut milk</t>
  </si>
  <si>
    <t>8714789732923</t>
  </si>
  <si>
    <t>08714789751542</t>
  </si>
  <si>
    <t>PALMSGMH</t>
  </si>
  <si>
    <t>palmolive shower gel 250ml milk &amp; honey</t>
  </si>
  <si>
    <t>8714789732879</t>
  </si>
  <si>
    <t>08714789751504</t>
  </si>
  <si>
    <t>JJBB750</t>
  </si>
  <si>
    <t>j &amp; j bath 750ml</t>
  </si>
  <si>
    <t>TRESS300KER</t>
  </si>
  <si>
    <t>tresemme 300ml shampoo keratin smooth</t>
  </si>
  <si>
    <t>AEFABSTRETCH</t>
  </si>
  <si>
    <t>a &amp; e fabric stretch plaster</t>
  </si>
  <si>
    <t>AEFIRSTAID</t>
  </si>
  <si>
    <t>a &amp; e first aid travel kit</t>
  </si>
  <si>
    <t>imperial leather soap 90g gentle 4 pack</t>
  </si>
  <si>
    <t>3574661449401</t>
  </si>
  <si>
    <t>3574669908511</t>
  </si>
  <si>
    <t>just for men real black h55</t>
  </si>
  <si>
    <t>JFMRB</t>
  </si>
  <si>
    <t>5010934002174</t>
  </si>
  <si>
    <t>05010934500106</t>
  </si>
  <si>
    <t>05012008771016</t>
  </si>
  <si>
    <t>5012008771009</t>
  </si>
  <si>
    <t>05012008771115</t>
  </si>
  <si>
    <t>5012008117708</t>
  </si>
  <si>
    <t>dove body wash 225ml nourishing hydrate</t>
  </si>
  <si>
    <t>5029115011164</t>
  </si>
  <si>
    <t>05029115011171</t>
  </si>
  <si>
    <t>5029115011638</t>
  </si>
  <si>
    <t>15029115011635</t>
  </si>
  <si>
    <t>NIVHCPC</t>
  </si>
  <si>
    <t>nivea hand crème 75ml protective care beeswax</t>
  </si>
  <si>
    <t>40060729</t>
  </si>
  <si>
    <t>04005805260105</t>
  </si>
  <si>
    <t>CARLIPCH</t>
  </si>
  <si>
    <t>0083078001445</t>
  </si>
  <si>
    <t>0083078400132</t>
  </si>
  <si>
    <t>LIST25SW</t>
  </si>
  <si>
    <t>listerine stay white 250ml</t>
  </si>
  <si>
    <t>5010123726614</t>
  </si>
  <si>
    <t>05010123819026</t>
  </si>
  <si>
    <t>dove stick 50ml mens clean</t>
  </si>
  <si>
    <t>SAA</t>
  </si>
  <si>
    <t>5010508150591</t>
  </si>
  <si>
    <t>05010508072916</t>
  </si>
  <si>
    <t>VEETWSLS20</t>
  </si>
  <si>
    <t>veet expert wax strips legs sensitive 20's</t>
  </si>
  <si>
    <t>5011417588352</t>
  </si>
  <si>
    <t>05011417807354</t>
  </si>
  <si>
    <t>LIST500T</t>
  </si>
  <si>
    <t>listerine total care 500ml</t>
  </si>
  <si>
    <t>5010123730222</t>
  </si>
  <si>
    <t>LIST5TCZ</t>
  </si>
  <si>
    <t>listerine total care zero 500ml</t>
  </si>
  <si>
    <t>3574660676518</t>
  </si>
  <si>
    <t>03574660676525</t>
  </si>
  <si>
    <t>LYNX5SGJF</t>
  </si>
  <si>
    <t>lynx shower gel 500ml jungle fresh</t>
  </si>
  <si>
    <t>8720181442766</t>
  </si>
  <si>
    <t>DOVBWRM</t>
  </si>
  <si>
    <t>dove baby wipes 50's rich moisture</t>
  </si>
  <si>
    <t>DOVBWS</t>
  </si>
  <si>
    <t xml:space="preserve">dove baby wipes 50's sensitive </t>
  </si>
  <si>
    <t>8886467061738</t>
  </si>
  <si>
    <t>8886467061745</t>
  </si>
  <si>
    <t>18886467061735</t>
  </si>
  <si>
    <t>18886467061742</t>
  </si>
  <si>
    <t>TRESHS3EH</t>
  </si>
  <si>
    <t>8720181646751</t>
  </si>
  <si>
    <t>SIGNAL10</t>
  </si>
  <si>
    <t>SIGNALW100</t>
  </si>
  <si>
    <t>18934839126916</t>
  </si>
  <si>
    <t>SIGNALH100</t>
  </si>
  <si>
    <t>18934839126909</t>
  </si>
  <si>
    <t>signal toothpaste 100ml cavity protection   (2x6)</t>
  </si>
  <si>
    <t>signal toothpaste 100ml whitening   (2x6)</t>
  </si>
  <si>
    <t>signal toothpaste 100ml herbal green tea  (2x6)</t>
  </si>
  <si>
    <t>DOVEBWMEM</t>
  </si>
  <si>
    <t>dove body wash 250ml mens eucalyptus &amp; mint</t>
  </si>
  <si>
    <t>RADSG6MO</t>
  </si>
  <si>
    <t>radox shower gel 675ml feel moisturised</t>
  </si>
  <si>
    <t>8720181326936</t>
  </si>
  <si>
    <t>batiste dry shampoo 350ml blush</t>
  </si>
  <si>
    <t>batiste dry shampoo 350ml tropical coconut</t>
  </si>
  <si>
    <t>BATIF</t>
  </si>
  <si>
    <t>batiste dry shampoo 200ml fresh</t>
  </si>
  <si>
    <t>VASALO7</t>
  </si>
  <si>
    <t>vaseline aloe soothe 725ml pump</t>
  </si>
  <si>
    <t>8901030912993</t>
  </si>
  <si>
    <t>18901030912990</t>
  </si>
  <si>
    <t>DOVES06</t>
  </si>
  <si>
    <t>dove soap 6 pack original</t>
  </si>
  <si>
    <t>8720181218293</t>
  </si>
  <si>
    <t>08720181218446</t>
  </si>
  <si>
    <t>DOVES06P</t>
  </si>
  <si>
    <t>dove soap 6 pack pink</t>
  </si>
  <si>
    <t>8720181319464</t>
  </si>
  <si>
    <t>08720181319501</t>
  </si>
  <si>
    <t>E453506</t>
  </si>
  <si>
    <t>e45 cream 350g</t>
  </si>
  <si>
    <t>7350087736662</t>
  </si>
  <si>
    <t>17350087736669</t>
  </si>
  <si>
    <t>DOVESPMCL</t>
  </si>
  <si>
    <t>dove spray 150ml mens classic</t>
  </si>
  <si>
    <t>8720181295546</t>
  </si>
  <si>
    <t>08720181295638</t>
  </si>
  <si>
    <t>tresemme hairspray 300ml extra hold</t>
  </si>
  <si>
    <t>08720181586262</t>
  </si>
  <si>
    <t>FACEBLACK</t>
  </si>
  <si>
    <t>FACECERISE</t>
  </si>
  <si>
    <t>FACECREAM</t>
  </si>
  <si>
    <t>FACEGREEN</t>
  </si>
  <si>
    <t>FACELILAC</t>
  </si>
  <si>
    <t>FACENAVY</t>
  </si>
  <si>
    <t>FACEOCEANB</t>
  </si>
  <si>
    <t>FACEPEACH</t>
  </si>
  <si>
    <t>FACEPINK</t>
  </si>
  <si>
    <t>FACEWHITE</t>
  </si>
  <si>
    <t>face cloths bodycare black</t>
  </si>
  <si>
    <t>face cloths bodycare cerise</t>
  </si>
  <si>
    <t>face cloths bodycare lilac</t>
  </si>
  <si>
    <t>face cloths bodycare navy</t>
  </si>
  <si>
    <t>face cloths bodycare pink</t>
  </si>
  <si>
    <t>face cloths bodycare cream</t>
  </si>
  <si>
    <t>face cloths bodycare ocean blue</t>
  </si>
  <si>
    <t>face cloths bodycacre peach</t>
  </si>
  <si>
    <t>face cloths body care white</t>
  </si>
  <si>
    <t>SURERIBWW</t>
  </si>
  <si>
    <t xml:space="preserve">sure roll-on 50ml womens invisible black &amp; white </t>
  </si>
  <si>
    <t>59099758</t>
  </si>
  <si>
    <t>08720181577093</t>
  </si>
  <si>
    <t>08720181646799</t>
  </si>
  <si>
    <t xml:space="preserve">carmex lip balm tube cherry </t>
  </si>
  <si>
    <t>8720181586255</t>
  </si>
  <si>
    <t>08720181442810</t>
  </si>
  <si>
    <t>08720181326974</t>
  </si>
  <si>
    <t>5011597008930</t>
  </si>
  <si>
    <t>5011597018939</t>
  </si>
  <si>
    <t>5011597091444</t>
  </si>
  <si>
    <t>face cloths bodycare green</t>
  </si>
  <si>
    <t>5011597008916</t>
  </si>
  <si>
    <t>5011597018915</t>
  </si>
  <si>
    <t>5011597008923</t>
  </si>
  <si>
    <t>5011597018922</t>
  </si>
  <si>
    <t>5011597008893</t>
  </si>
  <si>
    <t>5011597018892</t>
  </si>
  <si>
    <t>5011597009104</t>
  </si>
  <si>
    <t>5011597019103</t>
  </si>
  <si>
    <t>5011597008947</t>
  </si>
  <si>
    <t>5011597018946</t>
  </si>
  <si>
    <t>5011597009098</t>
  </si>
  <si>
    <t>5011597019097</t>
  </si>
  <si>
    <t>5011597008909</t>
  </si>
  <si>
    <t>5011597018908</t>
  </si>
  <si>
    <t>5011597009111</t>
  </si>
  <si>
    <t>5011597019110</t>
  </si>
  <si>
    <t>5011597081445</t>
  </si>
  <si>
    <t>08720181474040</t>
  </si>
  <si>
    <t>DOVESPRF</t>
  </si>
  <si>
    <t>dove spray 150ml fresh</t>
  </si>
  <si>
    <t>8720181287589</t>
  </si>
  <si>
    <t>08720181294518</t>
  </si>
  <si>
    <t>DOVESPPO</t>
  </si>
  <si>
    <t>dove spray 150ml powder</t>
  </si>
  <si>
    <t>8720181287626</t>
  </si>
  <si>
    <t>08720181294594</t>
  </si>
  <si>
    <t>DOVESSC2</t>
  </si>
  <si>
    <t>dove soap 2 pack summer care</t>
  </si>
  <si>
    <t>08720181673795</t>
  </si>
  <si>
    <t>SIMPPFW</t>
  </si>
  <si>
    <t xml:space="preserve">simple purifying gel wash daily skin detox 150ml </t>
  </si>
  <si>
    <t>8710447474419</t>
  </si>
  <si>
    <t>08720181258145</t>
  </si>
  <si>
    <t>DOV25AW</t>
  </si>
  <si>
    <t>dove spray 250ml apple &amp; white not for sale in usa canada and gcc countries</t>
  </si>
  <si>
    <t>08720181625466</t>
  </si>
  <si>
    <t>8720181625381</t>
  </si>
  <si>
    <t>DOVESPMS</t>
  </si>
  <si>
    <t>dove spray 150ml mens sport</t>
  </si>
  <si>
    <t>8720181533204</t>
  </si>
  <si>
    <t>08720181533235</t>
  </si>
  <si>
    <t>AVEENOBOS2</t>
  </si>
  <si>
    <t>aveeno skin relief body oil spray 200ml</t>
  </si>
  <si>
    <t>3574661646992</t>
  </si>
  <si>
    <t>03574661651609</t>
  </si>
  <si>
    <t>8720181673788</t>
  </si>
  <si>
    <t>SIMPPPORE</t>
  </si>
  <si>
    <t>8710447474426</t>
  </si>
  <si>
    <t>08720181258169</t>
  </si>
  <si>
    <t>simple purify &amp; pore scrub 150ml</t>
  </si>
  <si>
    <t>GILCLEARGCW</t>
  </si>
  <si>
    <t xml:space="preserve">gillette clear gel 70ml cool wave </t>
  </si>
  <si>
    <t>7702018978120</t>
  </si>
  <si>
    <t>gillette clear gel 70ml power rush</t>
  </si>
  <si>
    <t>gillette clear gel 70ml aloe</t>
  </si>
  <si>
    <t>GILCLEARGAL</t>
  </si>
  <si>
    <t>GILCLEARGPR</t>
  </si>
  <si>
    <t>VASSCO</t>
  </si>
  <si>
    <t>vaseline intensive care cocoa radiant moisturiser 190ml</t>
  </si>
  <si>
    <t>8712561676106</t>
  </si>
  <si>
    <t>08712561691338</t>
  </si>
  <si>
    <t>VASLIPSTA</t>
  </si>
  <si>
    <t>vaseline lip stick aloe vera 4g</t>
  </si>
  <si>
    <t>8711600352728</t>
  </si>
  <si>
    <t>3912689645118</t>
  </si>
  <si>
    <t>18934839126893</t>
  </si>
  <si>
    <t>3912690245120</t>
  </si>
  <si>
    <t>3911609545119</t>
  </si>
  <si>
    <t>05010123821814</t>
  </si>
  <si>
    <t>CCMES</t>
  </si>
  <si>
    <t>clean &amp; clear morning energy skin energising scrub 150ml</t>
  </si>
  <si>
    <t>3574660658606</t>
  </si>
  <si>
    <t>03574660658613</t>
  </si>
  <si>
    <t>PANS500RP</t>
  </si>
  <si>
    <t>pantene shampoo 500ml repair and protect</t>
  </si>
  <si>
    <t>8006540988206</t>
  </si>
  <si>
    <t>8006540988190</t>
  </si>
  <si>
    <t>PANS500SS</t>
  </si>
  <si>
    <t>8006540988237</t>
  </si>
  <si>
    <t>8006540988220</t>
  </si>
  <si>
    <t>COR500C</t>
  </si>
  <si>
    <t>COR500F</t>
  </si>
  <si>
    <t>corsodyl alcohol free cool mint mouthwash 500ml</t>
  </si>
  <si>
    <t>corsodyl alcohol free fresh mint mouthwash 500ml</t>
  </si>
  <si>
    <t>5000347054242</t>
  </si>
  <si>
    <t>SENSOM</t>
  </si>
  <si>
    <t>sensodyne 75ml daily care original mint</t>
  </si>
  <si>
    <t>5000347080685</t>
  </si>
  <si>
    <t>4103330217134</t>
  </si>
  <si>
    <t>CALINSFCF</t>
  </si>
  <si>
    <t xml:space="preserve">calpol infant sugar free colour free suspension 100ml </t>
  </si>
  <si>
    <t>3574660418439</t>
  </si>
  <si>
    <t>03574661143668</t>
  </si>
  <si>
    <t>0083078019273</t>
  </si>
  <si>
    <t>0083078004897</t>
  </si>
  <si>
    <t>0083078019242</t>
  </si>
  <si>
    <t>0083078010881</t>
  </si>
  <si>
    <t>0083078018870</t>
  </si>
  <si>
    <t>0083078018887</t>
  </si>
  <si>
    <t>0083078010898</t>
  </si>
  <si>
    <t>0083078019259</t>
  </si>
  <si>
    <t>0083078004903</t>
  </si>
  <si>
    <t>0083078019280</t>
  </si>
  <si>
    <t>DOVEK4BR</t>
  </si>
  <si>
    <t>dove baby head to toe body wash 400ml rich moisture</t>
  </si>
  <si>
    <t>8710908657467</t>
  </si>
  <si>
    <t>08710908656187</t>
  </si>
  <si>
    <t>DOVEK4RM</t>
  </si>
  <si>
    <t>dove baby lotion rich moisture 400ml</t>
  </si>
  <si>
    <t>8710447362945</t>
  </si>
  <si>
    <t>08710447362976</t>
  </si>
  <si>
    <t>AVEENOBWVO</t>
  </si>
  <si>
    <t>aveeno daily moisturising body wash 300ml vanilla &amp; oat</t>
  </si>
  <si>
    <t>RGS250P</t>
  </si>
  <si>
    <t>right guard deo spray 250ml pure sensitive</t>
  </si>
  <si>
    <t>05012583500926</t>
  </si>
  <si>
    <t>sanmex ant and crawling insect spray 300ml</t>
  </si>
  <si>
    <t>5000174990164</t>
  </si>
  <si>
    <t>5000174990171</t>
  </si>
  <si>
    <t>COLKIDBF</t>
  </si>
  <si>
    <t>colgate 50ml kids 2-5 years toothpaste bubble fruit</t>
  </si>
  <si>
    <t>6920654812866</t>
  </si>
  <si>
    <t>SURE200B</t>
  </si>
  <si>
    <t>sure spray 200ml bright</t>
  </si>
  <si>
    <t>8720181334832</t>
  </si>
  <si>
    <t>08720181335228</t>
  </si>
  <si>
    <t>SURE200Q</t>
  </si>
  <si>
    <t>sure spray 200ml quantum mens</t>
  </si>
  <si>
    <t>8720181334917</t>
  </si>
  <si>
    <t>08720181335327</t>
  </si>
  <si>
    <t>SURE200C</t>
  </si>
  <si>
    <t>sure spray 200ml cotton</t>
  </si>
  <si>
    <t>8720181334849</t>
  </si>
  <si>
    <t>08720181335266</t>
  </si>
  <si>
    <t>SURE200SD</t>
  </si>
  <si>
    <t>sure spray 200ml sport defence</t>
  </si>
  <si>
    <t>8720181339431</t>
  </si>
  <si>
    <t>08720181339448</t>
  </si>
  <si>
    <t>SURE200II</t>
  </si>
  <si>
    <t>sure spray 200ml invisible ice</t>
  </si>
  <si>
    <t>8720181334955</t>
  </si>
  <si>
    <t>08720181335389</t>
  </si>
  <si>
    <t>SURE200SF</t>
  </si>
  <si>
    <t>sure spray 200ml shower fresh</t>
  </si>
  <si>
    <t>8720181334900</t>
  </si>
  <si>
    <t>08720181335303</t>
  </si>
  <si>
    <t>SURE200BM</t>
  </si>
  <si>
    <t>sure spray 200ml bergamot &amp; mint</t>
  </si>
  <si>
    <t xml:space="preserve">sure spray 200ml active </t>
  </si>
  <si>
    <t>SURE200A</t>
  </si>
  <si>
    <t>SURE200PJ</t>
  </si>
  <si>
    <t>sure spray 200ml pear &amp; jasmine</t>
  </si>
  <si>
    <t>TAMSP2012</t>
  </si>
  <si>
    <t>8700216012447</t>
  </si>
  <si>
    <t>08700216012454</t>
  </si>
  <si>
    <t>PALMPHE</t>
  </si>
  <si>
    <t>8003520042705</t>
  </si>
  <si>
    <t>08718951489578</t>
  </si>
  <si>
    <t>palmolive pump soap 300ml hygiene plus eucalyptus</t>
  </si>
  <si>
    <t>05000469080686</t>
  </si>
  <si>
    <t>pantene shampoo 500ml smooth and sleek</t>
  </si>
  <si>
    <t>4015600810849</t>
  </si>
  <si>
    <t>4015600810825</t>
  </si>
  <si>
    <t>8001841587684</t>
  </si>
  <si>
    <t>8001841587677</t>
  </si>
  <si>
    <t>DOVEBW72CI</t>
  </si>
  <si>
    <t>dove body wash 720ml creamy induldge</t>
  </si>
  <si>
    <t>08720181750878</t>
  </si>
  <si>
    <t>lillets regular 10's</t>
  </si>
  <si>
    <t xml:space="preserve">lillets super plus 10's </t>
  </si>
  <si>
    <t>LILLR10</t>
  </si>
  <si>
    <t>LILLSP</t>
  </si>
  <si>
    <t>5025971100288</t>
  </si>
  <si>
    <t>5025971100233</t>
  </si>
  <si>
    <t>05025971205563</t>
  </si>
  <si>
    <t>05025971205587</t>
  </si>
  <si>
    <t>MRMUSB</t>
  </si>
  <si>
    <t>mr muscle bathroom trigger 750ml</t>
  </si>
  <si>
    <t>5000204043945</t>
  </si>
  <si>
    <t>05000204043938</t>
  </si>
  <si>
    <t>JJSH</t>
  </si>
  <si>
    <t>j &amp; j baby honey soap 2's</t>
  </si>
  <si>
    <t>OLDSPDN25</t>
  </si>
  <si>
    <t>old spice deo spray 250ml night panther</t>
  </si>
  <si>
    <t>8006540954416</t>
  </si>
  <si>
    <t>16920354880534</t>
  </si>
  <si>
    <t>ORALBEFUN</t>
  </si>
  <si>
    <t>PJ4PA</t>
  </si>
  <si>
    <t>pet jelly 4 pack 10ml aloe curelene</t>
  </si>
  <si>
    <t>pet jelly 4 pack 10ml rosy curelene</t>
  </si>
  <si>
    <t>CURAPG</t>
  </si>
  <si>
    <t>curalene pure glycerine 100ml</t>
  </si>
  <si>
    <t>SURE200F</t>
  </si>
  <si>
    <t>sure spray 200ml fresh</t>
  </si>
  <si>
    <t>PJ4PR</t>
  </si>
  <si>
    <t xml:space="preserve">8908016224736 </t>
  </si>
  <si>
    <t>8908016224606</t>
  </si>
  <si>
    <t xml:space="preserve">8904442800810 </t>
  </si>
  <si>
    <t>8904442800827</t>
  </si>
  <si>
    <t xml:space="preserve">8904442800964 </t>
  </si>
  <si>
    <t>8904442800971</t>
  </si>
  <si>
    <t>5054563006356</t>
  </si>
  <si>
    <t>5054563006363</t>
  </si>
  <si>
    <t>09711700854320</t>
  </si>
  <si>
    <t xml:space="preserve">8720181579066 </t>
  </si>
  <si>
    <t>09720181579158</t>
  </si>
  <si>
    <t xml:space="preserve">8720181579073 </t>
  </si>
  <si>
    <t>08720181579134</t>
  </si>
  <si>
    <t>8720181476792</t>
  </si>
  <si>
    <t>08720181272202</t>
  </si>
  <si>
    <t>08720181272363</t>
  </si>
  <si>
    <t>AVEENOVBL3</t>
  </si>
  <si>
    <t>aveeno daily moisturising body lotion 300ml vanilla &amp; oat</t>
  </si>
  <si>
    <t>3574661697338</t>
  </si>
  <si>
    <t>03574661715278</t>
  </si>
  <si>
    <t xml:space="preserve">sanex roll-on 50ml nourishing </t>
  </si>
  <si>
    <t>SANRONO</t>
  </si>
  <si>
    <t>8718951729926</t>
  </si>
  <si>
    <t>08718951729919</t>
  </si>
  <si>
    <t>CORBODY3</t>
  </si>
  <si>
    <t>coral bath sponge 3 pack</t>
  </si>
  <si>
    <t>5000347054235</t>
  </si>
  <si>
    <t>8720181750861</t>
  </si>
  <si>
    <t>7702018978137</t>
  </si>
  <si>
    <t>4005900008985</t>
  </si>
  <si>
    <t>4005900240316</t>
  </si>
  <si>
    <t>DOV25PF</t>
  </si>
  <si>
    <t>dove spray 250ml passion fruit not for sale in usa canada and gcc countries</t>
  </si>
  <si>
    <t>8720181624568</t>
  </si>
  <si>
    <t>08720181624650</t>
  </si>
  <si>
    <t>3574661867991</t>
  </si>
  <si>
    <t>03574661868806</t>
  </si>
  <si>
    <t>5011597092779</t>
  </si>
  <si>
    <t>5011597312778</t>
  </si>
  <si>
    <t>LYNX2APE</t>
  </si>
  <si>
    <t>lynx apa spray 200ml epic</t>
  </si>
  <si>
    <t>IMPFVCS</t>
  </si>
  <si>
    <t>imperial leather foamburst 200ml cherry &amp; snow blossom</t>
  </si>
  <si>
    <t>05000101517976</t>
  </si>
  <si>
    <t>5000101517983</t>
  </si>
  <si>
    <t>5029053582528</t>
  </si>
  <si>
    <t>08720181208409</t>
  </si>
  <si>
    <t>8720181208393</t>
  </si>
  <si>
    <t>OLAYDACR</t>
  </si>
  <si>
    <t>olay double action cream 50ml regular</t>
  </si>
  <si>
    <t>DET250</t>
  </si>
  <si>
    <t>dettol liquid 250ml</t>
  </si>
  <si>
    <t>50158072</t>
  </si>
  <si>
    <t xml:space="preserve">05000158407589 </t>
  </si>
  <si>
    <t>PALMSH4GS</t>
  </si>
  <si>
    <t>palmolive shower gel 450ml gentle scrub</t>
  </si>
  <si>
    <t>palmolive shower gel 450ml mineral scrub</t>
  </si>
  <si>
    <t>PALMSH4MS</t>
  </si>
  <si>
    <t>NEUTHCU</t>
  </si>
  <si>
    <t>neutrogena hand cream 50ml unscented</t>
  </si>
  <si>
    <t>8002110383709</t>
  </si>
  <si>
    <t>03574660116946</t>
  </si>
  <si>
    <t>nivea roll on 50ml womens pure invisible</t>
  </si>
  <si>
    <t>42299912</t>
  </si>
  <si>
    <t>NIVBL4DI</t>
  </si>
  <si>
    <t>nivea body lotion 400ml mens deep impact</t>
  </si>
  <si>
    <t>6001051004164</t>
  </si>
  <si>
    <t>16001051004161</t>
  </si>
  <si>
    <t>DOV4SHIR</t>
  </si>
  <si>
    <t>dove shampoo 400ml intensive repair</t>
  </si>
  <si>
    <t>8712561488280</t>
  </si>
  <si>
    <t>08712561531306</t>
  </si>
  <si>
    <t>DOVEBWNO</t>
  </si>
  <si>
    <t>dove body wash 225ml nourishing silk</t>
  </si>
  <si>
    <t>DOMBCI</t>
  </si>
  <si>
    <t>domestos bleach 750ml citrus</t>
  </si>
  <si>
    <t xml:space="preserve">5000186811112 </t>
  </si>
  <si>
    <t>08717644196212</t>
  </si>
  <si>
    <t>DOMBPIN</t>
  </si>
  <si>
    <t>domestos bleach 750ml pink</t>
  </si>
  <si>
    <t>8717163540213</t>
  </si>
  <si>
    <t>08717644196250</t>
  </si>
  <si>
    <t>DOMBM</t>
  </si>
  <si>
    <t>08720181457715</t>
  </si>
  <si>
    <t>8720181457388</t>
  </si>
  <si>
    <t>08717644196274</t>
  </si>
  <si>
    <t>5000186481018</t>
  </si>
  <si>
    <t>TRESCS170KFP</t>
  </si>
  <si>
    <t>8720181231186</t>
  </si>
  <si>
    <t>08720181231216</t>
  </si>
  <si>
    <t>TRESC1KUS</t>
  </si>
  <si>
    <t>tresemme 100ml keratin ultra smooth condioner</t>
  </si>
  <si>
    <t>8710908694813</t>
  </si>
  <si>
    <t>08710908696374</t>
  </si>
  <si>
    <t>NIVBL4IP</t>
  </si>
  <si>
    <t>nivea body lotion 400ml irresistibly smooth sensation pump</t>
  </si>
  <si>
    <t>4005900468871</t>
  </si>
  <si>
    <t>04005805226323</t>
  </si>
  <si>
    <t>COLPUMPC</t>
  </si>
  <si>
    <t xml:space="preserve">colgate 100ml pump max cavity </t>
  </si>
  <si>
    <t>5000209100513</t>
  </si>
  <si>
    <t>08714789299426</t>
  </si>
  <si>
    <t>COLPUMPT</t>
  </si>
  <si>
    <t xml:space="preserve">colgate 100ml pump cool stripe </t>
  </si>
  <si>
    <t>5000209101527</t>
  </si>
  <si>
    <t>08714789329390</t>
  </si>
  <si>
    <t>PALMSH4RE</t>
  </si>
  <si>
    <t>palmolive shower gel 400ml revitalise</t>
  </si>
  <si>
    <t>PALMSGAM</t>
  </si>
  <si>
    <t>NIVROPI</t>
  </si>
  <si>
    <t>HAS400AP</t>
  </si>
  <si>
    <t>head and shoulders 400ml apple</t>
  </si>
  <si>
    <t>8006540810637</t>
  </si>
  <si>
    <t>8006440810651</t>
  </si>
  <si>
    <t>VASLBALROS</t>
  </si>
  <si>
    <t>8720181061714</t>
  </si>
  <si>
    <t>08720181061769</t>
  </si>
  <si>
    <t>SIMPFSS</t>
  </si>
  <si>
    <t>simple smoothing facial scrub 75ml</t>
  </si>
  <si>
    <t>5011451103894</t>
  </si>
  <si>
    <t>tresemme 440ml rich moisture hair mask</t>
  </si>
  <si>
    <t>TRESMASKRIC</t>
  </si>
  <si>
    <t>8720181238413</t>
  </si>
  <si>
    <t>TRESC300KER</t>
  </si>
  <si>
    <t>tresemme 300ml conditioner keratin smooth</t>
  </si>
  <si>
    <t>8720181474026</t>
  </si>
  <si>
    <t>8720181474088</t>
  </si>
  <si>
    <t>tresemme 300ml shampoo lamellar shine</t>
  </si>
  <si>
    <t>8720181474682</t>
  </si>
  <si>
    <t>TRESS300LAM</t>
  </si>
  <si>
    <t>dove shampoo 400ml light daily moisture</t>
  </si>
  <si>
    <t>DOV4SHLDM</t>
  </si>
  <si>
    <t>8720181205668</t>
  </si>
  <si>
    <t>TRESC300LAM</t>
  </si>
  <si>
    <t>tresemme 300ml conditioner lamellar shine</t>
  </si>
  <si>
    <t>8720181474699</t>
  </si>
  <si>
    <t>TRESS300CLE</t>
  </si>
  <si>
    <t>8720182513786</t>
  </si>
  <si>
    <t>TRESS5BR</t>
  </si>
  <si>
    <t>8720181699825</t>
  </si>
  <si>
    <t>vaseline lip balm tube 10g rosy</t>
  </si>
  <si>
    <t>DOVESPBF</t>
  </si>
  <si>
    <t>dove spray 150ml beauty finish</t>
  </si>
  <si>
    <t>8711600322080</t>
  </si>
  <si>
    <t>08711600322097</t>
  </si>
  <si>
    <t>TRESC5BR</t>
  </si>
  <si>
    <t>8720181699856</t>
  </si>
  <si>
    <t>BATIO</t>
  </si>
  <si>
    <t>batiste dry shampoo 200ml original</t>
  </si>
  <si>
    <t>05010724827482</t>
  </si>
  <si>
    <t>08720181238482</t>
  </si>
  <si>
    <t xml:space="preserve">tresemme 500ml shampoo biotin repair </t>
  </si>
  <si>
    <t>08720181699924</t>
  </si>
  <si>
    <t xml:space="preserve">tresemme 500ml conditioner biotin repair </t>
  </si>
  <si>
    <t>08720181700002</t>
  </si>
  <si>
    <t>08710447437087</t>
  </si>
  <si>
    <t>palmolive shower gel kids 250ml natural</t>
  </si>
  <si>
    <t>8718951528246</t>
  </si>
  <si>
    <t>8718951528208</t>
  </si>
  <si>
    <t>DOVEROT</t>
  </si>
  <si>
    <t>dove roll-on 50ml talco</t>
  </si>
  <si>
    <t>08717644397763</t>
  </si>
  <si>
    <t>PALMCTVC250</t>
  </si>
  <si>
    <t>palmers tahitian vanilla 250ml cream</t>
  </si>
  <si>
    <t>SIMPMFW</t>
  </si>
  <si>
    <t>simple moisturising foaming face wash 150ml</t>
  </si>
  <si>
    <t>5011451103870</t>
  </si>
  <si>
    <t>08720181258084</t>
  </si>
  <si>
    <t>YARBS75FB</t>
  </si>
  <si>
    <t>yardley body spray 75ml freesia &amp; bergamot</t>
  </si>
  <si>
    <t>5056179301702</t>
  </si>
  <si>
    <t>05056179351707</t>
  </si>
  <si>
    <t>YARBS75AV</t>
  </si>
  <si>
    <t>yardley body spray 75ml april violets</t>
  </si>
  <si>
    <t>5060322952505</t>
  </si>
  <si>
    <t>05060322957500</t>
  </si>
  <si>
    <t xml:space="preserve">tresemme 200ml leave in rich moisture cream </t>
  </si>
  <si>
    <t>TRESLCRM</t>
  </si>
  <si>
    <t>SIMPHLM</t>
  </si>
  <si>
    <t>simple hydrating light moisturiser 125ml</t>
  </si>
  <si>
    <t>5011451103931</t>
  </si>
  <si>
    <t>05011451307711</t>
  </si>
  <si>
    <t>8006530044677</t>
  </si>
  <si>
    <t>8006530044660</t>
  </si>
  <si>
    <t>oral b essential floss 50m waxed</t>
  </si>
  <si>
    <t>camay classic soap 3 pack</t>
  </si>
  <si>
    <t>8999999058401</t>
  </si>
  <si>
    <t>18886467237185</t>
  </si>
  <si>
    <t>08720181205750</t>
  </si>
  <si>
    <t>8720181594847</t>
  </si>
  <si>
    <t>08720181159878</t>
  </si>
  <si>
    <t>08720181474736</t>
  </si>
  <si>
    <t>08720181474729</t>
  </si>
  <si>
    <t>tresemme 300ml shampoo cleanse replenish</t>
  </si>
  <si>
    <t>08720182514257</t>
  </si>
  <si>
    <t>04005805500232</t>
  </si>
  <si>
    <t>PJ225ME</t>
  </si>
  <si>
    <t>petroleum jelly 225ml menthol and camphor</t>
  </si>
  <si>
    <t>8904442801794</t>
  </si>
  <si>
    <t>8904442801817</t>
  </si>
  <si>
    <t>CAMAYCL3</t>
  </si>
  <si>
    <t>PJ225SB</t>
  </si>
  <si>
    <t>petroleum jelly 225ml shea butter</t>
  </si>
  <si>
    <t>8902016824545</t>
  </si>
  <si>
    <t>08720181476808</t>
  </si>
  <si>
    <t>8908016224705</t>
  </si>
  <si>
    <t>NIVS50</t>
  </si>
  <si>
    <t>nivea soft 50ml</t>
  </si>
  <si>
    <t>42207269</t>
  </si>
  <si>
    <t>PANS27SS</t>
  </si>
  <si>
    <t>PALMCOJ2EX</t>
  </si>
  <si>
    <t>palmers cocoa butter 200g + 30% Bonus (270g) jar</t>
  </si>
  <si>
    <t>010181140082</t>
  </si>
  <si>
    <t>30010181140083</t>
  </si>
  <si>
    <t xml:space="preserve">pantene shampoo 250ml smooth &amp; silky miracle </t>
  </si>
  <si>
    <t>8006530041348</t>
  </si>
  <si>
    <t>8006530041324</t>
  </si>
  <si>
    <t>046100954409</t>
  </si>
  <si>
    <t xml:space="preserve">5000174070354 </t>
  </si>
  <si>
    <t>5000174434613</t>
  </si>
  <si>
    <t xml:space="preserve">8718951592582 </t>
  </si>
  <si>
    <t>08718951592575</t>
  </si>
  <si>
    <t xml:space="preserve">8718951726765 </t>
  </si>
  <si>
    <t>08718951726758</t>
  </si>
  <si>
    <t xml:space="preserve">8718951726857 </t>
  </si>
  <si>
    <t>08718951726840</t>
  </si>
  <si>
    <t xml:space="preserve">8720181334948 </t>
  </si>
  <si>
    <t>08720181335365</t>
  </si>
  <si>
    <t>DOVEBW72DN</t>
  </si>
  <si>
    <t xml:space="preserve">dove body wash 720ml nourishing </t>
  </si>
  <si>
    <t>8720181466403</t>
  </si>
  <si>
    <t>08720181468582</t>
  </si>
  <si>
    <t>EUTH75</t>
  </si>
  <si>
    <t>euthymol 75ml</t>
  </si>
  <si>
    <t>5010123715175</t>
  </si>
  <si>
    <t>03574661128795</t>
  </si>
  <si>
    <t>domestos bleach 750ml mountain</t>
  </si>
  <si>
    <t>010181041587</t>
  </si>
  <si>
    <t>60010181041589</t>
  </si>
  <si>
    <t>DOVEHCP</t>
  </si>
  <si>
    <t xml:space="preserve">dove hand cream 75ml pro age </t>
  </si>
  <si>
    <t>deep heat rub 35g</t>
  </si>
  <si>
    <t>DEEPHE35</t>
  </si>
  <si>
    <t>dove conditioner 350ml glow up</t>
  </si>
  <si>
    <t>dove conditioner 350ml intense repair</t>
  </si>
  <si>
    <t>dove conditioner 350ml winter bloom</t>
  </si>
  <si>
    <t>8720181678196</t>
  </si>
  <si>
    <t>8712561571333</t>
  </si>
  <si>
    <t>8720181794865</t>
  </si>
  <si>
    <t>8720181678271</t>
  </si>
  <si>
    <t>8712561530897</t>
  </si>
  <si>
    <t>8720181794896</t>
  </si>
  <si>
    <t>DOVECOND35GU</t>
  </si>
  <si>
    <t>DOVECOND35IR</t>
  </si>
  <si>
    <t>DOVECOND35WB</t>
  </si>
  <si>
    <t>radox shower gel 225ml feel hydrated</t>
  </si>
  <si>
    <t>RADSGFH</t>
  </si>
  <si>
    <t>8720181465482</t>
  </si>
  <si>
    <t>SURESWL</t>
  </si>
  <si>
    <t>sure spray 150ml water lily</t>
  </si>
  <si>
    <t>8720181459849</t>
  </si>
  <si>
    <t>5012254068151</t>
  </si>
  <si>
    <t>tresemme hairspray 250ml extra hold</t>
  </si>
  <si>
    <t>tresemme hairspray 400ml extra hold</t>
  </si>
  <si>
    <t>5012254068144</t>
  </si>
  <si>
    <t>tresemme hairspray 250ml freeze hold</t>
  </si>
  <si>
    <t>8710447299081</t>
  </si>
  <si>
    <t>TRESHS2EH</t>
  </si>
  <si>
    <t>TRESHS4EH</t>
  </si>
  <si>
    <t>TRESHS2FH</t>
  </si>
  <si>
    <t>TRESCBR170</t>
  </si>
  <si>
    <t>8720181231193</t>
  </si>
  <si>
    <t>8720181231230</t>
  </si>
  <si>
    <t xml:space="preserve">tresemme 1 minute 170ml smooth conditioner keratin treatment </t>
  </si>
  <si>
    <t>tresemme 1 minute 170ml wow conditioner biotin repair</t>
  </si>
  <si>
    <t>palmers tahitian vanilla moisture drenching body oil 192ml</t>
  </si>
  <si>
    <t>PALMCTVOIL</t>
  </si>
  <si>
    <t>08710908863011</t>
  </si>
  <si>
    <t>carmex lip balm watermelon pot (12 pack)</t>
  </si>
  <si>
    <t>CARLIPJW</t>
  </si>
  <si>
    <t>RGS250XC</t>
  </si>
  <si>
    <t>right guard deo spray 250ml xtreme cool</t>
  </si>
  <si>
    <t>SURE300B</t>
  </si>
  <si>
    <t>SURE300I</t>
  </si>
  <si>
    <t>sure spray 300ml xxl bright</t>
  </si>
  <si>
    <t>sure spray 300ml xxl invisible ice</t>
  </si>
  <si>
    <t xml:space="preserve">sanex deo spray 200ml mens sensitive 48hr </t>
  </si>
  <si>
    <t>SANDMENS</t>
  </si>
  <si>
    <t>CLEARRAGW</t>
  </si>
  <si>
    <t xml:space="preserve">clearasil rapid action gel wash 150ml </t>
  </si>
  <si>
    <t>5000158100633</t>
  </si>
  <si>
    <t>05011417753798</t>
  </si>
  <si>
    <t>tresemme 500ml conditioner keratin smooth</t>
  </si>
  <si>
    <t>TRESC500KER</t>
  </si>
  <si>
    <t>NIVROLPB</t>
  </si>
  <si>
    <t>42299929</t>
  </si>
  <si>
    <t>04005805231129</t>
  </si>
  <si>
    <t>08720181700026</t>
  </si>
  <si>
    <t>05000297636598</t>
  </si>
  <si>
    <t>08710447299258</t>
  </si>
  <si>
    <t>05000297636604</t>
  </si>
  <si>
    <t>HAS330ANTI</t>
  </si>
  <si>
    <t>MACW100</t>
  </si>
  <si>
    <t>macleans white and shine 100ml toothpaste</t>
  </si>
  <si>
    <t>LIST500C</t>
  </si>
  <si>
    <t>listerine coolmint 500ml</t>
  </si>
  <si>
    <t>5010123703585</t>
  </si>
  <si>
    <t>SIMVVCN</t>
  </si>
  <si>
    <t>simple vital vitamin cream 50ml</t>
  </si>
  <si>
    <t>LIST500CZ</t>
  </si>
  <si>
    <t>listerine coolmint zero 500ml</t>
  </si>
  <si>
    <t>3574660649895</t>
  </si>
  <si>
    <t>03574660649901</t>
  </si>
  <si>
    <t>dove lotion 250ml smoothing care coconut (restoring )</t>
  </si>
  <si>
    <t>15056657200364</t>
  </si>
  <si>
    <t>0083078010980</t>
  </si>
  <si>
    <t>0083078010997</t>
  </si>
  <si>
    <t>8720181556708</t>
  </si>
  <si>
    <t>8720181556722</t>
  </si>
  <si>
    <t>08720181556746</t>
  </si>
  <si>
    <t>08720181556784</t>
  </si>
  <si>
    <t>08720181459863</t>
  </si>
  <si>
    <t>8710447485552</t>
  </si>
  <si>
    <t>08710447485576</t>
  </si>
  <si>
    <t>8718951727915</t>
  </si>
  <si>
    <t>08718951727908</t>
  </si>
  <si>
    <t>08720181465499</t>
  </si>
  <si>
    <t>08720181314513</t>
  </si>
  <si>
    <t>5000347016486</t>
  </si>
  <si>
    <t>05054563114662</t>
  </si>
  <si>
    <t>010181042713</t>
  </si>
  <si>
    <t>10010181042710</t>
  </si>
  <si>
    <t>010181042874</t>
  </si>
  <si>
    <t>10010181042871</t>
  </si>
  <si>
    <t>03574660635249</t>
  </si>
  <si>
    <t>03574660635324</t>
  </si>
  <si>
    <t>head and shoulders 330ml men's anti hairfall with caffeine</t>
  </si>
  <si>
    <t>8700216230667</t>
  </si>
  <si>
    <t>8700216230674</t>
  </si>
  <si>
    <t>HAS750O</t>
  </si>
  <si>
    <t>head and shoulders 750ml balance &amp; refresh</t>
  </si>
  <si>
    <t>8700216206853</t>
  </si>
  <si>
    <t>8700216206860</t>
  </si>
  <si>
    <t>nivea roll on 50ml womens pearl &amp; beauty</t>
  </si>
  <si>
    <t>NIVROBWI</t>
  </si>
  <si>
    <t>nivea roll on 50ml womens black and white invisible</t>
  </si>
  <si>
    <t>42299882</t>
  </si>
  <si>
    <t>NEUTCDFS</t>
  </si>
  <si>
    <t>3574661332505</t>
  </si>
  <si>
    <t>03574661339207</t>
  </si>
  <si>
    <t>NEUTVCPGS</t>
  </si>
  <si>
    <t>neutrogena clear &amp; radiant 150ml face wash exfoliating</t>
  </si>
  <si>
    <t xml:space="preserve">neutrogena clear &amp; defend 150ml face scrub spot </t>
  </si>
  <si>
    <t>3574661498430</t>
  </si>
  <si>
    <t>03574661502748</t>
  </si>
  <si>
    <t>NEUTVCBET</t>
  </si>
  <si>
    <t>neutrogena blackhead eliminating toner 200ml</t>
  </si>
  <si>
    <t>3574661500478</t>
  </si>
  <si>
    <t>3574661501338</t>
  </si>
  <si>
    <t>DOVEKLRM</t>
  </si>
  <si>
    <t>dove baby lotion rich moisture 200ml</t>
  </si>
  <si>
    <t>8710908658075</t>
  </si>
  <si>
    <t>08710908656330</t>
  </si>
  <si>
    <t>DUREXI3</t>
  </si>
  <si>
    <t>durex invisible 3's</t>
  </si>
  <si>
    <t>5052197050233</t>
  </si>
  <si>
    <t>05052197050240</t>
  </si>
  <si>
    <t>ORALBBLACK3</t>
  </si>
  <si>
    <t>oral b all rounder black 3 pack toothbrush medium</t>
  </si>
  <si>
    <t>3014260101657</t>
  </si>
  <si>
    <t>3014260101664</t>
  </si>
  <si>
    <t>LYNXAPA</t>
  </si>
  <si>
    <t>lynx apa spray 150ml africa</t>
  </si>
  <si>
    <t>8717644016572</t>
  </si>
  <si>
    <t>08717644016558</t>
  </si>
  <si>
    <t>LYNXBSA</t>
  </si>
  <si>
    <t xml:space="preserve">lynx body spray 150ml africa </t>
  </si>
  <si>
    <t>8717644012208</t>
  </si>
  <si>
    <t>08717644012185</t>
  </si>
  <si>
    <t>LYNXBSE</t>
  </si>
  <si>
    <t>lynx body spray 150ml excite</t>
  </si>
  <si>
    <t>8718114650197</t>
  </si>
  <si>
    <t>08718114650227</t>
  </si>
  <si>
    <t>LYNXBSG</t>
  </si>
  <si>
    <t>lynx body spray 150ml gold</t>
  </si>
  <si>
    <t>8710447248997</t>
  </si>
  <si>
    <t>08710447249161</t>
  </si>
  <si>
    <t>lynx apa spray 150ml gold</t>
  </si>
  <si>
    <t>LYNXAPAG</t>
  </si>
  <si>
    <t>8710447250259</t>
  </si>
  <si>
    <t>08710447250266</t>
  </si>
  <si>
    <t>CHAP0RIG</t>
  </si>
  <si>
    <t>chapstick original</t>
  </si>
  <si>
    <t>50309443</t>
  </si>
  <si>
    <t>5000309128103</t>
  </si>
  <si>
    <t>CHAPSTRA</t>
  </si>
  <si>
    <t>chapstick strawberry</t>
  </si>
  <si>
    <t>96186893</t>
  </si>
  <si>
    <t>05000309009136</t>
  </si>
  <si>
    <t>SANRODEC</t>
  </si>
  <si>
    <t>sanex roll-on 50ml extra control</t>
  </si>
  <si>
    <t>8714789762845</t>
  </si>
  <si>
    <t>8714789762838</t>
  </si>
  <si>
    <t>SANROIAW</t>
  </si>
  <si>
    <t>sanex roll-on 50ml invisible dry</t>
  </si>
  <si>
    <t>8714789762876</t>
  </si>
  <si>
    <t>08714789762869</t>
  </si>
  <si>
    <t>SANROMA</t>
  </si>
  <si>
    <t>sanex roll-on 50ml mens active</t>
  </si>
  <si>
    <t>8714789763460</t>
  </si>
  <si>
    <t>08714789763453</t>
  </si>
  <si>
    <t>SANRODS</t>
  </si>
  <si>
    <t>sanex roll-on 50ml sensitive</t>
  </si>
  <si>
    <t>8714789762906</t>
  </si>
  <si>
    <t>08714789762890</t>
  </si>
  <si>
    <t>SANROTP</t>
  </si>
  <si>
    <t>sanex roll-on 50ml total protection</t>
  </si>
  <si>
    <t>8718951564480</t>
  </si>
  <si>
    <t>08718951564473</t>
  </si>
  <si>
    <t>SURESBR</t>
  </si>
  <si>
    <t>sure spray 150ml bright</t>
  </si>
  <si>
    <t>8710908799228</t>
  </si>
  <si>
    <t>08710908799686</t>
  </si>
  <si>
    <t>SURESCF</t>
  </si>
  <si>
    <t>sure spray 150ml cotton dry</t>
  </si>
  <si>
    <t xml:space="preserve">8717163545324 </t>
  </si>
  <si>
    <t>08717163545331</t>
  </si>
  <si>
    <t>SURESBMM</t>
  </si>
  <si>
    <t>sure spray 150ml bergamot &amp; mint mens</t>
  </si>
  <si>
    <t>8720181564154</t>
  </si>
  <si>
    <t>08720181564598</t>
  </si>
  <si>
    <t>SURESPJ</t>
  </si>
  <si>
    <t>sure spray 150ml pear &amp; jasmine</t>
  </si>
  <si>
    <t>8720181563997</t>
  </si>
  <si>
    <t>08720181564215</t>
  </si>
  <si>
    <t>nivea body lotion 625ml pump rich nourishing</t>
  </si>
  <si>
    <t>4006000028897</t>
  </si>
  <si>
    <t>NIVBL6R</t>
  </si>
  <si>
    <t>04005805439112</t>
  </si>
  <si>
    <t>tresemme hairspray 400ml firm hold</t>
  </si>
  <si>
    <t>TRESHS4FH</t>
  </si>
  <si>
    <t>8710447299111</t>
  </si>
  <si>
    <t>08710447299197</t>
  </si>
  <si>
    <t>TRESHFLH4</t>
  </si>
  <si>
    <t>tresemme hairspray 400ml flawless volume</t>
  </si>
  <si>
    <t>8710522935910</t>
  </si>
  <si>
    <t>08710522935958</t>
  </si>
  <si>
    <t>TRESHS3FH</t>
  </si>
  <si>
    <t>tresemme hairspray 300ml firm hold</t>
  </si>
  <si>
    <t>8720181646744</t>
  </si>
  <si>
    <t>08720181646775</t>
  </si>
  <si>
    <t>SIMPW33</t>
  </si>
  <si>
    <t>simple cleansing wipes 33's</t>
  </si>
  <si>
    <t>8720181270147</t>
  </si>
  <si>
    <t>08720181270192</t>
  </si>
  <si>
    <t>GALPDR6</t>
  </si>
  <si>
    <t>galpharm diarrhoea relief capsules 2mg</t>
  </si>
  <si>
    <t>5017353500731</t>
  </si>
  <si>
    <t>05017353100788</t>
  </si>
  <si>
    <t>ALWUNP13</t>
  </si>
  <si>
    <t xml:space="preserve">always ultra day normal wings 13's </t>
  </si>
  <si>
    <t>LYNXBSB</t>
  </si>
  <si>
    <t xml:space="preserve">lynx body spray 150ml black </t>
  </si>
  <si>
    <t>8712561614023</t>
  </si>
  <si>
    <t>08712561614030</t>
  </si>
  <si>
    <t>vaseline body oil 200ml lavender</t>
  </si>
  <si>
    <t>VASOILLAV</t>
  </si>
  <si>
    <t>WISXTCF</t>
  </si>
  <si>
    <t>wisdom xtra clean toothbrush firm</t>
  </si>
  <si>
    <t>5028763006737</t>
  </si>
  <si>
    <t>05028763008182</t>
  </si>
  <si>
    <t>COTWP80</t>
  </si>
  <si>
    <t>cotton wool pads 80's navita</t>
  </si>
  <si>
    <t>ALWUDN9</t>
  </si>
  <si>
    <t>always ultra day &amp; night 9's</t>
  </si>
  <si>
    <t>v202609111515</t>
  </si>
  <si>
    <t xml:space="preserve">8006540584040 </t>
  </si>
  <si>
    <t>08006540584033</t>
  </si>
  <si>
    <t xml:space="preserve">8006540584200 </t>
  </si>
  <si>
    <t>08006540584194</t>
  </si>
  <si>
    <t xml:space="preserve">5065016806157 </t>
  </si>
  <si>
    <t xml:space="preserve">5011501040018 </t>
  </si>
  <si>
    <t>05011501003884</t>
  </si>
  <si>
    <t xml:space="preserve">8886304602018 </t>
  </si>
  <si>
    <t>28886304602012</t>
  </si>
  <si>
    <t>15065016806154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</si>
</sst>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&quot;£&quot;* #,##0.00_);_(&quot;£&quot;* \(#,##0.00\);_(&quot;£&quot;* &quot;-&quot;??_);_(@_)"/>
    <numFmt numFmtId="165" formatCode="_(* #,##0.00_);_(* \(#,##0.00\);_(* &quot;-&quot;??_);_(@_)"/>
    <numFmt numFmtId="166" formatCode="_(\£* #,##0.00_);_(\£* \(#,##0.00\);_(\£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2" fillId="0" borderId="0"/>
    <xf numFmtId="0" fontId="1" fillId="0" borderId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80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10" fillId="0" borderId="0" xfId="0" applyFont="1"/>
    <xf numFmtId="0" fontId="0" fillId="0" borderId="0" xfId="0" applyAlignment="1">
      <alignment wrapText="1"/>
    </xf>
    <xf numFmtId="0" fontId="10" fillId="0" borderId="0" xfId="0" applyFont="1" applyAlignment="1">
      <alignment wrapText="1"/>
    </xf>
    <xf numFmtId="0" fontId="0" fillId="3" borderId="0" xfId="0" applyFill="1"/>
    <xf numFmtId="164" fontId="0" fillId="0" borderId="0" xfId="3" applyFont="1" applyAlignment="1" applyProtection="1">
      <alignment horizontal="right"/>
      <protection locked="0"/>
    </xf>
    <xf numFmtId="164" fontId="0" fillId="0" borderId="0" xfId="3" applyFont="1" applyBorder="1" applyAlignment="1" applyProtection="1">
      <alignment horizontal="right"/>
      <protection locked="0"/>
    </xf>
    <xf numFmtId="164" fontId="0" fillId="0" borderId="0" xfId="3" applyFont="1" applyAlignment="1">
      <alignment horizontal="right"/>
    </xf>
    <xf numFmtId="0" fontId="0" fillId="0" borderId="0" xfId="0" applyAlignment="1">
      <alignment horizontal="right"/>
    </xf>
    <xf numFmtId="1" fontId="0" fillId="0" borderId="0" xfId="0" quotePrefix="1" applyNumberFormat="1" applyProtection="1">
      <protection locked="0"/>
    </xf>
    <xf numFmtId="1" fontId="0" fillId="0" borderId="0" xfId="0" applyNumberFormat="1" applyProtection="1">
      <protection locked="0"/>
    </xf>
    <xf numFmtId="1" fontId="7" fillId="2" borderId="0" xfId="0" quotePrefix="1" applyNumberFormat="1" applyFont="1" applyFill="1" applyProtection="1">
      <protection locked="0"/>
    </xf>
    <xf numFmtId="1" fontId="0" fillId="0" borderId="0" xfId="0" quotePrefix="1" applyNumberFormat="1"/>
    <xf numFmtId="1" fontId="0" fillId="0" borderId="0" xfId="0" applyNumberFormat="1"/>
    <xf numFmtId="164" fontId="4" fillId="0" borderId="1" xfId="3" applyFont="1" applyBorder="1" applyAlignment="1" applyProtection="1">
      <alignment wrapText="1"/>
    </xf>
    <xf numFmtId="0" fontId="4" fillId="0" borderId="0" xfId="0" applyFont="1" applyAlignment="1">
      <alignment horizontal="center" wrapText="1"/>
    </xf>
    <xf numFmtId="0" fontId="7" fillId="2" borderId="2" xfId="0" applyFont="1" applyFill="1" applyBorder="1" applyAlignment="1" applyProtection="1">
      <alignment horizontal="left"/>
      <protection locked="0"/>
    </xf>
    <xf numFmtId="0" fontId="7" fillId="2" borderId="2" xfId="0" applyFont="1" applyFill="1" applyBorder="1" applyAlignment="1" applyProtection="1">
      <alignment horizontal="center"/>
      <protection locked="0"/>
    </xf>
    <xf numFmtId="0" fontId="8" fillId="2" borderId="2" xfId="0" applyFont="1" applyFill="1" applyBorder="1" applyAlignment="1" applyProtection="1">
      <alignment horizontal="center" vertical="center"/>
      <protection locked="0"/>
    </xf>
    <xf numFmtId="166" fontId="7" fillId="2" borderId="2" xfId="3" applyNumberFormat="1" applyFont="1" applyFill="1" applyBorder="1" applyAlignment="1" applyProtection="1">
      <alignment horizontal="right"/>
      <protection locked="0"/>
    </xf>
    <xf numFmtId="166" fontId="8" fillId="2" borderId="2" xfId="3" applyNumberFormat="1" applyFont="1" applyFill="1" applyBorder="1" applyAlignment="1" applyProtection="1">
      <alignment horizontal="right"/>
      <protection locked="0"/>
    </xf>
    <xf numFmtId="49" fontId="7" fillId="2" borderId="2" xfId="0" quotePrefix="1" applyNumberFormat="1" applyFont="1" applyFill="1" applyBorder="1" applyAlignment="1" applyProtection="1">
      <alignment horizontal="left"/>
      <protection locked="0"/>
    </xf>
    <xf numFmtId="0" fontId="7" fillId="2" borderId="2" xfId="0" applyFont="1" applyFill="1" applyBorder="1" applyAlignment="1" applyProtection="1">
      <alignment horizontal="center" vertical="center"/>
      <protection locked="0"/>
    </xf>
    <xf numFmtId="0" fontId="7" fillId="2" borderId="2" xfId="0" applyFont="1" applyFill="1" applyBorder="1" applyAlignment="1">
      <alignment horizontal="center" vertical="center"/>
    </xf>
    <xf numFmtId="166" fontId="7" fillId="2" borderId="2" xfId="3" applyNumberFormat="1" applyFont="1" applyFill="1" applyBorder="1" applyProtection="1">
      <protection locked="0"/>
    </xf>
    <xf numFmtId="166" fontId="8" fillId="2" borderId="2" xfId="3" applyNumberFormat="1" applyFont="1" applyFill="1" applyBorder="1" applyProtection="1">
      <protection locked="0"/>
    </xf>
    <xf numFmtId="0" fontId="8" fillId="2" borderId="2" xfId="0" applyFont="1" applyFill="1" applyBorder="1" applyAlignment="1" applyProtection="1">
      <alignment horizontal="center"/>
      <protection locked="0"/>
    </xf>
    <xf numFmtId="0" fontId="7" fillId="2" borderId="2" xfId="0" applyFont="1" applyFill="1" applyBorder="1" applyAlignment="1">
      <alignment horizontal="left"/>
    </xf>
    <xf numFmtId="0" fontId="7" fillId="2" borderId="2" xfId="0" applyFont="1" applyFill="1" applyBorder="1"/>
    <xf numFmtId="166" fontId="7" fillId="2" borderId="2" xfId="4" applyNumberFormat="1" applyFont="1" applyFill="1" applyBorder="1" applyAlignment="1" applyProtection="1">
      <alignment horizontal="right"/>
      <protection locked="0"/>
    </xf>
    <xf numFmtId="164" fontId="0" fillId="0" borderId="0" xfId="0" applyNumberFormat="1"/>
    <xf numFmtId="164" fontId="0" fillId="0" borderId="0" xfId="0" applyNumberFormat="1" applyProtection="1">
      <protection locked="0"/>
    </xf>
    <xf numFmtId="0" fontId="9" fillId="2" borderId="2" xfId="0" applyFont="1" applyFill="1" applyBorder="1" applyAlignment="1">
      <alignment vertical="center" wrapText="1"/>
    </xf>
    <xf numFmtId="0" fontId="9" fillId="2" borderId="2" xfId="0" applyFont="1" applyFill="1" applyBorder="1" applyAlignment="1">
      <alignment horizontal="center" vertical="center" wrapText="1"/>
    </xf>
    <xf numFmtId="164" fontId="9" fillId="2" borderId="2" xfId="3" applyFont="1" applyFill="1" applyBorder="1" applyAlignment="1" applyProtection="1">
      <alignment horizontal="center" vertical="center" wrapText="1"/>
    </xf>
    <xf numFmtId="1" fontId="9" fillId="2" borderId="2" xfId="0" quotePrefix="1" applyNumberFormat="1" applyFont="1" applyFill="1" applyBorder="1" applyAlignment="1">
      <alignment vertical="center" wrapText="1"/>
    </xf>
    <xf numFmtId="1" fontId="9" fillId="2" borderId="2" xfId="0" applyNumberFormat="1" applyFont="1" applyFill="1" applyBorder="1" applyAlignment="1">
      <alignment vertical="center" wrapText="1"/>
    </xf>
    <xf numFmtId="0" fontId="8" fillId="2" borderId="2" xfId="0" applyFont="1" applyFill="1" applyBorder="1" applyAlignment="1" applyProtection="1">
      <alignment horizontal="left"/>
      <protection locked="0"/>
    </xf>
    <xf numFmtId="166" fontId="8" fillId="2" borderId="2" xfId="4" applyNumberFormat="1" applyFont="1" applyFill="1" applyBorder="1" applyAlignment="1" applyProtection="1">
      <alignment horizontal="right"/>
      <protection locked="0"/>
    </xf>
    <xf numFmtId="49" fontId="8" fillId="2" borderId="2" xfId="0" quotePrefix="1" applyNumberFormat="1" applyFont="1" applyFill="1" applyBorder="1" applyAlignment="1" applyProtection="1">
      <alignment horizontal="left"/>
      <protection locked="0"/>
    </xf>
    <xf numFmtId="0" fontId="8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 applyProtection="1">
      <alignment horizontal="left" vertical="center"/>
      <protection locked="0"/>
    </xf>
    <xf numFmtId="166" fontId="8" fillId="2" borderId="2" xfId="3" applyNumberFormat="1" applyFont="1" applyFill="1" applyBorder="1" applyAlignment="1" applyProtection="1">
      <alignment horizontal="right" vertical="center"/>
      <protection locked="0"/>
    </xf>
    <xf numFmtId="49" fontId="8" fillId="2" borderId="2" xfId="0" quotePrefix="1" applyNumberFormat="1" applyFont="1" applyFill="1" applyBorder="1" applyAlignment="1" applyProtection="1">
      <alignment horizontal="left" vertical="center"/>
      <protection locked="0"/>
    </xf>
    <xf numFmtId="0" fontId="7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7" fillId="2" borderId="2" xfId="0" quotePrefix="1" applyFont="1" applyFill="1" applyBorder="1" applyAlignment="1" applyProtection="1">
      <alignment horizontal="left"/>
      <protection locked="0"/>
    </xf>
    <xf numFmtId="0" fontId="7" fillId="2" borderId="2" xfId="0" quotePrefix="1" applyFont="1" applyFill="1" applyBorder="1" applyAlignment="1">
      <alignment horizontal="left"/>
    </xf>
    <xf numFmtId="0" fontId="8" fillId="2" borderId="2" xfId="0" quotePrefix="1" applyFont="1" applyFill="1" applyBorder="1" applyAlignment="1">
      <alignment horizontal="left"/>
    </xf>
    <xf numFmtId="166" fontId="7" fillId="2" borderId="2" xfId="3" applyNumberFormat="1" applyFont="1" applyFill="1" applyBorder="1"/>
    <xf numFmtId="1" fontId="7" fillId="2" borderId="2" xfId="0" quotePrefix="1" applyNumberFormat="1" applyFont="1" applyFill="1" applyBorder="1" applyAlignment="1">
      <alignment horizontal="left"/>
    </xf>
    <xf numFmtId="1" fontId="7" fillId="2" borderId="2" xfId="0" quotePrefix="1" applyNumberFormat="1" applyFont="1" applyFill="1" applyBorder="1" applyAlignment="1">
      <alignment horizontal="left" vertical="center"/>
    </xf>
    <xf numFmtId="166" fontId="7" fillId="2" borderId="2" xfId="3" applyNumberFormat="1" applyFont="1" applyFill="1" applyBorder="1" applyAlignment="1">
      <alignment horizontal="right"/>
    </xf>
    <xf numFmtId="49" fontId="7" fillId="2" borderId="2" xfId="0" quotePrefix="1" applyNumberFormat="1" applyFont="1" applyFill="1" applyBorder="1" applyAlignment="1" applyProtection="1">
      <alignment horizontal="left" vertical="center"/>
      <protection locked="0"/>
    </xf>
    <xf numFmtId="49" fontId="8" fillId="2" borderId="2" xfId="0" quotePrefix="1" applyNumberFormat="1" applyFont="1" applyFill="1" applyBorder="1" applyAlignment="1">
      <alignment horizontal="left"/>
    </xf>
    <xf numFmtId="166" fontId="8" fillId="2" borderId="2" xfId="0" applyNumberFormat="1" applyFont="1" applyFill="1" applyBorder="1" applyAlignment="1">
      <alignment horizontal="right"/>
    </xf>
    <xf numFmtId="1" fontId="7" fillId="2" borderId="2" xfId="0" quotePrefix="1" applyNumberFormat="1" applyFont="1" applyFill="1" applyBorder="1" applyAlignment="1" applyProtection="1">
      <alignment horizontal="left"/>
      <protection locked="0"/>
    </xf>
    <xf numFmtId="0" fontId="7" fillId="2" borderId="2" xfId="0" quotePrefix="1" applyFont="1" applyFill="1" applyBorder="1" applyAlignment="1">
      <alignment horizontal="left" vertical="center"/>
    </xf>
    <xf numFmtId="49" fontId="7" fillId="2" borderId="2" xfId="2" quotePrefix="1" applyNumberFormat="1" applyFont="1" applyFill="1" applyBorder="1" applyAlignment="1">
      <alignment horizontal="left"/>
    </xf>
    <xf numFmtId="166" fontId="7" fillId="2" borderId="2" xfId="5" applyNumberFormat="1" applyFont="1" applyFill="1" applyBorder="1" applyAlignment="1">
      <alignment horizontal="right"/>
    </xf>
    <xf numFmtId="166" fontId="8" fillId="2" borderId="2" xfId="5" applyNumberFormat="1" applyFont="1" applyFill="1" applyBorder="1" applyAlignment="1" applyProtection="1">
      <alignment horizontal="right"/>
      <protection locked="0"/>
    </xf>
    <xf numFmtId="166" fontId="8" fillId="2" borderId="2" xfId="0" applyNumberFormat="1" applyFont="1" applyFill="1" applyBorder="1" applyAlignment="1">
      <alignment horizontal="center"/>
    </xf>
    <xf numFmtId="49" fontId="8" fillId="2" borderId="2" xfId="0" applyNumberFormat="1" applyFont="1" applyFill="1" applyBorder="1" applyAlignment="1">
      <alignment horizontal="left"/>
    </xf>
    <xf numFmtId="1" fontId="7" fillId="2" borderId="2" xfId="0" applyNumberFormat="1" applyFont="1" applyFill="1" applyBorder="1" applyAlignment="1" applyProtection="1">
      <alignment horizontal="left"/>
      <protection locked="0"/>
    </xf>
    <xf numFmtId="0" fontId="8" fillId="2" borderId="2" xfId="0" applyFont="1" applyFill="1" applyBorder="1" applyAlignment="1">
      <alignment horizontal="left"/>
    </xf>
    <xf numFmtId="0" fontId="7" fillId="2" borderId="2" xfId="3" applyNumberFormat="1" applyFont="1" applyFill="1" applyBorder="1" applyAlignment="1" applyProtection="1">
      <alignment horizontal="center" vertical="center"/>
      <protection locked="0"/>
    </xf>
    <xf numFmtId="0" fontId="9" fillId="2" borderId="3" xfId="0" applyFont="1" applyFill="1" applyBorder="1" applyAlignment="1">
      <alignment horizontal="center" vertical="center"/>
    </xf>
    <xf numFmtId="166" fontId="8" fillId="2" borderId="3" xfId="0" applyNumberFormat="1" applyFont="1" applyFill="1" applyBorder="1" applyProtection="1">
      <protection locked="0"/>
    </xf>
    <xf numFmtId="166" fontId="7" fillId="2" borderId="3" xfId="0" applyNumberFormat="1" applyFont="1" applyFill="1" applyBorder="1" applyProtection="1">
      <protection locked="0"/>
    </xf>
    <xf numFmtId="166" fontId="7" fillId="2" borderId="3" xfId="0" applyNumberFormat="1" applyFont="1" applyFill="1" applyBorder="1" applyAlignment="1">
      <alignment horizontal="center" vertical="center"/>
    </xf>
    <xf numFmtId="166" fontId="7" fillId="2" borderId="3" xfId="0" applyNumberFormat="1" applyFont="1" applyFill="1" applyBorder="1"/>
  </cellXfs>
  <cellStyles count="7">
    <cellStyle name="Comma" xfId="4" builtinId="3"/>
    <cellStyle name="Comma 2" xfId="6" xr:uid="{7DED2F60-1ED7-49E7-BC21-B5EB40FB6C3A}"/>
    <cellStyle name="Currency" xfId="3" builtinId="4"/>
    <cellStyle name="Currency 2" xfId="5" xr:uid="{9C2FADC1-0B23-4EA6-9FDA-22138DAC7300}"/>
    <cellStyle name="Normal" xfId="0" builtinId="0"/>
    <cellStyle name="Normal 2" xfId="1" xr:uid="{00000000-0005-0000-0000-000001000000}"/>
    <cellStyle name="Normal 2 2" xfId="2" xr:uid="{00000000-0005-0000-0000-000002000000}"/>
  </cellStyles>
  <dxfs count="586">
    <dxf>
      <fill>
        <patternFill>
          <bgColor rgb="FFFFA3A3"/>
        </patternFill>
      </fill>
    </dxf>
    <dxf>
      <fill>
        <patternFill>
          <bgColor rgb="FFFFA3A3"/>
        </patternFill>
      </fill>
    </dxf>
    <dxf>
      <fill>
        <patternFill>
          <bgColor rgb="FFFFA3A3"/>
        </patternFill>
      </fill>
    </dxf>
    <dxf>
      <fill>
        <patternFill>
          <bgColor rgb="FFFFA3A3"/>
        </patternFill>
      </fill>
    </dxf>
    <dxf>
      <fill>
        <patternFill>
          <bgColor rgb="FFFFA3A3"/>
        </patternFill>
      </fill>
    </dxf>
    <dxf>
      <fill>
        <patternFill>
          <bgColor rgb="FFFFA3A3"/>
        </patternFill>
      </fill>
    </dxf>
    <dxf>
      <fill>
        <patternFill>
          <bgColor rgb="FFFFA3A3"/>
        </patternFill>
      </fill>
    </dxf>
    <dxf>
      <fill>
        <patternFill>
          <bgColor rgb="FFFFA3A3"/>
        </patternFill>
      </fill>
    </dxf>
    <dxf>
      <fill>
        <patternFill>
          <bgColor rgb="FFFFA3A3"/>
        </patternFill>
      </fill>
    </dxf>
    <dxf>
      <fill>
        <patternFill>
          <bgColor rgb="FFFFA3A3"/>
        </patternFill>
      </fill>
    </dxf>
    <dxf>
      <fill>
        <patternFill>
          <bgColor rgb="FFFFA3A3"/>
        </patternFill>
      </fill>
    </dxf>
    <dxf>
      <fill>
        <patternFill>
          <bgColor rgb="FFFFA3A3"/>
        </patternFill>
      </fill>
    </dxf>
    <dxf>
      <fill>
        <patternFill>
          <bgColor rgb="FFFFA3A3"/>
        </patternFill>
      </fill>
    </dxf>
    <dxf>
      <fill>
        <patternFill>
          <bgColor rgb="FFFFA3A3"/>
        </patternFill>
      </fill>
    </dxf>
    <dxf>
      <fill>
        <patternFill>
          <bgColor rgb="FFFFA3A3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A3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1680"/>
  <sheetViews>
    <sheetView tabSelected="1" zoomScaleNormal="100" workbookViewId="0">
      <pane ySplit="1" topLeftCell="A643" activePane="bottomLeft" state="frozen"/>
      <selection pane="bottomLeft" activeCell="D667" sqref="D667"/>
    </sheetView>
  </sheetViews>
  <sheetFormatPr defaultColWidth="9.140625" defaultRowHeight="15" x14ac:dyDescent="0.25"/>
  <cols>
    <col min="1" max="1" width="16.42578125" bestFit="1" customWidth="1"/>
    <col min="2" max="2" width="9.28515625" style="6" customWidth="1"/>
    <col min="3" max="3" width="5" style="3" bestFit="1" customWidth="1"/>
    <col min="4" max="4" width="76.140625" bestFit="1" customWidth="1"/>
    <col min="5" max="5" width="4.42578125" style="9" bestFit="1" customWidth="1"/>
    <col min="6" max="6" width="8" style="16" bestFit="1" customWidth="1"/>
    <col min="7" max="7" width="7" style="16" bestFit="1" customWidth="1"/>
    <col min="8" max="8" width="15" style="21" bestFit="1" customWidth="1"/>
    <col min="9" max="9" width="15.5703125" style="22" bestFit="1" customWidth="1"/>
    <col min="10" max="10" width="6.140625" style="7" bestFit="1" customWidth="1"/>
    <col min="11" max="11" width="5.7109375" style="9" bestFit="1" customWidth="1"/>
    <col min="12" max="12" width="9.85546875" bestFit="1" customWidth="1"/>
    <col min="13" max="13" width="16.42578125" customWidth="1"/>
    <col min="14" max="14" width="13.140625" bestFit="1" customWidth="1"/>
    <col min="15" max="15" width="14.140625" bestFit="1" customWidth="1"/>
  </cols>
  <sheetData>
    <row r="1" spans="1:18" s="11" customFormat="1" ht="30.75" thickBot="1" x14ac:dyDescent="0.3">
      <c r="A1" s="41" t="s">
        <v>144</v>
      </c>
      <c r="B1" s="42" t="s">
        <v>0</v>
      </c>
      <c r="C1" s="42" t="s">
        <v>1</v>
      </c>
      <c r="D1" s="41" t="s">
        <v>938</v>
      </c>
      <c r="E1" s="42" t="s">
        <v>318</v>
      </c>
      <c r="F1" s="43" t="s">
        <v>299</v>
      </c>
      <c r="G1" s="43" t="s">
        <v>300</v>
      </c>
      <c r="H1" s="44" t="s">
        <v>2</v>
      </c>
      <c r="I1" s="45" t="s">
        <v>3</v>
      </c>
      <c r="J1" s="42" t="s">
        <v>213</v>
      </c>
      <c r="K1" s="42" t="s">
        <v>1267</v>
      </c>
      <c r="L1" s="75" t="s">
        <v>320</v>
      </c>
      <c r="M1" s="23">
        <f>SUM(L:L)</f>
        <v>0</v>
      </c>
      <c r="N1" s="24" t="str">
        <f>COUNTIF(E:E,"&gt;0") &amp; " line(s)"</f>
        <v>0 line(s)</v>
      </c>
      <c r="O1" s="11" t="s">
        <v>3952</v>
      </c>
      <c r="Q1" s="12" t="str">
        <f>IF(COUNTIF(E:E,"&gt;0") -COUNTIF(L:L,"&gt;0")&lt;&gt;0,"Error","")</f>
        <v/>
      </c>
      <c r="R1" s="12" t="str">
        <f>IF(SUM(L:L)&lt;&gt;SUMPRODUCT(E:E,F:F),"Error","")</f>
        <v/>
      </c>
    </row>
    <row r="2" spans="1:18" x14ac:dyDescent="0.25">
      <c r="A2" s="46" t="s">
        <v>241</v>
      </c>
      <c r="B2" s="35">
        <v>408</v>
      </c>
      <c r="C2" s="35">
        <v>12</v>
      </c>
      <c r="D2" s="46" t="s">
        <v>287</v>
      </c>
      <c r="E2" s="27"/>
      <c r="F2" s="47">
        <v>7.5</v>
      </c>
      <c r="G2" s="29">
        <f t="shared" ref="G2:G65" si="0">F2/C2</f>
        <v>0.625</v>
      </c>
      <c r="H2" s="48" t="s">
        <v>4</v>
      </c>
      <c r="I2" s="48" t="s">
        <v>5</v>
      </c>
      <c r="J2" s="27">
        <v>896</v>
      </c>
      <c r="K2" s="49">
        <v>112</v>
      </c>
      <c r="L2" s="76" t="str">
        <f t="shared" ref="L2:L65" si="1">IF(E2,E2*F2,"")</f>
        <v/>
      </c>
    </row>
    <row r="3" spans="1:18" x14ac:dyDescent="0.25">
      <c r="A3" s="50" t="s">
        <v>2020</v>
      </c>
      <c r="B3" s="27">
        <v>524</v>
      </c>
      <c r="C3" s="27">
        <v>12</v>
      </c>
      <c r="D3" s="50" t="s">
        <v>2021</v>
      </c>
      <c r="E3" s="27"/>
      <c r="F3" s="51">
        <v>3.36</v>
      </c>
      <c r="G3" s="29">
        <f t="shared" si="0"/>
        <v>0.27999999999999997</v>
      </c>
      <c r="H3" s="52" t="s">
        <v>2022</v>
      </c>
      <c r="I3" s="52" t="s">
        <v>2023</v>
      </c>
      <c r="J3" s="31">
        <v>896</v>
      </c>
      <c r="K3" s="53">
        <v>112</v>
      </c>
      <c r="L3" s="76" t="str">
        <f t="shared" si="1"/>
        <v/>
      </c>
    </row>
    <row r="4" spans="1:18" x14ac:dyDescent="0.25">
      <c r="A4" s="46" t="s">
        <v>905</v>
      </c>
      <c r="B4" s="35">
        <v>98</v>
      </c>
      <c r="C4" s="35">
        <v>12</v>
      </c>
      <c r="D4" s="46" t="s">
        <v>906</v>
      </c>
      <c r="E4" s="27"/>
      <c r="F4" s="47">
        <v>10.4</v>
      </c>
      <c r="G4" s="29">
        <f t="shared" si="0"/>
        <v>0.8666666666666667</v>
      </c>
      <c r="H4" s="48" t="s">
        <v>907</v>
      </c>
      <c r="I4" s="48" t="s">
        <v>908</v>
      </c>
      <c r="J4" s="27">
        <v>490</v>
      </c>
      <c r="K4" s="49">
        <v>70</v>
      </c>
      <c r="L4" s="76" t="str">
        <f t="shared" si="1"/>
        <v/>
      </c>
    </row>
    <row r="5" spans="1:18" x14ac:dyDescent="0.25">
      <c r="A5" s="46" t="s">
        <v>909</v>
      </c>
      <c r="B5" s="35">
        <v>67</v>
      </c>
      <c r="C5" s="35">
        <v>12</v>
      </c>
      <c r="D5" s="46" t="s">
        <v>910</v>
      </c>
      <c r="E5" s="27"/>
      <c r="F5" s="47">
        <v>10.4</v>
      </c>
      <c r="G5" s="29">
        <f t="shared" si="0"/>
        <v>0.8666666666666667</v>
      </c>
      <c r="H5" s="48" t="s">
        <v>911</v>
      </c>
      <c r="I5" s="48" t="s">
        <v>912</v>
      </c>
      <c r="J5" s="27">
        <v>490</v>
      </c>
      <c r="K5" s="49">
        <v>70</v>
      </c>
      <c r="L5" s="76" t="str">
        <f t="shared" si="1"/>
        <v/>
      </c>
    </row>
    <row r="6" spans="1:18" x14ac:dyDescent="0.25">
      <c r="A6" s="46" t="s">
        <v>913</v>
      </c>
      <c r="B6" s="35">
        <v>112</v>
      </c>
      <c r="C6" s="35">
        <v>12</v>
      </c>
      <c r="D6" s="46" t="s">
        <v>914</v>
      </c>
      <c r="E6" s="27"/>
      <c r="F6" s="29">
        <v>10.4</v>
      </c>
      <c r="G6" s="29">
        <f t="shared" si="0"/>
        <v>0.8666666666666667</v>
      </c>
      <c r="H6" s="48" t="s">
        <v>915</v>
      </c>
      <c r="I6" s="48" t="s">
        <v>916</v>
      </c>
      <c r="J6" s="27">
        <v>490</v>
      </c>
      <c r="K6" s="49">
        <v>70</v>
      </c>
      <c r="L6" s="76" t="str">
        <f t="shared" si="1"/>
        <v/>
      </c>
    </row>
    <row r="7" spans="1:18" x14ac:dyDescent="0.25">
      <c r="A7" s="46" t="s">
        <v>1410</v>
      </c>
      <c r="B7" s="35">
        <v>14</v>
      </c>
      <c r="C7" s="35">
        <v>12</v>
      </c>
      <c r="D7" s="46" t="s">
        <v>1411</v>
      </c>
      <c r="E7" s="27"/>
      <c r="F7" s="29">
        <v>10.4</v>
      </c>
      <c r="G7" s="29">
        <f t="shared" si="0"/>
        <v>0.8666666666666667</v>
      </c>
      <c r="H7" s="48" t="s">
        <v>1412</v>
      </c>
      <c r="I7" s="48" t="s">
        <v>1434</v>
      </c>
      <c r="J7" s="27">
        <v>490</v>
      </c>
      <c r="K7" s="54">
        <v>70</v>
      </c>
      <c r="L7" s="76" t="str">
        <f t="shared" si="1"/>
        <v/>
      </c>
    </row>
    <row r="8" spans="1:18" x14ac:dyDescent="0.25">
      <c r="A8" s="46" t="s">
        <v>463</v>
      </c>
      <c r="B8" s="35">
        <v>52</v>
      </c>
      <c r="C8" s="35">
        <v>12</v>
      </c>
      <c r="D8" s="46" t="s">
        <v>467</v>
      </c>
      <c r="E8" s="27"/>
      <c r="F8" s="29">
        <v>6.48</v>
      </c>
      <c r="G8" s="29">
        <f t="shared" si="0"/>
        <v>0.54</v>
      </c>
      <c r="H8" s="48" t="s">
        <v>471</v>
      </c>
      <c r="I8" s="48" t="s">
        <v>566</v>
      </c>
      <c r="J8" s="27">
        <v>420</v>
      </c>
      <c r="K8" s="49">
        <v>60</v>
      </c>
      <c r="L8" s="76" t="str">
        <f t="shared" si="1"/>
        <v/>
      </c>
    </row>
    <row r="9" spans="1:18" x14ac:dyDescent="0.25">
      <c r="A9" s="46" t="s">
        <v>464</v>
      </c>
      <c r="B9" s="35">
        <v>30</v>
      </c>
      <c r="C9" s="35">
        <v>12</v>
      </c>
      <c r="D9" s="46" t="s">
        <v>468</v>
      </c>
      <c r="E9" s="27"/>
      <c r="F9" s="29">
        <v>6.48</v>
      </c>
      <c r="G9" s="29">
        <f t="shared" si="0"/>
        <v>0.54</v>
      </c>
      <c r="H9" s="48" t="s">
        <v>476</v>
      </c>
      <c r="I9" s="48" t="s">
        <v>477</v>
      </c>
      <c r="J9" s="27">
        <v>420</v>
      </c>
      <c r="K9" s="49">
        <v>60</v>
      </c>
      <c r="L9" s="76" t="str">
        <f t="shared" si="1"/>
        <v/>
      </c>
    </row>
    <row r="10" spans="1:18" x14ac:dyDescent="0.25">
      <c r="A10" s="46" t="s">
        <v>465</v>
      </c>
      <c r="B10" s="35">
        <v>50</v>
      </c>
      <c r="C10" s="35">
        <v>12</v>
      </c>
      <c r="D10" s="46" t="s">
        <v>469</v>
      </c>
      <c r="E10" s="27"/>
      <c r="F10" s="29">
        <v>6.48</v>
      </c>
      <c r="G10" s="29">
        <f t="shared" si="0"/>
        <v>0.54</v>
      </c>
      <c r="H10" s="48" t="s">
        <v>472</v>
      </c>
      <c r="I10" s="48" t="s">
        <v>473</v>
      </c>
      <c r="J10" s="27">
        <v>420</v>
      </c>
      <c r="K10" s="49">
        <v>60</v>
      </c>
      <c r="L10" s="76" t="str">
        <f t="shared" si="1"/>
        <v/>
      </c>
    </row>
    <row r="11" spans="1:18" x14ac:dyDescent="0.25">
      <c r="A11" s="46" t="s">
        <v>466</v>
      </c>
      <c r="B11" s="35">
        <v>19</v>
      </c>
      <c r="C11" s="35">
        <v>12</v>
      </c>
      <c r="D11" s="46" t="s">
        <v>470</v>
      </c>
      <c r="E11" s="27"/>
      <c r="F11" s="29">
        <v>6.48</v>
      </c>
      <c r="G11" s="29">
        <f t="shared" si="0"/>
        <v>0.54</v>
      </c>
      <c r="H11" s="48" t="s">
        <v>474</v>
      </c>
      <c r="I11" s="48" t="s">
        <v>475</v>
      </c>
      <c r="J11" s="27">
        <v>420</v>
      </c>
      <c r="K11" s="49">
        <v>60</v>
      </c>
      <c r="L11" s="76" t="str">
        <f t="shared" si="1"/>
        <v/>
      </c>
    </row>
    <row r="12" spans="1:18" x14ac:dyDescent="0.25">
      <c r="A12" s="46" t="s">
        <v>2025</v>
      </c>
      <c r="B12" s="35">
        <v>64</v>
      </c>
      <c r="C12" s="35">
        <v>12</v>
      </c>
      <c r="D12" s="46" t="s">
        <v>2026</v>
      </c>
      <c r="E12" s="27"/>
      <c r="F12" s="29">
        <v>6.48</v>
      </c>
      <c r="G12" s="29">
        <f t="shared" si="0"/>
        <v>0.54</v>
      </c>
      <c r="H12" s="48" t="s">
        <v>2027</v>
      </c>
      <c r="I12" s="48" t="s">
        <v>2028</v>
      </c>
      <c r="J12" s="27">
        <v>420</v>
      </c>
      <c r="K12" s="49">
        <v>60</v>
      </c>
      <c r="L12" s="76" t="str">
        <f t="shared" si="1"/>
        <v/>
      </c>
    </row>
    <row r="13" spans="1:18" x14ac:dyDescent="0.25">
      <c r="A13" s="25" t="s">
        <v>1023</v>
      </c>
      <c r="B13" s="26">
        <v>1027</v>
      </c>
      <c r="C13" s="26">
        <v>6</v>
      </c>
      <c r="D13" s="25" t="s">
        <v>1024</v>
      </c>
      <c r="E13" s="27"/>
      <c r="F13" s="28">
        <v>18.8</v>
      </c>
      <c r="G13" s="29">
        <f t="shared" si="0"/>
        <v>3.1333333333333333</v>
      </c>
      <c r="H13" s="30" t="s">
        <v>1025</v>
      </c>
      <c r="I13" s="30" t="s">
        <v>1026</v>
      </c>
      <c r="J13" s="31">
        <v>315</v>
      </c>
      <c r="K13" s="32">
        <v>63</v>
      </c>
      <c r="L13" s="76" t="str">
        <f t="shared" si="1"/>
        <v/>
      </c>
    </row>
    <row r="14" spans="1:18" x14ac:dyDescent="0.25">
      <c r="A14" s="25" t="s">
        <v>2670</v>
      </c>
      <c r="B14" s="26">
        <v>191</v>
      </c>
      <c r="C14" s="26">
        <v>6</v>
      </c>
      <c r="D14" s="25" t="s">
        <v>2671</v>
      </c>
      <c r="E14" s="27"/>
      <c r="F14" s="33">
        <v>19.399999999999999</v>
      </c>
      <c r="G14" s="34">
        <f t="shared" si="0"/>
        <v>3.2333333333333329</v>
      </c>
      <c r="H14" s="30" t="s">
        <v>2672</v>
      </c>
      <c r="I14" s="30" t="s">
        <v>2673</v>
      </c>
      <c r="J14" s="31">
        <v>315</v>
      </c>
      <c r="K14" s="53">
        <v>63</v>
      </c>
      <c r="L14" s="76" t="str">
        <f t="shared" si="1"/>
        <v/>
      </c>
    </row>
    <row r="15" spans="1:18" x14ac:dyDescent="0.25">
      <c r="A15" s="25" t="s">
        <v>3393</v>
      </c>
      <c r="B15" s="26">
        <v>11</v>
      </c>
      <c r="C15" s="26">
        <v>6</v>
      </c>
      <c r="D15" s="25" t="s">
        <v>3394</v>
      </c>
      <c r="E15" s="27"/>
      <c r="F15" s="28">
        <v>22.8</v>
      </c>
      <c r="G15" s="29">
        <f t="shared" si="0"/>
        <v>3.8000000000000003</v>
      </c>
      <c r="H15" s="30" t="s">
        <v>2658</v>
      </c>
      <c r="I15" s="30" t="s">
        <v>2659</v>
      </c>
      <c r="J15" s="31">
        <v>176</v>
      </c>
      <c r="K15" s="32">
        <v>44</v>
      </c>
      <c r="L15" s="76" t="str">
        <f t="shared" si="1"/>
        <v/>
      </c>
    </row>
    <row r="16" spans="1:18" x14ac:dyDescent="0.25">
      <c r="A16" s="25" t="s">
        <v>2506</v>
      </c>
      <c r="B16" s="26">
        <v>112</v>
      </c>
      <c r="C16" s="26">
        <v>6</v>
      </c>
      <c r="D16" s="25" t="s">
        <v>2505</v>
      </c>
      <c r="E16" s="27"/>
      <c r="F16" s="28">
        <v>26.8</v>
      </c>
      <c r="G16" s="29">
        <f t="shared" si="0"/>
        <v>4.4666666666666668</v>
      </c>
      <c r="H16" s="30" t="s">
        <v>2507</v>
      </c>
      <c r="I16" s="30" t="s">
        <v>2508</v>
      </c>
      <c r="J16" s="31">
        <v>176</v>
      </c>
      <c r="K16" s="32">
        <v>44</v>
      </c>
      <c r="L16" s="76" t="str">
        <f t="shared" si="1"/>
        <v/>
      </c>
    </row>
    <row r="17" spans="1:12" x14ac:dyDescent="0.25">
      <c r="A17" s="25" t="s">
        <v>3493</v>
      </c>
      <c r="B17" s="26">
        <v>104</v>
      </c>
      <c r="C17" s="26">
        <v>6</v>
      </c>
      <c r="D17" s="25" t="s">
        <v>3494</v>
      </c>
      <c r="E17" s="27"/>
      <c r="F17" s="28">
        <v>26.8</v>
      </c>
      <c r="G17" s="29">
        <f t="shared" si="0"/>
        <v>4.4666666666666668</v>
      </c>
      <c r="H17" s="30" t="s">
        <v>3495</v>
      </c>
      <c r="I17" s="30" t="s">
        <v>3496</v>
      </c>
      <c r="J17" s="31">
        <v>176</v>
      </c>
      <c r="K17" s="32">
        <v>44</v>
      </c>
      <c r="L17" s="76" t="str">
        <f t="shared" si="1"/>
        <v/>
      </c>
    </row>
    <row r="18" spans="1:12" x14ac:dyDescent="0.25">
      <c r="A18" s="25" t="s">
        <v>2038</v>
      </c>
      <c r="B18" s="26">
        <v>80</v>
      </c>
      <c r="C18" s="26">
        <v>6</v>
      </c>
      <c r="D18" s="25" t="s">
        <v>2039</v>
      </c>
      <c r="E18" s="27"/>
      <c r="F18" s="28">
        <v>24.8</v>
      </c>
      <c r="G18" s="29">
        <f t="shared" si="0"/>
        <v>4.1333333333333337</v>
      </c>
      <c r="H18" s="30" t="s">
        <v>2041</v>
      </c>
      <c r="I18" s="30" t="s">
        <v>2066</v>
      </c>
      <c r="J18" s="31">
        <v>176</v>
      </c>
      <c r="K18" s="53">
        <v>44</v>
      </c>
      <c r="L18" s="76" t="str">
        <f t="shared" si="1"/>
        <v/>
      </c>
    </row>
    <row r="19" spans="1:12" x14ac:dyDescent="0.25">
      <c r="A19" s="25" t="s">
        <v>2040</v>
      </c>
      <c r="B19" s="26">
        <v>108</v>
      </c>
      <c r="C19" s="26">
        <v>6</v>
      </c>
      <c r="D19" s="25" t="s">
        <v>2037</v>
      </c>
      <c r="E19" s="27"/>
      <c r="F19" s="28">
        <v>27.4</v>
      </c>
      <c r="G19" s="29">
        <f t="shared" si="0"/>
        <v>4.5666666666666664</v>
      </c>
      <c r="H19" s="30" t="s">
        <v>2042</v>
      </c>
      <c r="I19" s="30" t="s">
        <v>2067</v>
      </c>
      <c r="J19" s="31">
        <v>176</v>
      </c>
      <c r="K19" s="53">
        <v>44</v>
      </c>
      <c r="L19" s="76" t="str">
        <f t="shared" si="1"/>
        <v/>
      </c>
    </row>
    <row r="20" spans="1:12" x14ac:dyDescent="0.25">
      <c r="A20" s="25" t="s">
        <v>1611</v>
      </c>
      <c r="B20" s="26">
        <v>128</v>
      </c>
      <c r="C20" s="26">
        <v>12</v>
      </c>
      <c r="D20" s="25" t="s">
        <v>1612</v>
      </c>
      <c r="E20" s="27"/>
      <c r="F20" s="28">
        <v>62.5</v>
      </c>
      <c r="G20" s="29">
        <f t="shared" si="0"/>
        <v>5.208333333333333</v>
      </c>
      <c r="H20" s="30" t="s">
        <v>1613</v>
      </c>
      <c r="I20" s="30" t="s">
        <v>1712</v>
      </c>
      <c r="J20" s="31">
        <v>56</v>
      </c>
      <c r="K20" s="32">
        <v>17</v>
      </c>
      <c r="L20" s="76" t="str">
        <f t="shared" si="1"/>
        <v/>
      </c>
    </row>
    <row r="21" spans="1:12" x14ac:dyDescent="0.25">
      <c r="A21" s="25" t="s">
        <v>2043</v>
      </c>
      <c r="B21" s="26">
        <v>540</v>
      </c>
      <c r="C21" s="26">
        <v>4</v>
      </c>
      <c r="D21" s="25" t="s">
        <v>2044</v>
      </c>
      <c r="E21" s="27"/>
      <c r="F21" s="28">
        <v>24.8</v>
      </c>
      <c r="G21" s="29">
        <f t="shared" si="0"/>
        <v>6.2</v>
      </c>
      <c r="H21" s="30" t="s">
        <v>2045</v>
      </c>
      <c r="I21" s="30" t="s">
        <v>2046</v>
      </c>
      <c r="J21" s="31">
        <v>144</v>
      </c>
      <c r="K21" s="32">
        <v>36</v>
      </c>
      <c r="L21" s="76" t="str">
        <f t="shared" si="1"/>
        <v/>
      </c>
    </row>
    <row r="22" spans="1:12" x14ac:dyDescent="0.25">
      <c r="A22" s="25" t="s">
        <v>3323</v>
      </c>
      <c r="B22" s="26">
        <v>13</v>
      </c>
      <c r="C22" s="26">
        <v>12</v>
      </c>
      <c r="D22" s="25" t="s">
        <v>3324</v>
      </c>
      <c r="E22" s="27"/>
      <c r="F22" s="28">
        <v>63.5</v>
      </c>
      <c r="G22" s="29">
        <f t="shared" si="0"/>
        <v>5.291666666666667</v>
      </c>
      <c r="H22" s="30" t="s">
        <v>3325</v>
      </c>
      <c r="I22" s="30" t="s">
        <v>3326</v>
      </c>
      <c r="J22" s="31">
        <v>160</v>
      </c>
      <c r="K22" s="32">
        <v>20</v>
      </c>
      <c r="L22" s="76" t="str">
        <f t="shared" si="1"/>
        <v/>
      </c>
    </row>
    <row r="23" spans="1:12" x14ac:dyDescent="0.25">
      <c r="A23" s="50" t="s">
        <v>145</v>
      </c>
      <c r="B23" s="27">
        <v>48</v>
      </c>
      <c r="C23" s="27">
        <v>6</v>
      </c>
      <c r="D23" s="50" t="s">
        <v>59</v>
      </c>
      <c r="E23" s="27"/>
      <c r="F23" s="51">
        <v>3.6</v>
      </c>
      <c r="G23" s="29">
        <f t="shared" si="0"/>
        <v>0.6</v>
      </c>
      <c r="H23" s="52" t="s">
        <v>65</v>
      </c>
      <c r="I23" s="52" t="s">
        <v>222</v>
      </c>
      <c r="J23" s="31"/>
      <c r="K23" s="32"/>
      <c r="L23" s="76" t="str">
        <f t="shared" si="1"/>
        <v/>
      </c>
    </row>
    <row r="24" spans="1:12" x14ac:dyDescent="0.25">
      <c r="A24" s="50" t="s">
        <v>146</v>
      </c>
      <c r="B24" s="27">
        <v>22</v>
      </c>
      <c r="C24" s="27">
        <v>24</v>
      </c>
      <c r="D24" s="50" t="s">
        <v>68</v>
      </c>
      <c r="E24" s="27"/>
      <c r="F24" s="51">
        <v>5.52</v>
      </c>
      <c r="G24" s="29">
        <f t="shared" si="0"/>
        <v>0.22999999999999998</v>
      </c>
      <c r="H24" s="52" t="s">
        <v>70</v>
      </c>
      <c r="I24" s="52" t="s">
        <v>69</v>
      </c>
      <c r="J24" s="31"/>
      <c r="K24" s="32"/>
      <c r="L24" s="76" t="str">
        <f t="shared" si="1"/>
        <v/>
      </c>
    </row>
    <row r="25" spans="1:12" x14ac:dyDescent="0.25">
      <c r="A25" s="50" t="s">
        <v>147</v>
      </c>
      <c r="B25" s="27">
        <v>30</v>
      </c>
      <c r="C25" s="27">
        <v>24</v>
      </c>
      <c r="D25" s="50" t="s">
        <v>60</v>
      </c>
      <c r="E25" s="27"/>
      <c r="F25" s="51">
        <v>5.52</v>
      </c>
      <c r="G25" s="29">
        <f t="shared" si="0"/>
        <v>0.22999999999999998</v>
      </c>
      <c r="H25" s="52" t="s">
        <v>63</v>
      </c>
      <c r="I25" s="52" t="s">
        <v>64</v>
      </c>
      <c r="J25" s="31"/>
      <c r="K25" s="32"/>
      <c r="L25" s="76" t="str">
        <f t="shared" si="1"/>
        <v/>
      </c>
    </row>
    <row r="26" spans="1:12" x14ac:dyDescent="0.25">
      <c r="A26" s="50" t="s">
        <v>3152</v>
      </c>
      <c r="B26" s="27">
        <v>16</v>
      </c>
      <c r="C26" s="27">
        <v>12</v>
      </c>
      <c r="D26" s="50" t="s">
        <v>3153</v>
      </c>
      <c r="E26" s="27"/>
      <c r="F26" s="51">
        <v>6.12</v>
      </c>
      <c r="G26" s="29">
        <f t="shared" si="0"/>
        <v>0.51</v>
      </c>
      <c r="H26" s="52" t="s">
        <v>3168</v>
      </c>
      <c r="I26" s="52" t="s">
        <v>3169</v>
      </c>
      <c r="J26" s="31"/>
      <c r="K26" s="32"/>
      <c r="L26" s="76" t="str">
        <f t="shared" si="1"/>
        <v/>
      </c>
    </row>
    <row r="27" spans="1:12" x14ac:dyDescent="0.25">
      <c r="A27" s="50" t="s">
        <v>148</v>
      </c>
      <c r="B27" s="27">
        <v>29</v>
      </c>
      <c r="C27" s="27">
        <v>24</v>
      </c>
      <c r="D27" s="50" t="s">
        <v>214</v>
      </c>
      <c r="E27" s="27"/>
      <c r="F27" s="51">
        <v>5.52</v>
      </c>
      <c r="G27" s="29">
        <f t="shared" si="0"/>
        <v>0.22999999999999998</v>
      </c>
      <c r="H27" s="52" t="s">
        <v>61</v>
      </c>
      <c r="I27" s="52" t="s">
        <v>62</v>
      </c>
      <c r="J27" s="31"/>
      <c r="K27" s="32"/>
      <c r="L27" s="76" t="str">
        <f t="shared" si="1"/>
        <v/>
      </c>
    </row>
    <row r="28" spans="1:12" x14ac:dyDescent="0.25">
      <c r="A28" s="50" t="s">
        <v>667</v>
      </c>
      <c r="B28" s="27">
        <v>29</v>
      </c>
      <c r="C28" s="27">
        <v>12</v>
      </c>
      <c r="D28" s="50" t="s">
        <v>668</v>
      </c>
      <c r="E28" s="27"/>
      <c r="F28" s="51">
        <v>7.2</v>
      </c>
      <c r="G28" s="29">
        <f t="shared" si="0"/>
        <v>0.6</v>
      </c>
      <c r="H28" s="52" t="s">
        <v>670</v>
      </c>
      <c r="I28" s="52" t="s">
        <v>669</v>
      </c>
      <c r="J28" s="31"/>
      <c r="K28" s="32"/>
      <c r="L28" s="76" t="str">
        <f t="shared" si="1"/>
        <v/>
      </c>
    </row>
    <row r="29" spans="1:12" x14ac:dyDescent="0.25">
      <c r="A29" s="50" t="s">
        <v>3154</v>
      </c>
      <c r="B29" s="27">
        <v>10</v>
      </c>
      <c r="C29" s="27">
        <v>12</v>
      </c>
      <c r="D29" s="50" t="s">
        <v>3155</v>
      </c>
      <c r="E29" s="27"/>
      <c r="F29" s="51">
        <v>7.2</v>
      </c>
      <c r="G29" s="29">
        <f t="shared" si="0"/>
        <v>0.6</v>
      </c>
      <c r="H29" s="52" t="s">
        <v>3170</v>
      </c>
      <c r="I29" s="52" t="s">
        <v>3171</v>
      </c>
      <c r="J29" s="31"/>
      <c r="K29" s="32"/>
      <c r="L29" s="76" t="str">
        <f t="shared" si="1"/>
        <v/>
      </c>
    </row>
    <row r="30" spans="1:12" x14ac:dyDescent="0.25">
      <c r="A30" s="25" t="s">
        <v>925</v>
      </c>
      <c r="B30" s="26">
        <v>964</v>
      </c>
      <c r="C30" s="26">
        <v>6</v>
      </c>
      <c r="D30" s="25" t="s">
        <v>926</v>
      </c>
      <c r="E30" s="27"/>
      <c r="F30" s="28">
        <v>7.5</v>
      </c>
      <c r="G30" s="29">
        <f t="shared" si="0"/>
        <v>1.25</v>
      </c>
      <c r="H30" s="30" t="s">
        <v>929</v>
      </c>
      <c r="I30" s="30" t="s">
        <v>1112</v>
      </c>
      <c r="J30" s="31">
        <v>1300</v>
      </c>
      <c r="K30" s="32">
        <v>50</v>
      </c>
      <c r="L30" s="76" t="str">
        <f t="shared" si="1"/>
        <v/>
      </c>
    </row>
    <row r="31" spans="1:12" x14ac:dyDescent="0.25">
      <c r="A31" s="25" t="s">
        <v>927</v>
      </c>
      <c r="B31" s="26">
        <v>0</v>
      </c>
      <c r="C31" s="26">
        <v>6</v>
      </c>
      <c r="D31" s="25" t="s">
        <v>928</v>
      </c>
      <c r="E31" s="27"/>
      <c r="F31" s="28">
        <v>21.6</v>
      </c>
      <c r="G31" s="29">
        <f t="shared" si="0"/>
        <v>3.6</v>
      </c>
      <c r="H31" s="30" t="s">
        <v>930</v>
      </c>
      <c r="I31" s="30" t="s">
        <v>1113</v>
      </c>
      <c r="J31" s="31">
        <v>462</v>
      </c>
      <c r="K31" s="32">
        <v>77</v>
      </c>
      <c r="L31" s="76" t="str">
        <f t="shared" si="1"/>
        <v/>
      </c>
    </row>
    <row r="32" spans="1:12" x14ac:dyDescent="0.25">
      <c r="A32" s="25" t="s">
        <v>944</v>
      </c>
      <c r="B32" s="26">
        <v>176</v>
      </c>
      <c r="C32" s="26">
        <v>3</v>
      </c>
      <c r="D32" s="25" t="s">
        <v>943</v>
      </c>
      <c r="E32" s="27"/>
      <c r="F32" s="28">
        <v>21.5</v>
      </c>
      <c r="G32" s="29">
        <f t="shared" si="0"/>
        <v>7.166666666666667</v>
      </c>
      <c r="H32" s="30" t="s">
        <v>945</v>
      </c>
      <c r="I32" s="30" t="s">
        <v>1002</v>
      </c>
      <c r="J32" s="31">
        <v>363</v>
      </c>
      <c r="K32" s="32">
        <v>33</v>
      </c>
      <c r="L32" s="76" t="str">
        <f t="shared" si="1"/>
        <v/>
      </c>
    </row>
    <row r="33" spans="1:12" x14ac:dyDescent="0.25">
      <c r="A33" s="25" t="s">
        <v>1862</v>
      </c>
      <c r="B33" s="26">
        <v>18</v>
      </c>
      <c r="C33" s="26">
        <v>16</v>
      </c>
      <c r="D33" s="25" t="s">
        <v>1863</v>
      </c>
      <c r="E33" s="31"/>
      <c r="F33" s="28">
        <v>12.4</v>
      </c>
      <c r="G33" s="29">
        <f t="shared" si="0"/>
        <v>0.77500000000000002</v>
      </c>
      <c r="H33" s="30" t="s">
        <v>3098</v>
      </c>
      <c r="I33" s="30" t="s">
        <v>3099</v>
      </c>
      <c r="J33" s="31">
        <v>48</v>
      </c>
      <c r="K33" s="32">
        <v>12</v>
      </c>
      <c r="L33" s="76" t="str">
        <f t="shared" si="1"/>
        <v/>
      </c>
    </row>
    <row r="34" spans="1:12" x14ac:dyDescent="0.25">
      <c r="A34" s="25" t="s">
        <v>149</v>
      </c>
      <c r="B34" s="26">
        <v>94</v>
      </c>
      <c r="C34" s="26">
        <v>16</v>
      </c>
      <c r="D34" s="25" t="s">
        <v>1445</v>
      </c>
      <c r="E34" s="27"/>
      <c r="F34" s="28">
        <v>12.4</v>
      </c>
      <c r="G34" s="29">
        <f t="shared" si="0"/>
        <v>0.77500000000000002</v>
      </c>
      <c r="H34" s="30" t="s">
        <v>3096</v>
      </c>
      <c r="I34" s="30" t="s">
        <v>3097</v>
      </c>
      <c r="J34" s="31">
        <v>50</v>
      </c>
      <c r="K34" s="32">
        <v>15</v>
      </c>
      <c r="L34" s="76" t="str">
        <f t="shared" si="1"/>
        <v/>
      </c>
    </row>
    <row r="35" spans="1:12" x14ac:dyDescent="0.25">
      <c r="A35" s="25" t="s">
        <v>801</v>
      </c>
      <c r="B35" s="26">
        <v>182</v>
      </c>
      <c r="C35" s="26">
        <v>12</v>
      </c>
      <c r="D35" s="25" t="s">
        <v>1476</v>
      </c>
      <c r="E35" s="31"/>
      <c r="F35" s="38">
        <v>18.72</v>
      </c>
      <c r="G35" s="29">
        <f t="shared" si="0"/>
        <v>1.5599999999999998</v>
      </c>
      <c r="H35" s="30" t="s">
        <v>1438</v>
      </c>
      <c r="I35" s="30" t="s">
        <v>1439</v>
      </c>
      <c r="J35" s="31">
        <v>108</v>
      </c>
      <c r="K35" s="32">
        <v>18</v>
      </c>
      <c r="L35" s="76" t="str">
        <f t="shared" si="1"/>
        <v/>
      </c>
    </row>
    <row r="36" spans="1:12" x14ac:dyDescent="0.25">
      <c r="A36" s="25" t="s">
        <v>150</v>
      </c>
      <c r="B36" s="26">
        <v>92</v>
      </c>
      <c r="C36" s="26">
        <v>16</v>
      </c>
      <c r="D36" s="25" t="s">
        <v>71</v>
      </c>
      <c r="E36" s="27"/>
      <c r="F36" s="38">
        <v>24.96</v>
      </c>
      <c r="G36" s="29">
        <f t="shared" si="0"/>
        <v>1.56</v>
      </c>
      <c r="H36" s="30" t="s">
        <v>424</v>
      </c>
      <c r="I36" s="30" t="s">
        <v>425</v>
      </c>
      <c r="J36" s="31">
        <v>90</v>
      </c>
      <c r="K36" s="32">
        <v>15</v>
      </c>
      <c r="L36" s="76" t="str">
        <f t="shared" si="1"/>
        <v/>
      </c>
    </row>
    <row r="37" spans="1:12" x14ac:dyDescent="0.25">
      <c r="A37" s="25" t="s">
        <v>3936</v>
      </c>
      <c r="B37" s="26">
        <v>127</v>
      </c>
      <c r="C37" s="26">
        <v>16</v>
      </c>
      <c r="D37" s="25" t="s">
        <v>3937</v>
      </c>
      <c r="E37" s="27"/>
      <c r="F37" s="38">
        <v>24.96</v>
      </c>
      <c r="G37" s="29">
        <f t="shared" si="0"/>
        <v>1.56</v>
      </c>
      <c r="H37" s="30" t="s">
        <v>3953</v>
      </c>
      <c r="I37" s="30" t="s">
        <v>3954</v>
      </c>
      <c r="J37" s="31">
        <v>90</v>
      </c>
      <c r="K37" s="32">
        <v>15</v>
      </c>
      <c r="L37" s="76" t="str">
        <f t="shared" si="1"/>
        <v/>
      </c>
    </row>
    <row r="38" spans="1:12" x14ac:dyDescent="0.25">
      <c r="A38" s="25" t="s">
        <v>951</v>
      </c>
      <c r="B38" s="26">
        <v>5</v>
      </c>
      <c r="C38" s="26">
        <v>16</v>
      </c>
      <c r="D38" s="25" t="s">
        <v>1477</v>
      </c>
      <c r="E38" s="31"/>
      <c r="F38" s="38">
        <v>24.96</v>
      </c>
      <c r="G38" s="29">
        <f t="shared" si="0"/>
        <v>1.56</v>
      </c>
      <c r="H38" s="30" t="s">
        <v>1440</v>
      </c>
      <c r="I38" s="30" t="s">
        <v>1441</v>
      </c>
      <c r="J38" s="31">
        <v>90</v>
      </c>
      <c r="K38" s="32">
        <v>15</v>
      </c>
      <c r="L38" s="76" t="str">
        <f t="shared" si="1"/>
        <v/>
      </c>
    </row>
    <row r="39" spans="1:12" x14ac:dyDescent="0.25">
      <c r="A39" s="25" t="s">
        <v>3950</v>
      </c>
      <c r="B39" s="26">
        <v>45</v>
      </c>
      <c r="C39" s="26">
        <v>16</v>
      </c>
      <c r="D39" s="25" t="s">
        <v>3951</v>
      </c>
      <c r="E39" s="31"/>
      <c r="F39" s="38">
        <v>24.96</v>
      </c>
      <c r="G39" s="29">
        <f t="shared" si="0"/>
        <v>1.56</v>
      </c>
      <c r="H39" s="30" t="s">
        <v>3955</v>
      </c>
      <c r="I39" s="30" t="s">
        <v>3956</v>
      </c>
      <c r="J39" s="31">
        <v>90</v>
      </c>
      <c r="K39" s="32">
        <v>15</v>
      </c>
      <c r="L39" s="76" t="str">
        <f t="shared" si="1"/>
        <v/>
      </c>
    </row>
    <row r="40" spans="1:12" x14ac:dyDescent="0.25">
      <c r="A40" s="25" t="s">
        <v>950</v>
      </c>
      <c r="B40" s="26">
        <v>166</v>
      </c>
      <c r="C40" s="26">
        <v>16</v>
      </c>
      <c r="D40" s="25" t="s">
        <v>1442</v>
      </c>
      <c r="E40" s="31"/>
      <c r="F40" s="38">
        <v>24.96</v>
      </c>
      <c r="G40" s="29">
        <f t="shared" si="0"/>
        <v>1.56</v>
      </c>
      <c r="H40" s="30" t="s">
        <v>1443</v>
      </c>
      <c r="I40" s="30" t="s">
        <v>1444</v>
      </c>
      <c r="J40" s="31">
        <v>90</v>
      </c>
      <c r="K40" s="32">
        <v>15</v>
      </c>
      <c r="L40" s="76" t="str">
        <f t="shared" si="1"/>
        <v/>
      </c>
    </row>
    <row r="41" spans="1:12" x14ac:dyDescent="0.25">
      <c r="A41" s="25" t="s">
        <v>151</v>
      </c>
      <c r="B41" s="26">
        <v>40</v>
      </c>
      <c r="C41" s="26">
        <v>12</v>
      </c>
      <c r="D41" s="25" t="s">
        <v>117</v>
      </c>
      <c r="E41" s="27"/>
      <c r="F41" s="38">
        <v>8.08</v>
      </c>
      <c r="G41" s="29">
        <f t="shared" si="0"/>
        <v>0.67333333333333334</v>
      </c>
      <c r="H41" s="30" t="s">
        <v>122</v>
      </c>
      <c r="I41" s="30" t="s">
        <v>123</v>
      </c>
      <c r="J41" s="31">
        <v>200</v>
      </c>
      <c r="K41" s="32">
        <v>20</v>
      </c>
      <c r="L41" s="76" t="str">
        <f t="shared" si="1"/>
        <v/>
      </c>
    </row>
    <row r="42" spans="1:12" x14ac:dyDescent="0.25">
      <c r="A42" s="25" t="s">
        <v>152</v>
      </c>
      <c r="B42" s="26">
        <v>76</v>
      </c>
      <c r="C42" s="26">
        <v>12</v>
      </c>
      <c r="D42" s="25" t="s">
        <v>81</v>
      </c>
      <c r="E42" s="27"/>
      <c r="F42" s="38">
        <v>8.08</v>
      </c>
      <c r="G42" s="29">
        <f t="shared" si="0"/>
        <v>0.67333333333333334</v>
      </c>
      <c r="H42" s="30" t="s">
        <v>84</v>
      </c>
      <c r="I42" s="30" t="s">
        <v>85</v>
      </c>
      <c r="J42" s="31">
        <v>189</v>
      </c>
      <c r="K42" s="32">
        <v>27</v>
      </c>
      <c r="L42" s="76" t="str">
        <f t="shared" si="1"/>
        <v/>
      </c>
    </row>
    <row r="43" spans="1:12" x14ac:dyDescent="0.25">
      <c r="A43" s="25" t="s">
        <v>153</v>
      </c>
      <c r="B43" s="26">
        <v>6</v>
      </c>
      <c r="C43" s="26">
        <v>12</v>
      </c>
      <c r="D43" s="25" t="s">
        <v>116</v>
      </c>
      <c r="E43" s="27"/>
      <c r="F43" s="38">
        <v>8.08</v>
      </c>
      <c r="G43" s="29">
        <f t="shared" si="0"/>
        <v>0.67333333333333334</v>
      </c>
      <c r="H43" s="30" t="s">
        <v>118</v>
      </c>
      <c r="I43" s="30" t="s">
        <v>827</v>
      </c>
      <c r="J43" s="31">
        <v>176</v>
      </c>
      <c r="K43" s="32">
        <v>22</v>
      </c>
      <c r="L43" s="76" t="str">
        <f t="shared" si="1"/>
        <v/>
      </c>
    </row>
    <row r="44" spans="1:12" x14ac:dyDescent="0.25">
      <c r="A44" s="25" t="s">
        <v>156</v>
      </c>
      <c r="B44" s="26">
        <v>32</v>
      </c>
      <c r="C44" s="26">
        <v>12</v>
      </c>
      <c r="D44" s="25" t="s">
        <v>115</v>
      </c>
      <c r="E44" s="27"/>
      <c r="F44" s="28">
        <v>8.08</v>
      </c>
      <c r="G44" s="29">
        <f t="shared" si="0"/>
        <v>0.67333333333333334</v>
      </c>
      <c r="H44" s="30" t="s">
        <v>120</v>
      </c>
      <c r="I44" s="30" t="s">
        <v>126</v>
      </c>
      <c r="J44" s="31">
        <v>360</v>
      </c>
      <c r="K44" s="32">
        <v>40</v>
      </c>
      <c r="L44" s="76" t="str">
        <f t="shared" si="1"/>
        <v/>
      </c>
    </row>
    <row r="45" spans="1:12" x14ac:dyDescent="0.25">
      <c r="A45" s="25" t="s">
        <v>154</v>
      </c>
      <c r="B45" s="26">
        <v>0</v>
      </c>
      <c r="C45" s="26">
        <v>12</v>
      </c>
      <c r="D45" s="25" t="s">
        <v>113</v>
      </c>
      <c r="E45" s="27"/>
      <c r="F45" s="28">
        <v>8.08</v>
      </c>
      <c r="G45" s="29">
        <f t="shared" si="0"/>
        <v>0.67333333333333334</v>
      </c>
      <c r="H45" s="30" t="s">
        <v>111</v>
      </c>
      <c r="I45" s="30" t="s">
        <v>125</v>
      </c>
      <c r="J45" s="31">
        <v>368</v>
      </c>
      <c r="K45" s="32">
        <v>46</v>
      </c>
      <c r="L45" s="76" t="str">
        <f t="shared" si="1"/>
        <v/>
      </c>
    </row>
    <row r="46" spans="1:12" x14ac:dyDescent="0.25">
      <c r="A46" s="25" t="s">
        <v>155</v>
      </c>
      <c r="B46" s="26">
        <v>30</v>
      </c>
      <c r="C46" s="26">
        <v>12</v>
      </c>
      <c r="D46" s="25" t="s">
        <v>112</v>
      </c>
      <c r="E46" s="27"/>
      <c r="F46" s="28">
        <v>8.08</v>
      </c>
      <c r="G46" s="29">
        <f t="shared" si="0"/>
        <v>0.67333333333333334</v>
      </c>
      <c r="H46" s="30" t="s">
        <v>119</v>
      </c>
      <c r="I46" s="30" t="s">
        <v>124</v>
      </c>
      <c r="J46" s="31">
        <v>216</v>
      </c>
      <c r="K46" s="32">
        <v>24</v>
      </c>
      <c r="L46" s="76" t="str">
        <f t="shared" si="1"/>
        <v/>
      </c>
    </row>
    <row r="47" spans="1:12" x14ac:dyDescent="0.25">
      <c r="A47" s="25" t="s">
        <v>157</v>
      </c>
      <c r="B47" s="26">
        <v>26</v>
      </c>
      <c r="C47" s="26">
        <v>24</v>
      </c>
      <c r="D47" s="25" t="s">
        <v>114</v>
      </c>
      <c r="E47" s="27"/>
      <c r="F47" s="28">
        <v>16.16</v>
      </c>
      <c r="G47" s="29">
        <f t="shared" si="0"/>
        <v>0.67333333333333334</v>
      </c>
      <c r="H47" s="30" t="s">
        <v>121</v>
      </c>
      <c r="I47" s="30" t="s">
        <v>127</v>
      </c>
      <c r="J47" s="31">
        <v>168</v>
      </c>
      <c r="K47" s="32">
        <v>14</v>
      </c>
      <c r="L47" s="76" t="str">
        <f t="shared" si="1"/>
        <v/>
      </c>
    </row>
    <row r="48" spans="1:12" x14ac:dyDescent="0.25">
      <c r="A48" s="25" t="s">
        <v>158</v>
      </c>
      <c r="B48" s="26">
        <v>100</v>
      </c>
      <c r="C48" s="26">
        <v>12</v>
      </c>
      <c r="D48" s="25" t="s">
        <v>80</v>
      </c>
      <c r="E48" s="27"/>
      <c r="F48" s="28">
        <v>8.08</v>
      </c>
      <c r="G48" s="29">
        <f t="shared" si="0"/>
        <v>0.67333333333333334</v>
      </c>
      <c r="H48" s="30" t="s">
        <v>82</v>
      </c>
      <c r="I48" s="30" t="s">
        <v>83</v>
      </c>
      <c r="J48" s="31">
        <v>189</v>
      </c>
      <c r="K48" s="32">
        <v>27</v>
      </c>
      <c r="L48" s="76" t="str">
        <f t="shared" si="1"/>
        <v/>
      </c>
    </row>
    <row r="49" spans="1:12" x14ac:dyDescent="0.25">
      <c r="A49" s="25" t="s">
        <v>1467</v>
      </c>
      <c r="B49" s="26">
        <v>153</v>
      </c>
      <c r="C49" s="26">
        <v>6</v>
      </c>
      <c r="D49" s="25" t="s">
        <v>1468</v>
      </c>
      <c r="E49" s="31"/>
      <c r="F49" s="28">
        <v>6</v>
      </c>
      <c r="G49" s="29">
        <f t="shared" si="0"/>
        <v>1</v>
      </c>
      <c r="H49" s="30" t="s">
        <v>1480</v>
      </c>
      <c r="I49" s="30" t="s">
        <v>1469</v>
      </c>
      <c r="J49" s="31">
        <v>544</v>
      </c>
      <c r="K49" s="53">
        <v>136</v>
      </c>
      <c r="L49" s="76" t="str">
        <f t="shared" si="1"/>
        <v/>
      </c>
    </row>
    <row r="50" spans="1:12" x14ac:dyDescent="0.25">
      <c r="A50" s="25" t="s">
        <v>983</v>
      </c>
      <c r="B50" s="26">
        <v>26</v>
      </c>
      <c r="C50" s="26">
        <v>12</v>
      </c>
      <c r="D50" s="25" t="s">
        <v>984</v>
      </c>
      <c r="E50" s="31"/>
      <c r="F50" s="28">
        <v>12.6</v>
      </c>
      <c r="G50" s="28">
        <f t="shared" si="0"/>
        <v>1.05</v>
      </c>
      <c r="H50" s="30" t="s">
        <v>985</v>
      </c>
      <c r="I50" s="30" t="s">
        <v>986</v>
      </c>
      <c r="J50" s="31">
        <v>630</v>
      </c>
      <c r="K50" s="32">
        <v>105</v>
      </c>
      <c r="L50" s="77" t="str">
        <f t="shared" si="1"/>
        <v/>
      </c>
    </row>
    <row r="51" spans="1:12" x14ac:dyDescent="0.25">
      <c r="A51" s="25" t="s">
        <v>412</v>
      </c>
      <c r="B51" s="26">
        <v>87</v>
      </c>
      <c r="C51" s="26">
        <v>6</v>
      </c>
      <c r="D51" s="25" t="s">
        <v>413</v>
      </c>
      <c r="E51" s="27"/>
      <c r="F51" s="28">
        <v>12.8</v>
      </c>
      <c r="G51" s="28">
        <f t="shared" si="0"/>
        <v>2.1333333333333333</v>
      </c>
      <c r="H51" s="30" t="s">
        <v>711</v>
      </c>
      <c r="I51" s="30" t="s">
        <v>712</v>
      </c>
      <c r="J51" s="31">
        <v>300</v>
      </c>
      <c r="K51" s="32">
        <v>50</v>
      </c>
      <c r="L51" s="76" t="str">
        <f t="shared" si="1"/>
        <v/>
      </c>
    </row>
    <row r="52" spans="1:12" x14ac:dyDescent="0.25">
      <c r="A52" s="25" t="s">
        <v>256</v>
      </c>
      <c r="B52" s="26">
        <v>12</v>
      </c>
      <c r="C52" s="26">
        <v>6</v>
      </c>
      <c r="D52" s="25" t="s">
        <v>257</v>
      </c>
      <c r="E52" s="27"/>
      <c r="F52" s="28">
        <v>4.5</v>
      </c>
      <c r="G52" s="29">
        <f t="shared" si="0"/>
        <v>0.75</v>
      </c>
      <c r="H52" s="30" t="s">
        <v>709</v>
      </c>
      <c r="I52" s="30" t="s">
        <v>710</v>
      </c>
      <c r="J52" s="31">
        <v>648</v>
      </c>
      <c r="K52" s="32">
        <v>54</v>
      </c>
      <c r="L52" s="76" t="str">
        <f t="shared" si="1"/>
        <v/>
      </c>
    </row>
    <row r="53" spans="1:12" x14ac:dyDescent="0.25">
      <c r="A53" s="25" t="s">
        <v>1583</v>
      </c>
      <c r="B53" s="26">
        <v>7</v>
      </c>
      <c r="C53" s="26">
        <v>12</v>
      </c>
      <c r="D53" s="25" t="s">
        <v>1584</v>
      </c>
      <c r="E53" s="27"/>
      <c r="F53" s="28">
        <v>19.399999999999999</v>
      </c>
      <c r="G53" s="29">
        <f t="shared" si="0"/>
        <v>1.6166666666666665</v>
      </c>
      <c r="H53" s="30" t="s">
        <v>1585</v>
      </c>
      <c r="I53" s="30" t="s">
        <v>1586</v>
      </c>
      <c r="J53" s="31"/>
      <c r="K53" s="32"/>
      <c r="L53" s="76" t="str">
        <f t="shared" si="1"/>
        <v/>
      </c>
    </row>
    <row r="54" spans="1:12" x14ac:dyDescent="0.25">
      <c r="A54" s="25" t="s">
        <v>254</v>
      </c>
      <c r="B54" s="26">
        <v>64</v>
      </c>
      <c r="C54" s="26">
        <v>6</v>
      </c>
      <c r="D54" s="25" t="s">
        <v>255</v>
      </c>
      <c r="E54" s="27"/>
      <c r="F54" s="28">
        <v>8.6</v>
      </c>
      <c r="G54" s="29">
        <f t="shared" si="0"/>
        <v>1.4333333333333333</v>
      </c>
      <c r="H54" s="30" t="s">
        <v>273</v>
      </c>
      <c r="I54" s="30" t="s">
        <v>272</v>
      </c>
      <c r="J54" s="31">
        <v>1392</v>
      </c>
      <c r="K54" s="32">
        <v>232</v>
      </c>
      <c r="L54" s="76" t="str">
        <f t="shared" si="1"/>
        <v/>
      </c>
    </row>
    <row r="55" spans="1:12" x14ac:dyDescent="0.25">
      <c r="A55" s="25" t="s">
        <v>216</v>
      </c>
      <c r="B55" s="26">
        <v>205</v>
      </c>
      <c r="C55" s="26" t="s">
        <v>215</v>
      </c>
      <c r="D55" s="25" t="s">
        <v>219</v>
      </c>
      <c r="E55" s="27"/>
      <c r="F55" s="28">
        <v>7.2</v>
      </c>
      <c r="G55" s="29">
        <f t="shared" si="0"/>
        <v>1.2</v>
      </c>
      <c r="H55" s="30" t="s">
        <v>231</v>
      </c>
      <c r="I55" s="30" t="s">
        <v>230</v>
      </c>
      <c r="J55" s="31">
        <v>630</v>
      </c>
      <c r="K55" s="32">
        <v>105</v>
      </c>
      <c r="L55" s="76" t="str">
        <f t="shared" si="1"/>
        <v/>
      </c>
    </row>
    <row r="56" spans="1:12" x14ac:dyDescent="0.25">
      <c r="A56" s="25" t="s">
        <v>585</v>
      </c>
      <c r="B56" s="26">
        <v>161</v>
      </c>
      <c r="C56" s="26">
        <v>6</v>
      </c>
      <c r="D56" s="25" t="s">
        <v>586</v>
      </c>
      <c r="E56" s="27"/>
      <c r="F56" s="28">
        <v>12.3</v>
      </c>
      <c r="G56" s="28">
        <f t="shared" si="0"/>
        <v>2.0500000000000003</v>
      </c>
      <c r="H56" s="30" t="s">
        <v>587</v>
      </c>
      <c r="I56" s="30" t="s">
        <v>588</v>
      </c>
      <c r="J56" s="31">
        <v>300</v>
      </c>
      <c r="K56" s="32">
        <v>50</v>
      </c>
      <c r="L56" s="76" t="str">
        <f t="shared" si="1"/>
        <v/>
      </c>
    </row>
    <row r="57" spans="1:12" x14ac:dyDescent="0.25">
      <c r="A57" s="25" t="s">
        <v>378</v>
      </c>
      <c r="B57" s="26">
        <v>130</v>
      </c>
      <c r="C57" s="26">
        <v>12</v>
      </c>
      <c r="D57" s="25" t="s">
        <v>379</v>
      </c>
      <c r="E57" s="27"/>
      <c r="F57" s="28">
        <v>3.4</v>
      </c>
      <c r="G57" s="29">
        <f t="shared" si="0"/>
        <v>0.28333333333333333</v>
      </c>
      <c r="H57" s="30" t="s">
        <v>380</v>
      </c>
      <c r="I57" s="30" t="s">
        <v>381</v>
      </c>
      <c r="J57" s="31">
        <v>432</v>
      </c>
      <c r="K57" s="32">
        <v>108</v>
      </c>
      <c r="L57" s="76" t="str">
        <f t="shared" si="1"/>
        <v/>
      </c>
    </row>
    <row r="58" spans="1:12" x14ac:dyDescent="0.25">
      <c r="A58" s="25" t="s">
        <v>440</v>
      </c>
      <c r="B58" s="26">
        <v>90</v>
      </c>
      <c r="C58" s="26">
        <v>12</v>
      </c>
      <c r="D58" s="25" t="s">
        <v>441</v>
      </c>
      <c r="E58" s="27"/>
      <c r="F58" s="28">
        <v>3.7</v>
      </c>
      <c r="G58" s="29">
        <f t="shared" si="0"/>
        <v>0.30833333333333335</v>
      </c>
      <c r="H58" s="30" t="s">
        <v>442</v>
      </c>
      <c r="I58" s="30" t="s">
        <v>443</v>
      </c>
      <c r="J58" s="31">
        <v>360</v>
      </c>
      <c r="K58" s="32">
        <v>72</v>
      </c>
      <c r="L58" s="76" t="str">
        <f t="shared" si="1"/>
        <v/>
      </c>
    </row>
    <row r="59" spans="1:12" x14ac:dyDescent="0.25">
      <c r="A59" s="25" t="s">
        <v>217</v>
      </c>
      <c r="B59" s="26">
        <v>92</v>
      </c>
      <c r="C59" s="26" t="s">
        <v>215</v>
      </c>
      <c r="D59" s="25" t="s">
        <v>220</v>
      </c>
      <c r="E59" s="27"/>
      <c r="F59" s="28">
        <v>8.6</v>
      </c>
      <c r="G59" s="29">
        <f t="shared" si="0"/>
        <v>1.4333333333333333</v>
      </c>
      <c r="H59" s="30" t="s">
        <v>229</v>
      </c>
      <c r="I59" s="30" t="s">
        <v>228</v>
      </c>
      <c r="J59" s="31">
        <v>1392</v>
      </c>
      <c r="K59" s="32">
        <v>232</v>
      </c>
      <c r="L59" s="76" t="str">
        <f t="shared" si="1"/>
        <v/>
      </c>
    </row>
    <row r="60" spans="1:12" x14ac:dyDescent="0.25">
      <c r="A60" s="25" t="s">
        <v>218</v>
      </c>
      <c r="B60" s="26">
        <v>145</v>
      </c>
      <c r="C60" s="26" t="s">
        <v>215</v>
      </c>
      <c r="D60" s="25" t="s">
        <v>221</v>
      </c>
      <c r="E60" s="27"/>
      <c r="F60" s="28">
        <v>4.2</v>
      </c>
      <c r="G60" s="29">
        <f t="shared" si="0"/>
        <v>0.70000000000000007</v>
      </c>
      <c r="H60" s="30" t="s">
        <v>233</v>
      </c>
      <c r="I60" s="30" t="s">
        <v>232</v>
      </c>
      <c r="J60" s="31">
        <v>720</v>
      </c>
      <c r="K60" s="32">
        <v>90</v>
      </c>
      <c r="L60" s="76" t="str">
        <f t="shared" si="1"/>
        <v/>
      </c>
    </row>
    <row r="61" spans="1:12" x14ac:dyDescent="0.25">
      <c r="A61" s="25" t="s">
        <v>258</v>
      </c>
      <c r="B61" s="26">
        <v>19</v>
      </c>
      <c r="C61" s="26">
        <v>6</v>
      </c>
      <c r="D61" s="25" t="s">
        <v>259</v>
      </c>
      <c r="E61" s="27"/>
      <c r="F61" s="28">
        <v>10.4</v>
      </c>
      <c r="G61" s="29">
        <f t="shared" si="0"/>
        <v>1.7333333333333334</v>
      </c>
      <c r="H61" s="30" t="s">
        <v>274</v>
      </c>
      <c r="I61" s="30" t="s">
        <v>275</v>
      </c>
      <c r="J61" s="31">
        <v>300</v>
      </c>
      <c r="K61" s="32">
        <v>50</v>
      </c>
      <c r="L61" s="76" t="str">
        <f t="shared" si="1"/>
        <v/>
      </c>
    </row>
    <row r="62" spans="1:12" x14ac:dyDescent="0.25">
      <c r="A62" s="25" t="s">
        <v>1998</v>
      </c>
      <c r="B62" s="26">
        <v>147</v>
      </c>
      <c r="C62" s="26">
        <v>12</v>
      </c>
      <c r="D62" s="25" t="s">
        <v>1999</v>
      </c>
      <c r="E62" s="27"/>
      <c r="F62" s="28">
        <v>31.25</v>
      </c>
      <c r="G62" s="28">
        <f t="shared" si="0"/>
        <v>2.6041666666666665</v>
      </c>
      <c r="H62" s="30" t="s">
        <v>2000</v>
      </c>
      <c r="I62" s="30" t="s">
        <v>2003</v>
      </c>
      <c r="J62" s="31"/>
      <c r="K62" s="32"/>
      <c r="L62" s="76" t="str">
        <f t="shared" si="1"/>
        <v/>
      </c>
    </row>
    <row r="63" spans="1:12" x14ac:dyDescent="0.25">
      <c r="A63" s="25" t="s">
        <v>395</v>
      </c>
      <c r="B63" s="35">
        <v>22</v>
      </c>
      <c r="C63" s="26">
        <v>12</v>
      </c>
      <c r="D63" s="25" t="s">
        <v>396</v>
      </c>
      <c r="E63" s="27"/>
      <c r="F63" s="28">
        <v>26.4</v>
      </c>
      <c r="G63" s="29">
        <f t="shared" si="0"/>
        <v>2.1999999999999997</v>
      </c>
      <c r="H63" s="55" t="s">
        <v>397</v>
      </c>
      <c r="I63" s="55" t="s">
        <v>398</v>
      </c>
      <c r="J63" s="35">
        <v>150</v>
      </c>
      <c r="K63" s="32">
        <v>25</v>
      </c>
      <c r="L63" s="76" t="str">
        <f t="shared" si="1"/>
        <v/>
      </c>
    </row>
    <row r="64" spans="1:12" x14ac:dyDescent="0.25">
      <c r="A64" s="25" t="s">
        <v>1414</v>
      </c>
      <c r="B64" s="26">
        <v>126</v>
      </c>
      <c r="C64" s="26">
        <v>10</v>
      </c>
      <c r="D64" s="25" t="s">
        <v>1415</v>
      </c>
      <c r="E64" s="31"/>
      <c r="F64" s="28">
        <v>3.72</v>
      </c>
      <c r="G64" s="28">
        <f t="shared" si="0"/>
        <v>0.372</v>
      </c>
      <c r="H64" s="30" t="s">
        <v>1426</v>
      </c>
      <c r="I64" s="30" t="s">
        <v>1427</v>
      </c>
      <c r="J64" s="31">
        <v>1200</v>
      </c>
      <c r="K64" s="32">
        <v>300</v>
      </c>
      <c r="L64" s="77" t="str">
        <f t="shared" si="1"/>
        <v/>
      </c>
    </row>
    <row r="65" spans="1:12" x14ac:dyDescent="0.25">
      <c r="A65" s="25" t="s">
        <v>1417</v>
      </c>
      <c r="B65" s="26">
        <v>71</v>
      </c>
      <c r="C65" s="26">
        <v>10</v>
      </c>
      <c r="D65" s="25" t="s">
        <v>1416</v>
      </c>
      <c r="E65" s="31"/>
      <c r="F65" s="28">
        <v>3.72</v>
      </c>
      <c r="G65" s="28">
        <f t="shared" si="0"/>
        <v>0.372</v>
      </c>
      <c r="H65" s="30" t="s">
        <v>1428</v>
      </c>
      <c r="I65" s="30" t="s">
        <v>1429</v>
      </c>
      <c r="J65" s="31">
        <v>1200</v>
      </c>
      <c r="K65" s="32">
        <v>300</v>
      </c>
      <c r="L65" s="77" t="str">
        <f t="shared" si="1"/>
        <v/>
      </c>
    </row>
    <row r="66" spans="1:12" x14ac:dyDescent="0.25">
      <c r="A66" s="25" t="s">
        <v>1418</v>
      </c>
      <c r="B66" s="26">
        <v>17</v>
      </c>
      <c r="C66" s="26">
        <v>10</v>
      </c>
      <c r="D66" s="25" t="s">
        <v>1419</v>
      </c>
      <c r="E66" s="31"/>
      <c r="F66" s="28">
        <v>8.8000000000000007</v>
      </c>
      <c r="G66" s="28">
        <f t="shared" ref="G66:G125" si="2">F66/C66</f>
        <v>0.88000000000000012</v>
      </c>
      <c r="H66" s="30" t="s">
        <v>1430</v>
      </c>
      <c r="I66" s="30" t="s">
        <v>1431</v>
      </c>
      <c r="J66" s="31">
        <v>768</v>
      </c>
      <c r="K66" s="32">
        <v>192</v>
      </c>
      <c r="L66" s="77" t="str">
        <f t="shared" ref="L66:L125" si="3">IF(E66,E66*F66,"")</f>
        <v/>
      </c>
    </row>
    <row r="67" spans="1:12" x14ac:dyDescent="0.25">
      <c r="A67" s="25" t="s">
        <v>1849</v>
      </c>
      <c r="B67" s="26">
        <v>4</v>
      </c>
      <c r="C67" s="26">
        <v>6</v>
      </c>
      <c r="D67" s="25" t="s">
        <v>1773</v>
      </c>
      <c r="E67" s="31"/>
      <c r="F67" s="28">
        <v>6.6</v>
      </c>
      <c r="G67" s="28">
        <f t="shared" si="2"/>
        <v>1.0999999999999999</v>
      </c>
      <c r="H67" s="30" t="s">
        <v>1713</v>
      </c>
      <c r="I67" s="30" t="s">
        <v>1714</v>
      </c>
      <c r="J67" s="31">
        <v>300</v>
      </c>
      <c r="K67" s="32">
        <v>50</v>
      </c>
      <c r="L67" s="77" t="str">
        <f t="shared" si="3"/>
        <v/>
      </c>
    </row>
    <row r="68" spans="1:12" x14ac:dyDescent="0.25">
      <c r="A68" s="25" t="s">
        <v>2536</v>
      </c>
      <c r="B68" s="26">
        <v>0</v>
      </c>
      <c r="C68" s="26">
        <v>6</v>
      </c>
      <c r="D68" s="25" t="s">
        <v>2537</v>
      </c>
      <c r="E68" s="31"/>
      <c r="F68" s="28">
        <v>6.95</v>
      </c>
      <c r="G68" s="28">
        <f t="shared" si="2"/>
        <v>1.1583333333333334</v>
      </c>
      <c r="H68" s="30" t="s">
        <v>2538</v>
      </c>
      <c r="I68" s="30" t="s">
        <v>2539</v>
      </c>
      <c r="J68" s="31"/>
      <c r="K68" s="32"/>
      <c r="L68" s="77" t="str">
        <f t="shared" si="3"/>
        <v/>
      </c>
    </row>
    <row r="69" spans="1:12" x14ac:dyDescent="0.25">
      <c r="A69" s="25" t="s">
        <v>1669</v>
      </c>
      <c r="B69" s="26">
        <v>11</v>
      </c>
      <c r="C69" s="26">
        <v>6</v>
      </c>
      <c r="D69" s="25" t="s">
        <v>1667</v>
      </c>
      <c r="E69" s="31"/>
      <c r="F69" s="28">
        <v>6.4</v>
      </c>
      <c r="G69" s="28">
        <f t="shared" si="2"/>
        <v>1.0666666666666667</v>
      </c>
      <c r="H69" s="30" t="s">
        <v>1683</v>
      </c>
      <c r="I69" s="30" t="s">
        <v>1684</v>
      </c>
      <c r="J69" s="31">
        <v>300</v>
      </c>
      <c r="K69" s="32">
        <v>50</v>
      </c>
      <c r="L69" s="77" t="str">
        <f t="shared" si="3"/>
        <v/>
      </c>
    </row>
    <row r="70" spans="1:12" x14ac:dyDescent="0.25">
      <c r="A70" s="25" t="s">
        <v>1670</v>
      </c>
      <c r="B70" s="26">
        <v>0</v>
      </c>
      <c r="C70" s="26">
        <v>6</v>
      </c>
      <c r="D70" s="25" t="s">
        <v>1668</v>
      </c>
      <c r="E70" s="31"/>
      <c r="F70" s="28">
        <v>6.6</v>
      </c>
      <c r="G70" s="28">
        <f t="shared" si="2"/>
        <v>1.0999999999999999</v>
      </c>
      <c r="H70" s="30" t="s">
        <v>1685</v>
      </c>
      <c r="I70" s="30" t="s">
        <v>1686</v>
      </c>
      <c r="J70" s="31">
        <v>300</v>
      </c>
      <c r="K70" s="32">
        <v>50</v>
      </c>
      <c r="L70" s="77" t="str">
        <f t="shared" si="3"/>
        <v/>
      </c>
    </row>
    <row r="71" spans="1:12" x14ac:dyDescent="0.25">
      <c r="A71" s="25" t="s">
        <v>1794</v>
      </c>
      <c r="B71" s="26">
        <v>8</v>
      </c>
      <c r="C71" s="26">
        <v>12</v>
      </c>
      <c r="D71" s="25" t="s">
        <v>1795</v>
      </c>
      <c r="E71" s="31"/>
      <c r="F71" s="28">
        <v>11.4</v>
      </c>
      <c r="G71" s="28">
        <f t="shared" si="2"/>
        <v>0.95000000000000007</v>
      </c>
      <c r="H71" s="30" t="s">
        <v>1982</v>
      </c>
      <c r="I71" s="30" t="s">
        <v>1983</v>
      </c>
      <c r="J71" s="31">
        <v>238</v>
      </c>
      <c r="K71" s="32">
        <v>34</v>
      </c>
      <c r="L71" s="77" t="str">
        <f t="shared" si="3"/>
        <v/>
      </c>
    </row>
    <row r="72" spans="1:12" x14ac:dyDescent="0.25">
      <c r="A72" s="25" t="s">
        <v>1996</v>
      </c>
      <c r="B72" s="26">
        <v>34</v>
      </c>
      <c r="C72" s="26">
        <v>10</v>
      </c>
      <c r="D72" s="25" t="s">
        <v>1997</v>
      </c>
      <c r="E72" s="31"/>
      <c r="F72" s="28">
        <v>3.6</v>
      </c>
      <c r="G72" s="28">
        <f t="shared" si="2"/>
        <v>0.36</v>
      </c>
      <c r="H72" s="30" t="s">
        <v>2001</v>
      </c>
      <c r="I72" s="30" t="s">
        <v>2002</v>
      </c>
      <c r="J72" s="31"/>
      <c r="K72" s="32"/>
      <c r="L72" s="77" t="str">
        <f t="shared" si="3"/>
        <v/>
      </c>
    </row>
    <row r="73" spans="1:12" x14ac:dyDescent="0.25">
      <c r="A73" s="36" t="s">
        <v>446</v>
      </c>
      <c r="B73" s="54">
        <v>108</v>
      </c>
      <c r="C73" s="53">
        <v>40</v>
      </c>
      <c r="D73" s="36" t="s">
        <v>447</v>
      </c>
      <c r="E73" s="27"/>
      <c r="F73" s="28">
        <v>18.600000000000001</v>
      </c>
      <c r="G73" s="29">
        <f t="shared" si="2"/>
        <v>0.46500000000000002</v>
      </c>
      <c r="H73" s="56" t="s">
        <v>448</v>
      </c>
      <c r="I73" s="56" t="s">
        <v>613</v>
      </c>
      <c r="J73" s="54">
        <v>140</v>
      </c>
      <c r="K73" s="32">
        <v>20</v>
      </c>
      <c r="L73" s="76" t="str">
        <f t="shared" si="3"/>
        <v/>
      </c>
    </row>
    <row r="74" spans="1:12" x14ac:dyDescent="0.25">
      <c r="A74" s="25" t="s">
        <v>315</v>
      </c>
      <c r="B74" s="26">
        <v>93</v>
      </c>
      <c r="C74" s="26">
        <v>40</v>
      </c>
      <c r="D74" s="25" t="s">
        <v>110</v>
      </c>
      <c r="E74" s="27"/>
      <c r="F74" s="28">
        <v>18.600000000000001</v>
      </c>
      <c r="G74" s="29">
        <f t="shared" si="2"/>
        <v>0.46500000000000002</v>
      </c>
      <c r="H74" s="30" t="s">
        <v>614</v>
      </c>
      <c r="I74" s="30" t="s">
        <v>317</v>
      </c>
      <c r="J74" s="31">
        <v>140</v>
      </c>
      <c r="K74" s="32">
        <v>20</v>
      </c>
      <c r="L74" s="76" t="str">
        <f t="shared" si="3"/>
        <v/>
      </c>
    </row>
    <row r="75" spans="1:12" x14ac:dyDescent="0.25">
      <c r="A75" s="25" t="s">
        <v>2300</v>
      </c>
      <c r="B75" s="26">
        <v>71</v>
      </c>
      <c r="C75" s="26">
        <v>20</v>
      </c>
      <c r="D75" s="25" t="s">
        <v>2301</v>
      </c>
      <c r="E75" s="27"/>
      <c r="F75" s="28">
        <v>18.600000000000001</v>
      </c>
      <c r="G75" s="29">
        <f t="shared" si="2"/>
        <v>0.93</v>
      </c>
      <c r="H75" s="30" t="s">
        <v>2302</v>
      </c>
      <c r="I75" s="30" t="s">
        <v>2303</v>
      </c>
      <c r="J75" s="31">
        <v>190</v>
      </c>
      <c r="K75" s="32">
        <v>38</v>
      </c>
      <c r="L75" s="76" t="str">
        <f t="shared" si="3"/>
        <v/>
      </c>
    </row>
    <row r="76" spans="1:12" x14ac:dyDescent="0.25">
      <c r="A76" s="25" t="s">
        <v>390</v>
      </c>
      <c r="B76" s="26">
        <v>116</v>
      </c>
      <c r="C76" s="26">
        <v>20</v>
      </c>
      <c r="D76" s="25" t="s">
        <v>2481</v>
      </c>
      <c r="E76" s="27"/>
      <c r="F76" s="28">
        <v>15.8</v>
      </c>
      <c r="G76" s="29">
        <f t="shared" si="2"/>
        <v>0.79</v>
      </c>
      <c r="H76" s="30" t="s">
        <v>3059</v>
      </c>
      <c r="I76" s="30" t="s">
        <v>3060</v>
      </c>
      <c r="J76" s="31">
        <v>168</v>
      </c>
      <c r="K76" s="32">
        <v>21</v>
      </c>
      <c r="L76" s="76" t="str">
        <f t="shared" si="3"/>
        <v/>
      </c>
    </row>
    <row r="77" spans="1:12" x14ac:dyDescent="0.25">
      <c r="A77" s="25" t="s">
        <v>159</v>
      </c>
      <c r="B77" s="26">
        <v>525</v>
      </c>
      <c r="C77" s="26">
        <v>6</v>
      </c>
      <c r="D77" s="25" t="s">
        <v>76</v>
      </c>
      <c r="E77" s="27"/>
      <c r="F77" s="28">
        <v>9</v>
      </c>
      <c r="G77" s="29">
        <f t="shared" si="2"/>
        <v>1.5</v>
      </c>
      <c r="H77" s="30" t="s">
        <v>77</v>
      </c>
      <c r="I77" s="30" t="s">
        <v>78</v>
      </c>
      <c r="J77" s="31">
        <v>413</v>
      </c>
      <c r="K77" s="32">
        <v>59</v>
      </c>
      <c r="L77" s="76" t="str">
        <f t="shared" si="3"/>
        <v/>
      </c>
    </row>
    <row r="78" spans="1:12" x14ac:dyDescent="0.25">
      <c r="A78" s="25" t="s">
        <v>3136</v>
      </c>
      <c r="B78" s="26">
        <v>220</v>
      </c>
      <c r="C78" s="26">
        <v>6</v>
      </c>
      <c r="D78" s="25" t="s">
        <v>3137</v>
      </c>
      <c r="E78" s="27"/>
      <c r="F78" s="33">
        <v>7.8</v>
      </c>
      <c r="G78" s="33">
        <f t="shared" si="2"/>
        <v>1.3</v>
      </c>
      <c r="H78" s="30" t="s">
        <v>3138</v>
      </c>
      <c r="I78" s="30" t="s">
        <v>3139</v>
      </c>
      <c r="J78" s="31">
        <v>413</v>
      </c>
      <c r="K78" s="53">
        <v>59</v>
      </c>
      <c r="L78" s="76" t="str">
        <f t="shared" si="3"/>
        <v/>
      </c>
    </row>
    <row r="79" spans="1:12" x14ac:dyDescent="0.25">
      <c r="A79" s="25" t="s">
        <v>160</v>
      </c>
      <c r="B79" s="26">
        <v>90</v>
      </c>
      <c r="C79" s="26">
        <v>6</v>
      </c>
      <c r="D79" s="25" t="s">
        <v>6</v>
      </c>
      <c r="E79" s="27"/>
      <c r="F79" s="28">
        <v>7.8</v>
      </c>
      <c r="G79" s="29">
        <f t="shared" si="2"/>
        <v>1.3</v>
      </c>
      <c r="H79" s="30" t="s">
        <v>7</v>
      </c>
      <c r="I79" s="30" t="s">
        <v>34</v>
      </c>
      <c r="J79" s="31">
        <v>413</v>
      </c>
      <c r="K79" s="32">
        <v>59</v>
      </c>
      <c r="L79" s="76" t="str">
        <f t="shared" si="3"/>
        <v/>
      </c>
    </row>
    <row r="80" spans="1:12" x14ac:dyDescent="0.25">
      <c r="A80" s="36" t="s">
        <v>2369</v>
      </c>
      <c r="B80" s="54">
        <v>22</v>
      </c>
      <c r="C80" s="53">
        <v>6</v>
      </c>
      <c r="D80" s="36" t="s">
        <v>2370</v>
      </c>
      <c r="E80" s="27"/>
      <c r="F80" s="28">
        <v>19.850000000000001</v>
      </c>
      <c r="G80" s="29">
        <f t="shared" si="2"/>
        <v>3.3083333333333336</v>
      </c>
      <c r="H80" s="56" t="s">
        <v>2371</v>
      </c>
      <c r="I80" s="56" t="s">
        <v>2376</v>
      </c>
      <c r="J80" s="54">
        <v>132</v>
      </c>
      <c r="K80" s="32"/>
      <c r="L80" s="76" t="str">
        <f t="shared" si="3"/>
        <v/>
      </c>
    </row>
    <row r="81" spans="1:17" x14ac:dyDescent="0.25">
      <c r="A81" s="25" t="s">
        <v>2080</v>
      </c>
      <c r="B81" s="26">
        <v>3</v>
      </c>
      <c r="C81" s="26">
        <v>12</v>
      </c>
      <c r="D81" s="25" t="s">
        <v>2081</v>
      </c>
      <c r="E81" s="27"/>
      <c r="F81" s="28">
        <v>17.600000000000001</v>
      </c>
      <c r="G81" s="29">
        <f t="shared" si="2"/>
        <v>1.4666666666666668</v>
      </c>
      <c r="H81" s="57" t="s">
        <v>2082</v>
      </c>
      <c r="I81" s="30" t="s">
        <v>2083</v>
      </c>
      <c r="J81" s="31">
        <v>240</v>
      </c>
      <c r="K81" s="32">
        <v>40</v>
      </c>
      <c r="L81" s="76" t="str">
        <f t="shared" si="3"/>
        <v/>
      </c>
    </row>
    <row r="82" spans="1:17" x14ac:dyDescent="0.25">
      <c r="A82" s="25" t="s">
        <v>2084</v>
      </c>
      <c r="B82" s="26">
        <v>29</v>
      </c>
      <c r="C82" s="26">
        <v>12</v>
      </c>
      <c r="D82" s="25" t="s">
        <v>2085</v>
      </c>
      <c r="E82" s="27"/>
      <c r="F82" s="28">
        <v>17.600000000000001</v>
      </c>
      <c r="G82" s="29">
        <f t="shared" si="2"/>
        <v>1.4666666666666668</v>
      </c>
      <c r="H82" s="57" t="s">
        <v>2136</v>
      </c>
      <c r="I82" s="30" t="s">
        <v>2086</v>
      </c>
      <c r="J82" s="31">
        <v>240</v>
      </c>
      <c r="K82" s="32">
        <v>40</v>
      </c>
      <c r="L82" s="76" t="str">
        <f t="shared" si="3"/>
        <v/>
      </c>
    </row>
    <row r="83" spans="1:17" x14ac:dyDescent="0.25">
      <c r="A83" s="36" t="s">
        <v>3624</v>
      </c>
      <c r="B83" s="53">
        <v>67</v>
      </c>
      <c r="C83" s="53">
        <v>6</v>
      </c>
      <c r="D83" s="36" t="s">
        <v>3625</v>
      </c>
      <c r="E83" s="31"/>
      <c r="F83" s="58">
        <v>10.8</v>
      </c>
      <c r="G83" s="58">
        <f t="shared" si="2"/>
        <v>1.8</v>
      </c>
      <c r="H83" s="59">
        <v>5010724527481</v>
      </c>
      <c r="I83" s="60" t="s">
        <v>3626</v>
      </c>
      <c r="J83" s="32">
        <v>400</v>
      </c>
      <c r="K83" s="32">
        <v>80</v>
      </c>
      <c r="L83" s="78" t="str">
        <f t="shared" si="3"/>
        <v/>
      </c>
      <c r="Q83" s="10"/>
    </row>
    <row r="84" spans="1:17" x14ac:dyDescent="0.25">
      <c r="A84" s="36" t="s">
        <v>3226</v>
      </c>
      <c r="B84" s="53">
        <v>32</v>
      </c>
      <c r="C84" s="53">
        <v>6</v>
      </c>
      <c r="D84" s="36" t="s">
        <v>3227</v>
      </c>
      <c r="E84" s="31"/>
      <c r="F84" s="61">
        <v>10.8</v>
      </c>
      <c r="G84" s="61">
        <f t="shared" si="2"/>
        <v>1.8</v>
      </c>
      <c r="H84" s="59">
        <v>5010724539811</v>
      </c>
      <c r="I84" s="60">
        <v>5010724839812</v>
      </c>
      <c r="J84" s="32">
        <v>400</v>
      </c>
      <c r="K84" s="32">
        <v>80</v>
      </c>
      <c r="L84" s="78" t="str">
        <f t="shared" si="3"/>
        <v/>
      </c>
      <c r="Q84" s="10"/>
    </row>
    <row r="85" spans="1:17" x14ac:dyDescent="0.25">
      <c r="A85" s="25" t="s">
        <v>717</v>
      </c>
      <c r="B85" s="26">
        <v>155</v>
      </c>
      <c r="C85" s="26">
        <v>6</v>
      </c>
      <c r="D85" s="25" t="s">
        <v>3224</v>
      </c>
      <c r="E85" s="27"/>
      <c r="F85" s="28">
        <v>16.5</v>
      </c>
      <c r="G85" s="29">
        <f t="shared" si="2"/>
        <v>2.75</v>
      </c>
      <c r="H85" s="30" t="s">
        <v>720</v>
      </c>
      <c r="I85" s="30" t="s">
        <v>721</v>
      </c>
      <c r="J85" s="31">
        <v>189</v>
      </c>
      <c r="K85" s="32">
        <v>63</v>
      </c>
      <c r="L85" s="76" t="str">
        <f t="shared" si="3"/>
        <v/>
      </c>
    </row>
    <row r="86" spans="1:17" x14ac:dyDescent="0.25">
      <c r="A86" s="25" t="s">
        <v>732</v>
      </c>
      <c r="B86" s="26">
        <v>319</v>
      </c>
      <c r="C86" s="26">
        <v>6</v>
      </c>
      <c r="D86" s="25" t="s">
        <v>3225</v>
      </c>
      <c r="E86" s="27"/>
      <c r="F86" s="28">
        <v>16.5</v>
      </c>
      <c r="G86" s="29">
        <f t="shared" si="2"/>
        <v>2.75</v>
      </c>
      <c r="H86" s="30" t="s">
        <v>718</v>
      </c>
      <c r="I86" s="30" t="s">
        <v>719</v>
      </c>
      <c r="J86" s="31">
        <v>189</v>
      </c>
      <c r="K86" s="32">
        <v>63</v>
      </c>
      <c r="L86" s="76" t="str">
        <f t="shared" si="3"/>
        <v/>
      </c>
    </row>
    <row r="87" spans="1:17" x14ac:dyDescent="0.25">
      <c r="A87" s="25" t="s">
        <v>3677</v>
      </c>
      <c r="B87" s="26">
        <v>34</v>
      </c>
      <c r="C87" s="26">
        <v>24</v>
      </c>
      <c r="D87" s="25" t="s">
        <v>3662</v>
      </c>
      <c r="E87" s="27"/>
      <c r="F87" s="28">
        <v>21</v>
      </c>
      <c r="G87" s="29">
        <f t="shared" si="2"/>
        <v>0.875</v>
      </c>
      <c r="H87" s="30" t="s">
        <v>3663</v>
      </c>
      <c r="I87" s="30" t="s">
        <v>3664</v>
      </c>
      <c r="J87" s="31"/>
      <c r="K87" s="32"/>
      <c r="L87" s="76" t="str">
        <f t="shared" si="3"/>
        <v/>
      </c>
    </row>
    <row r="88" spans="1:17" x14ac:dyDescent="0.25">
      <c r="A88" s="25" t="s">
        <v>1119</v>
      </c>
      <c r="B88" s="26">
        <v>635</v>
      </c>
      <c r="C88" s="26">
        <v>8</v>
      </c>
      <c r="D88" s="25" t="s">
        <v>1120</v>
      </c>
      <c r="E88" s="27"/>
      <c r="F88" s="28">
        <v>6.9</v>
      </c>
      <c r="G88" s="29">
        <f t="shared" si="2"/>
        <v>0.86250000000000004</v>
      </c>
      <c r="H88" s="30" t="s">
        <v>1121</v>
      </c>
      <c r="I88" s="30" t="s">
        <v>1122</v>
      </c>
      <c r="J88" s="31">
        <v>480</v>
      </c>
      <c r="K88" s="32">
        <v>48</v>
      </c>
      <c r="L88" s="76" t="str">
        <f t="shared" si="3"/>
        <v/>
      </c>
    </row>
    <row r="89" spans="1:17" x14ac:dyDescent="0.25">
      <c r="A89" s="25" t="s">
        <v>921</v>
      </c>
      <c r="B89" s="26">
        <v>23</v>
      </c>
      <c r="C89" s="26">
        <v>6</v>
      </c>
      <c r="D89" s="25" t="s">
        <v>922</v>
      </c>
      <c r="E89" s="27"/>
      <c r="F89" s="28">
        <v>3.99</v>
      </c>
      <c r="G89" s="29">
        <f t="shared" si="2"/>
        <v>0.66500000000000004</v>
      </c>
      <c r="H89" s="30" t="s">
        <v>923</v>
      </c>
      <c r="I89" s="30" t="s">
        <v>924</v>
      </c>
      <c r="J89" s="31">
        <v>424</v>
      </c>
      <c r="K89" s="32">
        <v>53</v>
      </c>
      <c r="L89" s="76" t="str">
        <f t="shared" si="3"/>
        <v/>
      </c>
    </row>
    <row r="90" spans="1:17" x14ac:dyDescent="0.25">
      <c r="A90" s="25" t="s">
        <v>756</v>
      </c>
      <c r="B90" s="26">
        <v>15</v>
      </c>
      <c r="C90" s="26">
        <v>6</v>
      </c>
      <c r="D90" s="25" t="s">
        <v>754</v>
      </c>
      <c r="E90" s="27"/>
      <c r="F90" s="28">
        <v>14.95</v>
      </c>
      <c r="G90" s="29">
        <f t="shared" si="2"/>
        <v>2.4916666666666667</v>
      </c>
      <c r="H90" s="30" t="s">
        <v>755</v>
      </c>
      <c r="I90" s="30" t="s">
        <v>1114</v>
      </c>
      <c r="J90" s="31">
        <v>456</v>
      </c>
      <c r="K90" s="32">
        <v>57</v>
      </c>
      <c r="L90" s="76" t="str">
        <f t="shared" si="3"/>
        <v/>
      </c>
    </row>
    <row r="91" spans="1:17" x14ac:dyDescent="0.25">
      <c r="A91" s="25" t="s">
        <v>2269</v>
      </c>
      <c r="B91" s="26">
        <v>0</v>
      </c>
      <c r="C91" s="26">
        <v>6</v>
      </c>
      <c r="D91" s="25" t="s">
        <v>2270</v>
      </c>
      <c r="E91" s="31"/>
      <c r="F91" s="28">
        <v>14.95</v>
      </c>
      <c r="G91" s="29">
        <f t="shared" si="2"/>
        <v>2.4916666666666667</v>
      </c>
      <c r="H91" s="62" t="s">
        <v>2271</v>
      </c>
      <c r="I91" s="62" t="s">
        <v>2272</v>
      </c>
      <c r="J91" s="31">
        <v>456</v>
      </c>
      <c r="K91" s="32">
        <v>57</v>
      </c>
      <c r="L91" s="76" t="str">
        <f t="shared" si="3"/>
        <v/>
      </c>
    </row>
    <row r="92" spans="1:17" x14ac:dyDescent="0.25">
      <c r="A92" s="25" t="s">
        <v>3371</v>
      </c>
      <c r="B92" s="26">
        <v>161</v>
      </c>
      <c r="C92" s="26">
        <v>6</v>
      </c>
      <c r="D92" s="25" t="s">
        <v>3372</v>
      </c>
      <c r="E92" s="27"/>
      <c r="F92" s="28">
        <v>14.95</v>
      </c>
      <c r="G92" s="29">
        <f t="shared" si="2"/>
        <v>2.4916666666666667</v>
      </c>
      <c r="H92" s="30" t="s">
        <v>3373</v>
      </c>
      <c r="I92" s="30" t="s">
        <v>3374</v>
      </c>
      <c r="J92" s="31">
        <v>456</v>
      </c>
      <c r="K92" s="32">
        <v>57</v>
      </c>
      <c r="L92" s="76" t="str">
        <f t="shared" si="3"/>
        <v/>
      </c>
    </row>
    <row r="93" spans="1:17" x14ac:dyDescent="0.25">
      <c r="A93" s="25" t="s">
        <v>2273</v>
      </c>
      <c r="B93" s="26">
        <v>0</v>
      </c>
      <c r="C93" s="26">
        <v>6</v>
      </c>
      <c r="D93" s="25" t="s">
        <v>2274</v>
      </c>
      <c r="E93" s="31"/>
      <c r="F93" s="28">
        <v>15.8</v>
      </c>
      <c r="G93" s="28">
        <f t="shared" si="2"/>
        <v>2.6333333333333333</v>
      </c>
      <c r="H93" s="30" t="s">
        <v>2275</v>
      </c>
      <c r="I93" s="30" t="s">
        <v>2276</v>
      </c>
      <c r="J93" s="31">
        <v>456</v>
      </c>
      <c r="K93" s="32">
        <v>57</v>
      </c>
      <c r="L93" s="77" t="str">
        <f t="shared" si="3"/>
        <v/>
      </c>
    </row>
    <row r="94" spans="1:17" x14ac:dyDescent="0.25">
      <c r="A94" s="25" t="s">
        <v>1989</v>
      </c>
      <c r="B94" s="26">
        <v>579</v>
      </c>
      <c r="C94" s="26">
        <v>12</v>
      </c>
      <c r="D94" s="25" t="s">
        <v>2562</v>
      </c>
      <c r="E94" s="31"/>
      <c r="F94" s="28">
        <v>15.8</v>
      </c>
      <c r="G94" s="29">
        <f t="shared" si="2"/>
        <v>1.3166666666666667</v>
      </c>
      <c r="H94" s="62" t="s">
        <v>1990</v>
      </c>
      <c r="I94" s="62" t="s">
        <v>2313</v>
      </c>
      <c r="J94" s="31">
        <v>480</v>
      </c>
      <c r="K94" s="32">
        <v>120</v>
      </c>
      <c r="L94" s="77" t="str">
        <f t="shared" si="3"/>
        <v/>
      </c>
    </row>
    <row r="95" spans="1:17" x14ac:dyDescent="0.25">
      <c r="A95" s="25" t="s">
        <v>3176</v>
      </c>
      <c r="B95" s="26">
        <v>449</v>
      </c>
      <c r="C95" s="26">
        <v>12</v>
      </c>
      <c r="D95" s="36" t="s">
        <v>3274</v>
      </c>
      <c r="E95" s="27"/>
      <c r="F95" s="33">
        <v>15.8</v>
      </c>
      <c r="G95" s="34">
        <f t="shared" si="2"/>
        <v>1.3166666666666667</v>
      </c>
      <c r="H95" s="62" t="s">
        <v>3177</v>
      </c>
      <c r="I95" s="62" t="s">
        <v>3178</v>
      </c>
      <c r="J95" s="31">
        <v>480</v>
      </c>
      <c r="K95" s="32">
        <v>120</v>
      </c>
      <c r="L95" s="76" t="str">
        <f t="shared" si="3"/>
        <v/>
      </c>
    </row>
    <row r="96" spans="1:17" x14ac:dyDescent="0.25">
      <c r="A96" s="25" t="s">
        <v>3123</v>
      </c>
      <c r="B96" s="26">
        <v>158</v>
      </c>
      <c r="C96" s="26">
        <v>12</v>
      </c>
      <c r="D96" s="25" t="s">
        <v>3124</v>
      </c>
      <c r="E96" s="31"/>
      <c r="F96" s="28">
        <v>15.8</v>
      </c>
      <c r="G96" s="29">
        <f t="shared" si="2"/>
        <v>1.3166666666666667</v>
      </c>
      <c r="H96" s="62" t="s">
        <v>3379</v>
      </c>
      <c r="I96" s="62" t="s">
        <v>3380</v>
      </c>
      <c r="J96" s="31">
        <v>480</v>
      </c>
      <c r="K96" s="32">
        <v>120</v>
      </c>
      <c r="L96" s="77" t="str">
        <f t="shared" si="3"/>
        <v/>
      </c>
    </row>
    <row r="97" spans="1:12" x14ac:dyDescent="0.25">
      <c r="A97" s="25" t="s">
        <v>1838</v>
      </c>
      <c r="B97" s="26">
        <v>267</v>
      </c>
      <c r="C97" s="26">
        <v>12</v>
      </c>
      <c r="D97" s="36" t="s">
        <v>2560</v>
      </c>
      <c r="E97" s="27"/>
      <c r="F97" s="28">
        <v>15.8</v>
      </c>
      <c r="G97" s="29">
        <f t="shared" si="2"/>
        <v>1.3166666666666667</v>
      </c>
      <c r="H97" s="62" t="s">
        <v>1839</v>
      </c>
      <c r="I97" s="62" t="s">
        <v>1840</v>
      </c>
      <c r="J97" s="31">
        <v>480</v>
      </c>
      <c r="K97" s="32">
        <v>120</v>
      </c>
      <c r="L97" s="76" t="str">
        <f t="shared" si="3"/>
        <v/>
      </c>
    </row>
    <row r="98" spans="1:12" x14ac:dyDescent="0.25">
      <c r="A98" s="25" t="s">
        <v>3122</v>
      </c>
      <c r="B98" s="26">
        <v>639</v>
      </c>
      <c r="C98" s="26">
        <v>12</v>
      </c>
      <c r="D98" s="36" t="s">
        <v>3125</v>
      </c>
      <c r="E98" s="27"/>
      <c r="F98" s="28">
        <v>15.8</v>
      </c>
      <c r="G98" s="29">
        <f t="shared" si="2"/>
        <v>1.3166666666666667</v>
      </c>
      <c r="H98" s="62" t="s">
        <v>3378</v>
      </c>
      <c r="I98" s="62" t="s">
        <v>3381</v>
      </c>
      <c r="J98" s="31">
        <v>480</v>
      </c>
      <c r="K98" s="32">
        <v>120</v>
      </c>
      <c r="L98" s="76" t="str">
        <f t="shared" si="3"/>
        <v/>
      </c>
    </row>
    <row r="99" spans="1:12" x14ac:dyDescent="0.25">
      <c r="A99" s="25" t="s">
        <v>2553</v>
      </c>
      <c r="B99" s="26">
        <v>37</v>
      </c>
      <c r="C99" s="26">
        <v>12</v>
      </c>
      <c r="D99" s="36" t="s">
        <v>2561</v>
      </c>
      <c r="E99" s="27"/>
      <c r="F99" s="28">
        <v>15.8</v>
      </c>
      <c r="G99" s="29">
        <f t="shared" si="2"/>
        <v>1.3166666666666667</v>
      </c>
      <c r="H99" s="62" t="s">
        <v>2554</v>
      </c>
      <c r="I99" s="62" t="s">
        <v>2555</v>
      </c>
      <c r="J99" s="31">
        <v>480</v>
      </c>
      <c r="K99" s="32">
        <v>120</v>
      </c>
      <c r="L99" s="76" t="str">
        <f t="shared" si="3"/>
        <v/>
      </c>
    </row>
    <row r="100" spans="1:12" x14ac:dyDescent="0.25">
      <c r="A100" s="25" t="s">
        <v>2351</v>
      </c>
      <c r="B100" s="26">
        <v>504</v>
      </c>
      <c r="C100" s="26">
        <v>12</v>
      </c>
      <c r="D100" s="36" t="s">
        <v>2559</v>
      </c>
      <c r="E100" s="27"/>
      <c r="F100" s="28">
        <v>15.8</v>
      </c>
      <c r="G100" s="29">
        <f t="shared" si="2"/>
        <v>1.3166666666666667</v>
      </c>
      <c r="H100" s="62" t="s">
        <v>2352</v>
      </c>
      <c r="I100" s="62" t="s">
        <v>2353</v>
      </c>
      <c r="J100" s="31">
        <v>480</v>
      </c>
      <c r="K100" s="32">
        <v>120</v>
      </c>
      <c r="L100" s="76" t="str">
        <f t="shared" si="3"/>
        <v/>
      </c>
    </row>
    <row r="101" spans="1:12" x14ac:dyDescent="0.25">
      <c r="A101" s="25" t="s">
        <v>2350</v>
      </c>
      <c r="B101" s="26">
        <v>145</v>
      </c>
      <c r="C101" s="26">
        <v>12</v>
      </c>
      <c r="D101" s="36" t="s">
        <v>2557</v>
      </c>
      <c r="E101" s="27"/>
      <c r="F101" s="28">
        <v>15.8</v>
      </c>
      <c r="G101" s="29">
        <f t="shared" si="2"/>
        <v>1.3166666666666667</v>
      </c>
      <c r="H101" s="62" t="s">
        <v>2348</v>
      </c>
      <c r="I101" s="62" t="s">
        <v>2349</v>
      </c>
      <c r="J101" s="31">
        <v>480</v>
      </c>
      <c r="K101" s="32">
        <v>120</v>
      </c>
      <c r="L101" s="76" t="str">
        <f t="shared" si="3"/>
        <v/>
      </c>
    </row>
    <row r="102" spans="1:12" x14ac:dyDescent="0.25">
      <c r="A102" s="25" t="s">
        <v>2563</v>
      </c>
      <c r="B102" s="26">
        <v>50</v>
      </c>
      <c r="C102" s="26">
        <v>12</v>
      </c>
      <c r="D102" s="36" t="s">
        <v>2556</v>
      </c>
      <c r="E102" s="27"/>
      <c r="F102" s="28">
        <v>15.8</v>
      </c>
      <c r="G102" s="29">
        <f t="shared" si="2"/>
        <v>1.3166666666666667</v>
      </c>
      <c r="H102" s="62" t="s">
        <v>2585</v>
      </c>
      <c r="I102" s="62" t="s">
        <v>2567</v>
      </c>
      <c r="J102" s="31">
        <v>480</v>
      </c>
      <c r="K102" s="32">
        <v>120</v>
      </c>
      <c r="L102" s="76" t="str">
        <f t="shared" si="3"/>
        <v/>
      </c>
    </row>
    <row r="103" spans="1:12" x14ac:dyDescent="0.25">
      <c r="A103" s="25" t="s">
        <v>2564</v>
      </c>
      <c r="B103" s="26">
        <v>31</v>
      </c>
      <c r="C103" s="26">
        <v>12</v>
      </c>
      <c r="D103" s="36" t="s">
        <v>2558</v>
      </c>
      <c r="E103" s="27"/>
      <c r="F103" s="28">
        <v>15.8</v>
      </c>
      <c r="G103" s="29">
        <f t="shared" si="2"/>
        <v>1.3166666666666667</v>
      </c>
      <c r="H103" s="62" t="s">
        <v>2584</v>
      </c>
      <c r="I103" s="62" t="s">
        <v>2568</v>
      </c>
      <c r="J103" s="31">
        <v>480</v>
      </c>
      <c r="K103" s="32">
        <v>120</v>
      </c>
      <c r="L103" s="76" t="str">
        <f t="shared" si="3"/>
        <v/>
      </c>
    </row>
    <row r="104" spans="1:12" x14ac:dyDescent="0.25">
      <c r="A104" s="25" t="s">
        <v>2566</v>
      </c>
      <c r="B104" s="26">
        <v>277</v>
      </c>
      <c r="C104" s="26">
        <v>12</v>
      </c>
      <c r="D104" s="36" t="s">
        <v>2565</v>
      </c>
      <c r="E104" s="27"/>
      <c r="F104" s="28">
        <v>15.8</v>
      </c>
      <c r="G104" s="29">
        <f t="shared" si="2"/>
        <v>1.3166666666666667</v>
      </c>
      <c r="H104" s="62" t="s">
        <v>2586</v>
      </c>
      <c r="I104" s="62" t="s">
        <v>2569</v>
      </c>
      <c r="J104" s="31">
        <v>480</v>
      </c>
      <c r="K104" s="32">
        <v>120</v>
      </c>
      <c r="L104" s="76" t="str">
        <f t="shared" si="3"/>
        <v/>
      </c>
    </row>
    <row r="105" spans="1:12" x14ac:dyDescent="0.25">
      <c r="A105" s="25" t="s">
        <v>3126</v>
      </c>
      <c r="B105" s="26">
        <v>87</v>
      </c>
      <c r="C105" s="26">
        <v>12</v>
      </c>
      <c r="D105" s="36" t="s">
        <v>3127</v>
      </c>
      <c r="E105" s="27"/>
      <c r="F105" s="28">
        <v>24.15</v>
      </c>
      <c r="G105" s="29">
        <f t="shared" si="2"/>
        <v>2.0124999999999997</v>
      </c>
      <c r="H105" s="62" t="s">
        <v>3375</v>
      </c>
      <c r="I105" s="62" t="s">
        <v>3384</v>
      </c>
      <c r="J105" s="31"/>
      <c r="K105" s="32"/>
      <c r="L105" s="76" t="str">
        <f t="shared" si="3"/>
        <v/>
      </c>
    </row>
    <row r="106" spans="1:12" x14ac:dyDescent="0.25">
      <c r="A106" s="25" t="s">
        <v>3128</v>
      </c>
      <c r="B106" s="26">
        <v>59</v>
      </c>
      <c r="C106" s="26">
        <v>12</v>
      </c>
      <c r="D106" s="36" t="s">
        <v>3129</v>
      </c>
      <c r="E106" s="27"/>
      <c r="F106" s="28">
        <v>24.15</v>
      </c>
      <c r="G106" s="29">
        <f t="shared" si="2"/>
        <v>2.0124999999999997</v>
      </c>
      <c r="H106" s="62" t="s">
        <v>3376</v>
      </c>
      <c r="I106" s="62" t="s">
        <v>3383</v>
      </c>
      <c r="J106" s="31"/>
      <c r="K106" s="32"/>
      <c r="L106" s="76" t="str">
        <f t="shared" si="3"/>
        <v/>
      </c>
    </row>
    <row r="107" spans="1:12" x14ac:dyDescent="0.25">
      <c r="A107" s="25" t="s">
        <v>3130</v>
      </c>
      <c r="B107" s="26">
        <v>75</v>
      </c>
      <c r="C107" s="26">
        <v>12</v>
      </c>
      <c r="D107" s="36" t="s">
        <v>3131</v>
      </c>
      <c r="E107" s="27"/>
      <c r="F107" s="28">
        <v>24.15</v>
      </c>
      <c r="G107" s="29">
        <f t="shared" si="2"/>
        <v>2.0124999999999997</v>
      </c>
      <c r="H107" s="62" t="s">
        <v>3377</v>
      </c>
      <c r="I107" s="62" t="s">
        <v>3382</v>
      </c>
      <c r="J107" s="31"/>
      <c r="K107" s="32"/>
      <c r="L107" s="76" t="str">
        <f t="shared" si="3"/>
        <v/>
      </c>
    </row>
    <row r="108" spans="1:12" x14ac:dyDescent="0.25">
      <c r="A108" s="25" t="s">
        <v>1991</v>
      </c>
      <c r="B108" s="26">
        <v>543</v>
      </c>
      <c r="C108" s="26">
        <v>12</v>
      </c>
      <c r="D108" s="25" t="s">
        <v>2069</v>
      </c>
      <c r="E108" s="27"/>
      <c r="F108" s="28">
        <v>15.8</v>
      </c>
      <c r="G108" s="29">
        <f t="shared" si="2"/>
        <v>1.3166666666666667</v>
      </c>
      <c r="H108" s="62" t="s">
        <v>1992</v>
      </c>
      <c r="I108" s="62" t="s">
        <v>1993</v>
      </c>
      <c r="J108" s="31">
        <v>504</v>
      </c>
      <c r="K108" s="32">
        <v>126</v>
      </c>
      <c r="L108" s="76" t="str">
        <f t="shared" si="3"/>
        <v/>
      </c>
    </row>
    <row r="109" spans="1:12" x14ac:dyDescent="0.25">
      <c r="A109" s="25" t="s">
        <v>544</v>
      </c>
      <c r="B109" s="26">
        <v>225</v>
      </c>
      <c r="C109" s="26">
        <v>12</v>
      </c>
      <c r="D109" s="25" t="s">
        <v>2255</v>
      </c>
      <c r="E109" s="27"/>
      <c r="F109" s="28">
        <v>15.8</v>
      </c>
      <c r="G109" s="29">
        <f t="shared" si="2"/>
        <v>1.3166666666666667</v>
      </c>
      <c r="H109" s="62" t="s">
        <v>2314</v>
      </c>
      <c r="I109" s="62" t="s">
        <v>2315</v>
      </c>
      <c r="J109" s="31">
        <v>504</v>
      </c>
      <c r="K109" s="32">
        <v>126</v>
      </c>
      <c r="L109" s="76" t="str">
        <f t="shared" si="3"/>
        <v/>
      </c>
    </row>
    <row r="110" spans="1:12" x14ac:dyDescent="0.25">
      <c r="A110" s="25" t="s">
        <v>3756</v>
      </c>
      <c r="B110" s="26">
        <v>230</v>
      </c>
      <c r="C110" s="26">
        <v>12</v>
      </c>
      <c r="D110" s="25" t="s">
        <v>3755</v>
      </c>
      <c r="E110" s="27"/>
      <c r="F110" s="28">
        <v>15.8</v>
      </c>
      <c r="G110" s="29">
        <f t="shared" si="2"/>
        <v>1.3166666666666667</v>
      </c>
      <c r="H110" s="62" t="s">
        <v>3792</v>
      </c>
      <c r="I110" s="62" t="s">
        <v>3793</v>
      </c>
      <c r="J110" s="31">
        <v>504</v>
      </c>
      <c r="K110" s="32">
        <v>126</v>
      </c>
      <c r="L110" s="76" t="str">
        <f t="shared" si="3"/>
        <v/>
      </c>
    </row>
    <row r="111" spans="1:12" x14ac:dyDescent="0.25">
      <c r="A111" s="36" t="s">
        <v>2384</v>
      </c>
      <c r="B111" s="54">
        <v>341</v>
      </c>
      <c r="C111" s="53">
        <v>6</v>
      </c>
      <c r="D111" s="36" t="s">
        <v>2385</v>
      </c>
      <c r="E111" s="27"/>
      <c r="F111" s="28">
        <v>4.2</v>
      </c>
      <c r="G111" s="29">
        <f t="shared" si="2"/>
        <v>0.70000000000000007</v>
      </c>
      <c r="H111" s="56" t="s">
        <v>2437</v>
      </c>
      <c r="I111" s="56" t="s">
        <v>2438</v>
      </c>
      <c r="J111" s="54">
        <v>318</v>
      </c>
      <c r="K111" s="32">
        <v>53</v>
      </c>
      <c r="L111" s="77" t="str">
        <f t="shared" si="3"/>
        <v/>
      </c>
    </row>
    <row r="112" spans="1:12" x14ac:dyDescent="0.25">
      <c r="A112" s="36" t="s">
        <v>2815</v>
      </c>
      <c r="B112" s="54">
        <v>53</v>
      </c>
      <c r="C112" s="53">
        <v>6</v>
      </c>
      <c r="D112" s="36" t="s">
        <v>2816</v>
      </c>
      <c r="E112" s="31"/>
      <c r="F112" s="33">
        <v>4.2</v>
      </c>
      <c r="G112" s="33">
        <f t="shared" si="2"/>
        <v>0.70000000000000007</v>
      </c>
      <c r="H112" s="56" t="s">
        <v>2817</v>
      </c>
      <c r="I112" s="56" t="s">
        <v>2818</v>
      </c>
      <c r="J112" s="54">
        <v>318</v>
      </c>
      <c r="K112" s="54">
        <v>53</v>
      </c>
      <c r="L112" s="77" t="str">
        <f t="shared" si="3"/>
        <v/>
      </c>
    </row>
    <row r="113" spans="1:14" x14ac:dyDescent="0.25">
      <c r="A113" s="25" t="s">
        <v>1273</v>
      </c>
      <c r="B113" s="26">
        <v>120</v>
      </c>
      <c r="C113" s="26">
        <v>6</v>
      </c>
      <c r="D113" s="25" t="s">
        <v>1274</v>
      </c>
      <c r="E113" s="27"/>
      <c r="F113" s="28">
        <v>4.1399999999999997</v>
      </c>
      <c r="G113" s="29">
        <f t="shared" si="2"/>
        <v>0.69</v>
      </c>
      <c r="H113" s="30" t="s">
        <v>1275</v>
      </c>
      <c r="I113" s="30" t="s">
        <v>1276</v>
      </c>
      <c r="J113" s="31">
        <v>220</v>
      </c>
      <c r="K113" s="32">
        <v>55</v>
      </c>
      <c r="L113" s="76" t="str">
        <f t="shared" si="3"/>
        <v/>
      </c>
    </row>
    <row r="114" spans="1:14" x14ac:dyDescent="0.25">
      <c r="A114" s="25" t="s">
        <v>1277</v>
      </c>
      <c r="B114" s="26">
        <v>121</v>
      </c>
      <c r="C114" s="26">
        <v>6</v>
      </c>
      <c r="D114" s="25" t="s">
        <v>1278</v>
      </c>
      <c r="E114" s="27"/>
      <c r="F114" s="28">
        <v>4.1399999999999997</v>
      </c>
      <c r="G114" s="29">
        <f t="shared" si="2"/>
        <v>0.69</v>
      </c>
      <c r="H114" s="30" t="s">
        <v>1279</v>
      </c>
      <c r="I114" s="30" t="s">
        <v>1280</v>
      </c>
      <c r="J114" s="31">
        <v>220</v>
      </c>
      <c r="K114" s="32">
        <v>55</v>
      </c>
      <c r="L114" s="76" t="str">
        <f t="shared" si="3"/>
        <v/>
      </c>
    </row>
    <row r="115" spans="1:14" x14ac:dyDescent="0.25">
      <c r="A115" s="25" t="s">
        <v>1285</v>
      </c>
      <c r="B115" s="26">
        <v>0</v>
      </c>
      <c r="C115" s="26">
        <v>6</v>
      </c>
      <c r="D115" s="25" t="s">
        <v>1293</v>
      </c>
      <c r="E115" s="27"/>
      <c r="F115" s="28">
        <v>4.1399999999999997</v>
      </c>
      <c r="G115" s="29">
        <f t="shared" si="2"/>
        <v>0.69</v>
      </c>
      <c r="H115" s="30" t="s">
        <v>1294</v>
      </c>
      <c r="I115" s="30" t="s">
        <v>1286</v>
      </c>
      <c r="J115" s="31">
        <v>220</v>
      </c>
      <c r="K115" s="32">
        <v>55</v>
      </c>
      <c r="L115" s="76" t="str">
        <f t="shared" si="3"/>
        <v/>
      </c>
    </row>
    <row r="116" spans="1:14" x14ac:dyDescent="0.25">
      <c r="A116" s="25" t="s">
        <v>1281</v>
      </c>
      <c r="B116" s="26">
        <v>165</v>
      </c>
      <c r="C116" s="26">
        <v>6</v>
      </c>
      <c r="D116" s="25" t="s">
        <v>1284</v>
      </c>
      <c r="E116" s="27"/>
      <c r="F116" s="28">
        <v>4.1399999999999997</v>
      </c>
      <c r="G116" s="29">
        <f t="shared" si="2"/>
        <v>0.69</v>
      </c>
      <c r="H116" s="30" t="s">
        <v>1282</v>
      </c>
      <c r="I116" s="30" t="s">
        <v>1283</v>
      </c>
      <c r="J116" s="31">
        <v>220</v>
      </c>
      <c r="K116" s="32">
        <v>55</v>
      </c>
      <c r="L116" s="76" t="str">
        <f t="shared" si="3"/>
        <v/>
      </c>
    </row>
    <row r="117" spans="1:14" x14ac:dyDescent="0.25">
      <c r="A117" s="25" t="s">
        <v>1291</v>
      </c>
      <c r="B117" s="26">
        <v>85</v>
      </c>
      <c r="C117" s="26">
        <v>6</v>
      </c>
      <c r="D117" s="25" t="s">
        <v>1292</v>
      </c>
      <c r="E117" s="27"/>
      <c r="F117" s="28">
        <v>4.1399999999999997</v>
      </c>
      <c r="G117" s="29">
        <f t="shared" si="2"/>
        <v>0.69</v>
      </c>
      <c r="H117" s="30" t="s">
        <v>1295</v>
      </c>
      <c r="I117" s="30" t="s">
        <v>1336</v>
      </c>
      <c r="J117" s="31">
        <v>220</v>
      </c>
      <c r="K117" s="32">
        <v>55</v>
      </c>
      <c r="L117" s="76" t="str">
        <f t="shared" si="3"/>
        <v/>
      </c>
    </row>
    <row r="118" spans="1:14" x14ac:dyDescent="0.25">
      <c r="A118" s="25" t="s">
        <v>3868</v>
      </c>
      <c r="B118" s="26">
        <v>110</v>
      </c>
      <c r="C118" s="26">
        <v>24</v>
      </c>
      <c r="D118" s="25" t="s">
        <v>3869</v>
      </c>
      <c r="E118" s="27"/>
      <c r="F118" s="33">
        <v>16.32</v>
      </c>
      <c r="G118" s="34">
        <f t="shared" si="2"/>
        <v>0.68</v>
      </c>
      <c r="H118" s="62" t="s">
        <v>3870</v>
      </c>
      <c r="I118" s="62" t="s">
        <v>3871</v>
      </c>
      <c r="J118" s="31">
        <v>1368</v>
      </c>
      <c r="K118" s="53">
        <v>228</v>
      </c>
      <c r="L118" s="76" t="str">
        <f t="shared" si="3"/>
        <v/>
      </c>
    </row>
    <row r="119" spans="1:14" x14ac:dyDescent="0.25">
      <c r="A119" s="25" t="s">
        <v>3872</v>
      </c>
      <c r="B119" s="26">
        <v>136</v>
      </c>
      <c r="C119" s="26">
        <v>24</v>
      </c>
      <c r="D119" s="25" t="s">
        <v>3873</v>
      </c>
      <c r="E119" s="27"/>
      <c r="F119" s="33">
        <v>16.32</v>
      </c>
      <c r="G119" s="34">
        <f t="shared" si="2"/>
        <v>0.68</v>
      </c>
      <c r="H119" s="62" t="s">
        <v>3874</v>
      </c>
      <c r="I119" s="62" t="s">
        <v>3875</v>
      </c>
      <c r="J119" s="31">
        <v>1368</v>
      </c>
      <c r="K119" s="53">
        <v>228</v>
      </c>
      <c r="L119" s="76" t="str">
        <f t="shared" si="3"/>
        <v/>
      </c>
    </row>
    <row r="120" spans="1:14" x14ac:dyDescent="0.25">
      <c r="A120" s="25" t="s">
        <v>1761</v>
      </c>
      <c r="B120" s="26">
        <v>137</v>
      </c>
      <c r="C120" s="26">
        <v>6</v>
      </c>
      <c r="D120" s="25" t="s">
        <v>1762</v>
      </c>
      <c r="E120" s="31"/>
      <c r="F120" s="28">
        <v>4.4000000000000004</v>
      </c>
      <c r="G120" s="29">
        <f t="shared" si="2"/>
        <v>0.73333333333333339</v>
      </c>
      <c r="H120" s="30" t="s">
        <v>1763</v>
      </c>
      <c r="I120" s="30" t="s">
        <v>1764</v>
      </c>
      <c r="J120" s="31">
        <v>625</v>
      </c>
      <c r="K120" s="53">
        <v>125</v>
      </c>
      <c r="L120" s="76" t="str">
        <f t="shared" si="3"/>
        <v/>
      </c>
    </row>
    <row r="121" spans="1:14" x14ac:dyDescent="0.25">
      <c r="A121" s="25" t="s">
        <v>1765</v>
      </c>
      <c r="B121" s="26">
        <v>144</v>
      </c>
      <c r="C121" s="26">
        <v>6</v>
      </c>
      <c r="D121" s="25" t="s">
        <v>1766</v>
      </c>
      <c r="E121" s="27"/>
      <c r="F121" s="28">
        <v>4.4000000000000004</v>
      </c>
      <c r="G121" s="29">
        <f t="shared" si="2"/>
        <v>0.73333333333333339</v>
      </c>
      <c r="H121" s="30" t="s">
        <v>1767</v>
      </c>
      <c r="I121" s="30" t="s">
        <v>1768</v>
      </c>
      <c r="J121" s="31">
        <v>625</v>
      </c>
      <c r="K121" s="53">
        <v>125</v>
      </c>
      <c r="L121" s="76" t="str">
        <f t="shared" si="3"/>
        <v/>
      </c>
    </row>
    <row r="122" spans="1:14" x14ac:dyDescent="0.25">
      <c r="A122" s="25" t="s">
        <v>1769</v>
      </c>
      <c r="B122" s="26">
        <v>146</v>
      </c>
      <c r="C122" s="26">
        <v>6</v>
      </c>
      <c r="D122" s="25" t="s">
        <v>1770</v>
      </c>
      <c r="E122" s="27"/>
      <c r="F122" s="28">
        <v>4.4000000000000004</v>
      </c>
      <c r="G122" s="29">
        <f t="shared" si="2"/>
        <v>0.73333333333333339</v>
      </c>
      <c r="H122" s="30" t="s">
        <v>1771</v>
      </c>
      <c r="I122" s="30" t="s">
        <v>1772</v>
      </c>
      <c r="J122" s="31">
        <v>625</v>
      </c>
      <c r="K122" s="53">
        <v>125</v>
      </c>
      <c r="L122" s="76" t="str">
        <f t="shared" si="3"/>
        <v/>
      </c>
    </row>
    <row r="123" spans="1:14" x14ac:dyDescent="0.25">
      <c r="A123" s="25" t="s">
        <v>344</v>
      </c>
      <c r="B123" s="35">
        <v>322</v>
      </c>
      <c r="C123" s="26">
        <v>6</v>
      </c>
      <c r="D123" s="25" t="s">
        <v>345</v>
      </c>
      <c r="E123" s="27"/>
      <c r="F123" s="28">
        <v>9.6</v>
      </c>
      <c r="G123" s="29">
        <f t="shared" si="2"/>
        <v>1.5999999999999999</v>
      </c>
      <c r="H123" s="30" t="s">
        <v>346</v>
      </c>
      <c r="I123" s="30" t="s">
        <v>347</v>
      </c>
      <c r="J123" s="35">
        <v>432</v>
      </c>
      <c r="K123" s="32">
        <v>72</v>
      </c>
      <c r="L123" s="76" t="str">
        <f t="shared" si="3"/>
        <v/>
      </c>
    </row>
    <row r="124" spans="1:14" x14ac:dyDescent="0.25">
      <c r="A124" s="36" t="s">
        <v>1933</v>
      </c>
      <c r="B124" s="54">
        <v>602</v>
      </c>
      <c r="C124" s="53">
        <v>6</v>
      </c>
      <c r="D124" s="36" t="s">
        <v>1934</v>
      </c>
      <c r="E124" s="32"/>
      <c r="F124" s="61">
        <v>9.6</v>
      </c>
      <c r="G124" s="61">
        <f t="shared" si="2"/>
        <v>1.5999999999999999</v>
      </c>
      <c r="H124" s="56" t="s">
        <v>1935</v>
      </c>
      <c r="I124" s="56" t="s">
        <v>1936</v>
      </c>
      <c r="J124" s="54">
        <v>637</v>
      </c>
      <c r="K124" s="53">
        <v>91</v>
      </c>
      <c r="L124" s="76" t="str">
        <f t="shared" si="3"/>
        <v/>
      </c>
      <c r="N124" s="39"/>
    </row>
    <row r="125" spans="1:14" x14ac:dyDescent="0.25">
      <c r="A125" s="25" t="s">
        <v>802</v>
      </c>
      <c r="B125" s="26">
        <v>381</v>
      </c>
      <c r="C125" s="26">
        <v>6</v>
      </c>
      <c r="D125" s="25" t="s">
        <v>803</v>
      </c>
      <c r="E125" s="31"/>
      <c r="F125" s="28">
        <v>10.199999999999999</v>
      </c>
      <c r="G125" s="29">
        <f t="shared" si="2"/>
        <v>1.7</v>
      </c>
      <c r="H125" s="30" t="s">
        <v>804</v>
      </c>
      <c r="I125" s="30" t="s">
        <v>1134</v>
      </c>
      <c r="J125" s="31">
        <v>378</v>
      </c>
      <c r="K125" s="32">
        <v>63</v>
      </c>
      <c r="L125" s="77" t="str">
        <f t="shared" si="3"/>
        <v/>
      </c>
    </row>
    <row r="126" spans="1:14" x14ac:dyDescent="0.25">
      <c r="A126" s="36" t="s">
        <v>1937</v>
      </c>
      <c r="B126" s="54">
        <v>397</v>
      </c>
      <c r="C126" s="53">
        <v>6</v>
      </c>
      <c r="D126" s="36" t="s">
        <v>1938</v>
      </c>
      <c r="E126" s="27"/>
      <c r="F126" s="28">
        <v>10.8</v>
      </c>
      <c r="G126" s="28">
        <f t="shared" ref="G126:G183" si="4">F126/C126</f>
        <v>1.8</v>
      </c>
      <c r="H126" s="56" t="s">
        <v>1939</v>
      </c>
      <c r="I126" s="56" t="s">
        <v>1940</v>
      </c>
      <c r="J126" s="54">
        <v>378</v>
      </c>
      <c r="K126" s="53">
        <v>63</v>
      </c>
      <c r="L126" s="76" t="str">
        <f t="shared" ref="L126:L183" si="5">IF(E126,E126*F126,"")</f>
        <v/>
      </c>
    </row>
    <row r="127" spans="1:14" x14ac:dyDescent="0.25">
      <c r="A127" s="25" t="s">
        <v>1015</v>
      </c>
      <c r="B127" s="35">
        <v>323</v>
      </c>
      <c r="C127" s="26">
        <v>6</v>
      </c>
      <c r="D127" s="25" t="s">
        <v>1016</v>
      </c>
      <c r="E127" s="27"/>
      <c r="F127" s="28">
        <v>13.2</v>
      </c>
      <c r="G127" s="28">
        <f t="shared" si="4"/>
        <v>2.1999999999999997</v>
      </c>
      <c r="H127" s="30" t="s">
        <v>1017</v>
      </c>
      <c r="I127" s="30" t="s">
        <v>1018</v>
      </c>
      <c r="J127" s="35">
        <v>378</v>
      </c>
      <c r="K127" s="32">
        <v>63</v>
      </c>
      <c r="L127" s="77" t="str">
        <f t="shared" si="5"/>
        <v/>
      </c>
    </row>
    <row r="128" spans="1:14" x14ac:dyDescent="0.25">
      <c r="A128" s="25" t="s">
        <v>1850</v>
      </c>
      <c r="B128" s="26">
        <v>137</v>
      </c>
      <c r="C128" s="26">
        <v>6</v>
      </c>
      <c r="D128" s="25" t="s">
        <v>1851</v>
      </c>
      <c r="E128" s="31"/>
      <c r="F128" s="28">
        <v>13.2</v>
      </c>
      <c r="G128" s="28">
        <f t="shared" si="4"/>
        <v>2.1999999999999997</v>
      </c>
      <c r="H128" s="30" t="s">
        <v>1852</v>
      </c>
      <c r="I128" s="30" t="s">
        <v>1853</v>
      </c>
      <c r="J128" s="31">
        <v>432</v>
      </c>
      <c r="K128" s="53">
        <v>72</v>
      </c>
      <c r="L128" s="77" t="str">
        <f t="shared" si="5"/>
        <v/>
      </c>
    </row>
    <row r="129" spans="1:12" x14ac:dyDescent="0.25">
      <c r="A129" s="25" t="s">
        <v>3351</v>
      </c>
      <c r="B129" s="26">
        <v>133</v>
      </c>
      <c r="C129" s="26">
        <v>6</v>
      </c>
      <c r="D129" s="25" t="s">
        <v>3352</v>
      </c>
      <c r="E129" s="31"/>
      <c r="F129" s="28">
        <v>11.75</v>
      </c>
      <c r="G129" s="28">
        <f t="shared" si="4"/>
        <v>1.9583333333333333</v>
      </c>
      <c r="H129" s="30" t="s">
        <v>3353</v>
      </c>
      <c r="I129" s="30" t="s">
        <v>3354</v>
      </c>
      <c r="J129" s="31">
        <v>378</v>
      </c>
      <c r="K129" s="32">
        <v>63</v>
      </c>
      <c r="L129" s="76" t="str">
        <f t="shared" si="5"/>
        <v/>
      </c>
    </row>
    <row r="130" spans="1:12" x14ac:dyDescent="0.25">
      <c r="A130" s="25" t="s">
        <v>3765</v>
      </c>
      <c r="B130" s="35">
        <v>52</v>
      </c>
      <c r="C130" s="26">
        <v>6</v>
      </c>
      <c r="D130" s="25" t="s">
        <v>3766</v>
      </c>
      <c r="E130" s="27"/>
      <c r="F130" s="33">
        <v>18.399999999999999</v>
      </c>
      <c r="G130" s="33">
        <f t="shared" si="4"/>
        <v>3.0666666666666664</v>
      </c>
      <c r="H130" s="30" t="s">
        <v>3767</v>
      </c>
      <c r="I130" s="30" t="s">
        <v>3768</v>
      </c>
      <c r="J130" s="35">
        <v>378</v>
      </c>
      <c r="K130" s="32">
        <v>63</v>
      </c>
      <c r="L130" s="76" t="str">
        <f t="shared" si="5"/>
        <v/>
      </c>
    </row>
    <row r="131" spans="1:12" x14ac:dyDescent="0.25">
      <c r="A131" s="25" t="s">
        <v>1812</v>
      </c>
      <c r="B131" s="35">
        <v>31</v>
      </c>
      <c r="C131" s="26">
        <v>4</v>
      </c>
      <c r="D131" s="25" t="s">
        <v>1813</v>
      </c>
      <c r="E131" s="31"/>
      <c r="F131" s="28">
        <v>11.8</v>
      </c>
      <c r="G131" s="28">
        <f t="shared" si="4"/>
        <v>2.95</v>
      </c>
      <c r="H131" s="30" t="s">
        <v>1833</v>
      </c>
      <c r="I131" s="30" t="s">
        <v>1832</v>
      </c>
      <c r="J131" s="35">
        <v>208</v>
      </c>
      <c r="K131" s="53">
        <v>104</v>
      </c>
      <c r="L131" s="77" t="str">
        <f t="shared" si="5"/>
        <v/>
      </c>
    </row>
    <row r="132" spans="1:12" x14ac:dyDescent="0.25">
      <c r="A132" s="25" t="s">
        <v>1808</v>
      </c>
      <c r="B132" s="35">
        <v>50</v>
      </c>
      <c r="C132" s="26">
        <v>6</v>
      </c>
      <c r="D132" s="36" t="s">
        <v>1809</v>
      </c>
      <c r="E132" s="31"/>
      <c r="F132" s="28">
        <v>18.8</v>
      </c>
      <c r="G132" s="28">
        <f t="shared" si="4"/>
        <v>3.1333333333333333</v>
      </c>
      <c r="H132" s="30" t="s">
        <v>1810</v>
      </c>
      <c r="I132" s="30" t="s">
        <v>1811</v>
      </c>
      <c r="J132" s="35">
        <v>306</v>
      </c>
      <c r="K132" s="37"/>
      <c r="L132" s="77" t="str">
        <f t="shared" si="5"/>
        <v/>
      </c>
    </row>
    <row r="133" spans="1:12" x14ac:dyDescent="0.25">
      <c r="A133" s="25" t="s">
        <v>3948</v>
      </c>
      <c r="B133" s="35">
        <v>60</v>
      </c>
      <c r="C133" s="26">
        <v>12</v>
      </c>
      <c r="D133" s="36" t="s">
        <v>3949</v>
      </c>
      <c r="E133" s="31"/>
      <c r="F133" s="28">
        <v>5.4</v>
      </c>
      <c r="G133" s="28">
        <f t="shared" si="4"/>
        <v>0.45</v>
      </c>
      <c r="H133" s="30" t="s">
        <v>3957</v>
      </c>
      <c r="I133" s="30" t="s">
        <v>3962</v>
      </c>
      <c r="J133" s="35">
        <v>180</v>
      </c>
      <c r="K133" s="32">
        <v>20</v>
      </c>
      <c r="L133" s="77" t="str">
        <f t="shared" si="5"/>
        <v/>
      </c>
    </row>
    <row r="134" spans="1:12" x14ac:dyDescent="0.25">
      <c r="A134" s="25" t="s">
        <v>1601</v>
      </c>
      <c r="B134" s="35">
        <v>82</v>
      </c>
      <c r="C134" s="26">
        <v>12</v>
      </c>
      <c r="D134" s="25" t="s">
        <v>1602</v>
      </c>
      <c r="E134" s="31"/>
      <c r="F134" s="28">
        <v>15.4</v>
      </c>
      <c r="G134" s="28">
        <f t="shared" si="4"/>
        <v>1.2833333333333334</v>
      </c>
      <c r="H134" s="30" t="s">
        <v>1603</v>
      </c>
      <c r="I134" s="30" t="s">
        <v>1604</v>
      </c>
      <c r="J134" s="35">
        <v>198</v>
      </c>
      <c r="K134" s="32">
        <v>33</v>
      </c>
      <c r="L134" s="77" t="str">
        <f t="shared" si="5"/>
        <v/>
      </c>
    </row>
    <row r="135" spans="1:12" x14ac:dyDescent="0.25">
      <c r="A135" s="25" t="s">
        <v>1956</v>
      </c>
      <c r="B135" s="26">
        <v>143</v>
      </c>
      <c r="C135" s="26">
        <v>12</v>
      </c>
      <c r="D135" s="25" t="s">
        <v>1957</v>
      </c>
      <c r="E135" s="27"/>
      <c r="F135" s="28">
        <v>3.3</v>
      </c>
      <c r="G135" s="29">
        <f t="shared" si="4"/>
        <v>0.27499999999999997</v>
      </c>
      <c r="H135" s="30" t="s">
        <v>1958</v>
      </c>
      <c r="I135" s="30" t="s">
        <v>1959</v>
      </c>
      <c r="J135" s="31">
        <v>640</v>
      </c>
      <c r="K135" s="53">
        <v>80</v>
      </c>
      <c r="L135" s="76" t="str">
        <f t="shared" si="5"/>
        <v/>
      </c>
    </row>
    <row r="136" spans="1:12" x14ac:dyDescent="0.25">
      <c r="A136" s="25" t="s">
        <v>932</v>
      </c>
      <c r="B136" s="26">
        <v>18</v>
      </c>
      <c r="C136" s="26">
        <v>12</v>
      </c>
      <c r="D136" s="25" t="s">
        <v>931</v>
      </c>
      <c r="E136" s="27"/>
      <c r="F136" s="28">
        <v>3.75</v>
      </c>
      <c r="G136" s="29">
        <f t="shared" si="4"/>
        <v>0.3125</v>
      </c>
      <c r="H136" s="30" t="s">
        <v>933</v>
      </c>
      <c r="I136" s="30" t="s">
        <v>934</v>
      </c>
      <c r="J136" s="31">
        <v>640</v>
      </c>
      <c r="K136" s="32">
        <v>80</v>
      </c>
      <c r="L136" s="76" t="str">
        <f t="shared" si="5"/>
        <v/>
      </c>
    </row>
    <row r="137" spans="1:12" x14ac:dyDescent="0.25">
      <c r="A137" s="25" t="s">
        <v>546</v>
      </c>
      <c r="B137" s="35">
        <v>0</v>
      </c>
      <c r="C137" s="26">
        <v>12</v>
      </c>
      <c r="D137" s="25" t="s">
        <v>547</v>
      </c>
      <c r="E137" s="27"/>
      <c r="F137" s="28">
        <v>3.6</v>
      </c>
      <c r="G137" s="29">
        <f t="shared" si="4"/>
        <v>0.3</v>
      </c>
      <c r="H137" s="30" t="s">
        <v>548</v>
      </c>
      <c r="I137" s="30" t="s">
        <v>549</v>
      </c>
      <c r="J137" s="35">
        <v>640</v>
      </c>
      <c r="K137" s="32">
        <v>80</v>
      </c>
      <c r="L137" s="76" t="str">
        <f t="shared" si="5"/>
        <v/>
      </c>
    </row>
    <row r="138" spans="1:12" x14ac:dyDescent="0.25">
      <c r="A138" s="25" t="s">
        <v>162</v>
      </c>
      <c r="B138" s="26">
        <v>208</v>
      </c>
      <c r="C138" s="26">
        <v>12</v>
      </c>
      <c r="D138" s="25" t="s">
        <v>40</v>
      </c>
      <c r="E138" s="27"/>
      <c r="F138" s="28">
        <v>4.4000000000000004</v>
      </c>
      <c r="G138" s="29">
        <f t="shared" si="4"/>
        <v>0.3666666666666667</v>
      </c>
      <c r="H138" s="30" t="s">
        <v>9</v>
      </c>
      <c r="I138" s="30" t="s">
        <v>32</v>
      </c>
      <c r="J138" s="31">
        <v>640</v>
      </c>
      <c r="K138" s="32">
        <v>80</v>
      </c>
      <c r="L138" s="76" t="str">
        <f t="shared" si="5"/>
        <v/>
      </c>
    </row>
    <row r="139" spans="1:12" x14ac:dyDescent="0.25">
      <c r="A139" s="25" t="s">
        <v>459</v>
      </c>
      <c r="B139" s="26">
        <v>184</v>
      </c>
      <c r="C139" s="26">
        <v>12</v>
      </c>
      <c r="D139" s="25" t="s">
        <v>460</v>
      </c>
      <c r="E139" s="27"/>
      <c r="F139" s="28">
        <v>4.8</v>
      </c>
      <c r="G139" s="29">
        <f t="shared" si="4"/>
        <v>0.39999999999999997</v>
      </c>
      <c r="H139" s="30" t="s">
        <v>461</v>
      </c>
      <c r="I139" s="30" t="s">
        <v>462</v>
      </c>
      <c r="J139" s="31">
        <v>640</v>
      </c>
      <c r="K139" s="32">
        <v>80</v>
      </c>
      <c r="L139" s="76" t="str">
        <f t="shared" si="5"/>
        <v/>
      </c>
    </row>
    <row r="140" spans="1:12" x14ac:dyDescent="0.25">
      <c r="A140" s="25" t="s">
        <v>1483</v>
      </c>
      <c r="B140" s="26">
        <v>233</v>
      </c>
      <c r="C140" s="26">
        <v>12</v>
      </c>
      <c r="D140" s="25" t="s">
        <v>1484</v>
      </c>
      <c r="E140" s="27"/>
      <c r="F140" s="28">
        <v>5.6</v>
      </c>
      <c r="G140" s="29">
        <f t="shared" si="4"/>
        <v>0.46666666666666662</v>
      </c>
      <c r="H140" s="30" t="s">
        <v>1485</v>
      </c>
      <c r="I140" s="30" t="s">
        <v>1486</v>
      </c>
      <c r="J140" s="31">
        <v>640</v>
      </c>
      <c r="K140" s="32">
        <v>80</v>
      </c>
      <c r="L140" s="76" t="str">
        <f t="shared" si="5"/>
        <v/>
      </c>
    </row>
    <row r="141" spans="1:12" x14ac:dyDescent="0.25">
      <c r="A141" s="25" t="s">
        <v>1356</v>
      </c>
      <c r="B141" s="26">
        <v>532</v>
      </c>
      <c r="C141" s="26">
        <v>12</v>
      </c>
      <c r="D141" s="25" t="s">
        <v>1355</v>
      </c>
      <c r="E141" s="27"/>
      <c r="F141" s="28">
        <v>5.6</v>
      </c>
      <c r="G141" s="29">
        <f t="shared" si="4"/>
        <v>0.46666666666666662</v>
      </c>
      <c r="H141" s="30" t="s">
        <v>1357</v>
      </c>
      <c r="I141" s="30" t="s">
        <v>1358</v>
      </c>
      <c r="J141" s="31">
        <v>660</v>
      </c>
      <c r="K141" s="32">
        <v>132</v>
      </c>
      <c r="L141" s="76" t="str">
        <f t="shared" si="5"/>
        <v/>
      </c>
    </row>
    <row r="142" spans="1:12" x14ac:dyDescent="0.25">
      <c r="A142" s="25" t="s">
        <v>416</v>
      </c>
      <c r="B142" s="26">
        <v>183</v>
      </c>
      <c r="C142" s="26">
        <v>12</v>
      </c>
      <c r="D142" s="25" t="s">
        <v>417</v>
      </c>
      <c r="E142" s="27"/>
      <c r="F142" s="28">
        <v>6.75</v>
      </c>
      <c r="G142" s="29">
        <f t="shared" si="4"/>
        <v>0.5625</v>
      </c>
      <c r="H142" s="30" t="s">
        <v>418</v>
      </c>
      <c r="I142" s="30" t="s">
        <v>419</v>
      </c>
      <c r="J142" s="31">
        <v>640</v>
      </c>
      <c r="K142" s="32">
        <v>80</v>
      </c>
      <c r="L142" s="76" t="str">
        <f t="shared" si="5"/>
        <v/>
      </c>
    </row>
    <row r="143" spans="1:12" x14ac:dyDescent="0.25">
      <c r="A143" s="25" t="s">
        <v>1019</v>
      </c>
      <c r="B143" s="26">
        <v>0</v>
      </c>
      <c r="C143" s="26">
        <v>12</v>
      </c>
      <c r="D143" s="25" t="s">
        <v>1020</v>
      </c>
      <c r="E143" s="31"/>
      <c r="F143" s="28">
        <v>7.2</v>
      </c>
      <c r="G143" s="29">
        <f t="shared" si="4"/>
        <v>0.6</v>
      </c>
      <c r="H143" s="30" t="s">
        <v>1021</v>
      </c>
      <c r="I143" s="30" t="s">
        <v>1022</v>
      </c>
      <c r="J143" s="31">
        <v>640</v>
      </c>
      <c r="K143" s="32">
        <v>80</v>
      </c>
      <c r="L143" s="76" t="str">
        <f t="shared" si="5"/>
        <v/>
      </c>
    </row>
    <row r="144" spans="1:12" x14ac:dyDescent="0.25">
      <c r="A144" s="25" t="s">
        <v>617</v>
      </c>
      <c r="B144" s="26">
        <v>300</v>
      </c>
      <c r="C144" s="26">
        <v>12</v>
      </c>
      <c r="D144" s="25" t="s">
        <v>624</v>
      </c>
      <c r="E144" s="27"/>
      <c r="F144" s="28">
        <v>7.44</v>
      </c>
      <c r="G144" s="29">
        <f t="shared" si="4"/>
        <v>0.62</v>
      </c>
      <c r="H144" s="30" t="s">
        <v>626</v>
      </c>
      <c r="I144" s="30" t="s">
        <v>625</v>
      </c>
      <c r="J144" s="26">
        <v>290</v>
      </c>
      <c r="K144" s="32">
        <v>29</v>
      </c>
      <c r="L144" s="76" t="str">
        <f t="shared" si="5"/>
        <v/>
      </c>
    </row>
    <row r="145" spans="1:14" x14ac:dyDescent="0.25">
      <c r="A145" s="25" t="s">
        <v>743</v>
      </c>
      <c r="B145" s="26">
        <v>104</v>
      </c>
      <c r="C145" s="26">
        <v>12</v>
      </c>
      <c r="D145" s="25" t="s">
        <v>744</v>
      </c>
      <c r="E145" s="27"/>
      <c r="F145" s="28">
        <v>6</v>
      </c>
      <c r="G145" s="29">
        <f t="shared" si="4"/>
        <v>0.5</v>
      </c>
      <c r="H145" s="30" t="s">
        <v>745</v>
      </c>
      <c r="I145" s="30" t="s">
        <v>746</v>
      </c>
      <c r="J145" s="26">
        <v>640</v>
      </c>
      <c r="K145" s="32">
        <v>80</v>
      </c>
      <c r="L145" s="76" t="str">
        <f t="shared" si="5"/>
        <v/>
      </c>
    </row>
    <row r="146" spans="1:14" x14ac:dyDescent="0.25">
      <c r="A146" s="25" t="s">
        <v>2077</v>
      </c>
      <c r="B146" s="26">
        <v>0</v>
      </c>
      <c r="C146" s="26">
        <v>12</v>
      </c>
      <c r="D146" s="25" t="s">
        <v>3011</v>
      </c>
      <c r="E146" s="27"/>
      <c r="F146" s="28">
        <v>5.88</v>
      </c>
      <c r="G146" s="29">
        <f t="shared" si="4"/>
        <v>0.49</v>
      </c>
      <c r="H146" s="30" t="s">
        <v>2078</v>
      </c>
      <c r="I146" s="30" t="s">
        <v>2079</v>
      </c>
      <c r="J146" s="26">
        <v>480</v>
      </c>
      <c r="K146" s="53">
        <v>96</v>
      </c>
      <c r="L146" s="76" t="str">
        <f t="shared" si="5"/>
        <v/>
      </c>
    </row>
    <row r="147" spans="1:14" x14ac:dyDescent="0.25">
      <c r="A147" s="25" t="s">
        <v>3401</v>
      </c>
      <c r="B147" s="26">
        <v>11</v>
      </c>
      <c r="C147" s="26">
        <v>12</v>
      </c>
      <c r="D147" s="25" t="s">
        <v>3402</v>
      </c>
      <c r="E147" s="27"/>
      <c r="F147" s="28">
        <v>5.88</v>
      </c>
      <c r="G147" s="29">
        <f t="shared" si="4"/>
        <v>0.49</v>
      </c>
      <c r="H147" s="30" t="s">
        <v>3403</v>
      </c>
      <c r="I147" s="30" t="s">
        <v>3467</v>
      </c>
      <c r="J147" s="26"/>
      <c r="K147" s="53"/>
      <c r="L147" s="76" t="str">
        <f t="shared" si="5"/>
        <v/>
      </c>
    </row>
    <row r="148" spans="1:14" x14ac:dyDescent="0.25">
      <c r="A148" s="25" t="s">
        <v>2887</v>
      </c>
      <c r="B148" s="26">
        <v>48</v>
      </c>
      <c r="C148" s="26">
        <v>12</v>
      </c>
      <c r="D148" s="25" t="s">
        <v>3013</v>
      </c>
      <c r="E148" s="27"/>
      <c r="F148" s="28">
        <v>7.2</v>
      </c>
      <c r="G148" s="28">
        <f t="shared" si="4"/>
        <v>0.6</v>
      </c>
      <c r="H148" s="30" t="s">
        <v>2916</v>
      </c>
      <c r="I148" s="30" t="s">
        <v>2917</v>
      </c>
      <c r="J148" s="31">
        <v>260</v>
      </c>
      <c r="K148" s="32">
        <v>52</v>
      </c>
      <c r="L148" s="76" t="str">
        <f t="shared" si="5"/>
        <v/>
      </c>
    </row>
    <row r="149" spans="1:14" x14ac:dyDescent="0.25">
      <c r="A149" s="25" t="s">
        <v>2888</v>
      </c>
      <c r="B149" s="26">
        <v>30</v>
      </c>
      <c r="C149" s="26">
        <v>12</v>
      </c>
      <c r="D149" s="25" t="s">
        <v>3012</v>
      </c>
      <c r="E149" s="27"/>
      <c r="F149" s="28">
        <v>7.2</v>
      </c>
      <c r="G149" s="28">
        <f t="shared" si="4"/>
        <v>0.6</v>
      </c>
      <c r="H149" s="30" t="s">
        <v>2914</v>
      </c>
      <c r="I149" s="30" t="s">
        <v>2915</v>
      </c>
      <c r="J149" s="31">
        <v>260</v>
      </c>
      <c r="K149" s="32">
        <v>52</v>
      </c>
      <c r="L149" s="76" t="str">
        <f t="shared" si="5"/>
        <v/>
      </c>
    </row>
    <row r="150" spans="1:14" x14ac:dyDescent="0.25">
      <c r="A150" s="25" t="s">
        <v>3024</v>
      </c>
      <c r="B150" s="26">
        <v>285</v>
      </c>
      <c r="C150" s="26">
        <v>12</v>
      </c>
      <c r="D150" s="25" t="s">
        <v>3048</v>
      </c>
      <c r="E150" s="27"/>
      <c r="F150" s="28">
        <v>7.5</v>
      </c>
      <c r="G150" s="28">
        <f t="shared" si="4"/>
        <v>0.625</v>
      </c>
      <c r="H150" s="30" t="s">
        <v>3022</v>
      </c>
      <c r="I150" s="30" t="s">
        <v>3023</v>
      </c>
      <c r="J150" s="31">
        <v>260</v>
      </c>
      <c r="K150" s="32">
        <v>52</v>
      </c>
      <c r="L150" s="76" t="str">
        <f t="shared" si="5"/>
        <v/>
      </c>
    </row>
    <row r="151" spans="1:14" x14ac:dyDescent="0.25">
      <c r="A151" s="25" t="s">
        <v>164</v>
      </c>
      <c r="B151" s="26">
        <v>124</v>
      </c>
      <c r="C151" s="26">
        <v>12</v>
      </c>
      <c r="D151" s="25" t="s">
        <v>3014</v>
      </c>
      <c r="E151" s="27"/>
      <c r="F151" s="28">
        <v>7.95</v>
      </c>
      <c r="G151" s="29">
        <f t="shared" si="4"/>
        <v>0.66249999999999998</v>
      </c>
      <c r="H151" s="30" t="s">
        <v>306</v>
      </c>
      <c r="I151" s="30" t="s">
        <v>805</v>
      </c>
      <c r="J151" s="31">
        <v>384</v>
      </c>
      <c r="K151" s="32">
        <v>48</v>
      </c>
      <c r="L151" s="76" t="str">
        <f t="shared" si="5"/>
        <v/>
      </c>
    </row>
    <row r="152" spans="1:14" x14ac:dyDescent="0.25">
      <c r="A152" s="25" t="s">
        <v>1960</v>
      </c>
      <c r="B152" s="26">
        <v>1241</v>
      </c>
      <c r="C152" s="26">
        <v>12</v>
      </c>
      <c r="D152" s="25" t="s">
        <v>3015</v>
      </c>
      <c r="E152" s="27"/>
      <c r="F152" s="28">
        <v>8.2799999999999994</v>
      </c>
      <c r="G152" s="29">
        <f t="shared" si="4"/>
        <v>0.69</v>
      </c>
      <c r="H152" s="63" t="s">
        <v>1961</v>
      </c>
      <c r="I152" s="55" t="s">
        <v>1962</v>
      </c>
      <c r="J152" s="26">
        <v>384</v>
      </c>
      <c r="K152" s="53">
        <v>48</v>
      </c>
      <c r="L152" s="76" t="str">
        <f t="shared" si="5"/>
        <v/>
      </c>
      <c r="N152" s="40"/>
    </row>
    <row r="153" spans="1:14" x14ac:dyDescent="0.25">
      <c r="A153" s="25" t="s">
        <v>2232</v>
      </c>
      <c r="B153" s="26">
        <v>708</v>
      </c>
      <c r="C153" s="26">
        <v>12</v>
      </c>
      <c r="D153" s="25" t="s">
        <v>3016</v>
      </c>
      <c r="E153" s="27"/>
      <c r="F153" s="28">
        <v>8.2799999999999994</v>
      </c>
      <c r="G153" s="29">
        <f t="shared" si="4"/>
        <v>0.69</v>
      </c>
      <c r="H153" s="30" t="s">
        <v>2234</v>
      </c>
      <c r="I153" s="30" t="s">
        <v>2235</v>
      </c>
      <c r="J153" s="26">
        <v>384</v>
      </c>
      <c r="K153" s="53">
        <v>48</v>
      </c>
      <c r="L153" s="76" t="str">
        <f t="shared" si="5"/>
        <v/>
      </c>
    </row>
    <row r="154" spans="1:14" x14ac:dyDescent="0.25">
      <c r="A154" s="25" t="s">
        <v>288</v>
      </c>
      <c r="B154" s="26">
        <v>500</v>
      </c>
      <c r="C154" s="26">
        <v>12</v>
      </c>
      <c r="D154" s="25" t="s">
        <v>3017</v>
      </c>
      <c r="E154" s="27"/>
      <c r="F154" s="28">
        <v>9.6</v>
      </c>
      <c r="G154" s="29">
        <f t="shared" si="4"/>
        <v>0.79999999999999993</v>
      </c>
      <c r="H154" s="30" t="s">
        <v>806</v>
      </c>
      <c r="I154" s="30" t="s">
        <v>807</v>
      </c>
      <c r="J154" s="31">
        <v>384</v>
      </c>
      <c r="K154" s="32">
        <v>48</v>
      </c>
      <c r="L154" s="76" t="str">
        <f t="shared" si="5"/>
        <v/>
      </c>
    </row>
    <row r="155" spans="1:14" x14ac:dyDescent="0.25">
      <c r="A155" s="25" t="s">
        <v>163</v>
      </c>
      <c r="B155" s="26">
        <v>0</v>
      </c>
      <c r="C155" s="26">
        <v>12</v>
      </c>
      <c r="D155" s="25" t="s">
        <v>3018</v>
      </c>
      <c r="E155" s="27"/>
      <c r="F155" s="28">
        <v>9.6</v>
      </c>
      <c r="G155" s="29">
        <f t="shared" si="4"/>
        <v>0.79999999999999993</v>
      </c>
      <c r="H155" s="30" t="s">
        <v>809</v>
      </c>
      <c r="I155" s="30" t="s">
        <v>810</v>
      </c>
      <c r="J155" s="31">
        <v>384</v>
      </c>
      <c r="K155" s="32">
        <v>48</v>
      </c>
      <c r="L155" s="76" t="str">
        <f t="shared" si="5"/>
        <v/>
      </c>
    </row>
    <row r="156" spans="1:14" x14ac:dyDescent="0.25">
      <c r="A156" s="25" t="s">
        <v>616</v>
      </c>
      <c r="B156" s="26">
        <v>729</v>
      </c>
      <c r="C156" s="26">
        <v>12</v>
      </c>
      <c r="D156" s="25" t="s">
        <v>3019</v>
      </c>
      <c r="E156" s="27"/>
      <c r="F156" s="28">
        <v>9.6</v>
      </c>
      <c r="G156" s="29">
        <f t="shared" si="4"/>
        <v>0.79999999999999993</v>
      </c>
      <c r="H156" s="30" t="s">
        <v>628</v>
      </c>
      <c r="I156" s="30" t="s">
        <v>808</v>
      </c>
      <c r="J156" s="31">
        <v>384</v>
      </c>
      <c r="K156" s="32">
        <v>48</v>
      </c>
      <c r="L156" s="76" t="str">
        <f t="shared" si="5"/>
        <v/>
      </c>
    </row>
    <row r="157" spans="1:14" x14ac:dyDescent="0.25">
      <c r="A157" s="25" t="s">
        <v>2830</v>
      </c>
      <c r="B157" s="26">
        <v>7</v>
      </c>
      <c r="C157" s="26">
        <v>12</v>
      </c>
      <c r="D157" s="25" t="s">
        <v>3020</v>
      </c>
      <c r="E157" s="27"/>
      <c r="F157" s="28">
        <v>9.6</v>
      </c>
      <c r="G157" s="29">
        <f t="shared" si="4"/>
        <v>0.79999999999999993</v>
      </c>
      <c r="H157" s="30" t="s">
        <v>2853</v>
      </c>
      <c r="I157" s="30" t="s">
        <v>2854</v>
      </c>
      <c r="J157" s="31">
        <v>384</v>
      </c>
      <c r="K157" s="32">
        <v>48</v>
      </c>
      <c r="L157" s="76" t="str">
        <f t="shared" si="5"/>
        <v/>
      </c>
    </row>
    <row r="158" spans="1:14" x14ac:dyDescent="0.25">
      <c r="A158" s="25" t="s">
        <v>627</v>
      </c>
      <c r="B158" s="26">
        <v>669</v>
      </c>
      <c r="C158" s="26">
        <v>12</v>
      </c>
      <c r="D158" s="25" t="s">
        <v>3021</v>
      </c>
      <c r="E158" s="27"/>
      <c r="F158" s="28">
        <v>9.6</v>
      </c>
      <c r="G158" s="28">
        <f t="shared" si="4"/>
        <v>0.79999999999999993</v>
      </c>
      <c r="H158" s="30" t="s">
        <v>629</v>
      </c>
      <c r="I158" s="30" t="s">
        <v>811</v>
      </c>
      <c r="J158" s="31">
        <v>384</v>
      </c>
      <c r="K158" s="32">
        <v>48</v>
      </c>
      <c r="L158" s="76" t="str">
        <f t="shared" si="5"/>
        <v/>
      </c>
    </row>
    <row r="159" spans="1:14" x14ac:dyDescent="0.25">
      <c r="A159" s="25" t="s">
        <v>3575</v>
      </c>
      <c r="B159" s="26">
        <v>1120</v>
      </c>
      <c r="C159" s="26">
        <v>6</v>
      </c>
      <c r="D159" s="25" t="s">
        <v>3576</v>
      </c>
      <c r="E159" s="27"/>
      <c r="F159" s="28">
        <v>8.4</v>
      </c>
      <c r="G159" s="28">
        <f t="shared" si="4"/>
        <v>1.4000000000000001</v>
      </c>
      <c r="H159" s="30" t="s">
        <v>3577</v>
      </c>
      <c r="I159" s="30" t="s">
        <v>3578</v>
      </c>
      <c r="J159" s="31">
        <v>400</v>
      </c>
      <c r="K159" s="32">
        <v>80</v>
      </c>
      <c r="L159" s="76" t="str">
        <f t="shared" si="5"/>
        <v/>
      </c>
    </row>
    <row r="160" spans="1:14" x14ac:dyDescent="0.25">
      <c r="A160" s="25" t="s">
        <v>3579</v>
      </c>
      <c r="B160" s="26">
        <v>268</v>
      </c>
      <c r="C160" s="26">
        <v>6</v>
      </c>
      <c r="D160" s="25" t="s">
        <v>3580</v>
      </c>
      <c r="E160" s="27"/>
      <c r="F160" s="28">
        <v>8.4</v>
      </c>
      <c r="G160" s="28">
        <f t="shared" si="4"/>
        <v>1.4000000000000001</v>
      </c>
      <c r="H160" s="30" t="s">
        <v>3581</v>
      </c>
      <c r="I160" s="30" t="s">
        <v>3582</v>
      </c>
      <c r="J160" s="32">
        <v>400</v>
      </c>
      <c r="K160" s="32">
        <v>80</v>
      </c>
      <c r="L160" s="76" t="str">
        <f t="shared" si="5"/>
        <v/>
      </c>
    </row>
    <row r="161" spans="1:12" x14ac:dyDescent="0.25">
      <c r="A161" s="25" t="s">
        <v>455</v>
      </c>
      <c r="B161" s="26">
        <v>30</v>
      </c>
      <c r="C161" s="26">
        <v>10</v>
      </c>
      <c r="D161" s="25" t="s">
        <v>456</v>
      </c>
      <c r="E161" s="27"/>
      <c r="F161" s="28">
        <v>5.95</v>
      </c>
      <c r="G161" s="29">
        <f t="shared" si="4"/>
        <v>0.59499999999999997</v>
      </c>
      <c r="H161" s="30" t="s">
        <v>457</v>
      </c>
      <c r="I161" s="30" t="s">
        <v>458</v>
      </c>
      <c r="J161" s="31"/>
      <c r="K161" s="32"/>
      <c r="L161" s="76" t="str">
        <f t="shared" si="5"/>
        <v/>
      </c>
    </row>
    <row r="162" spans="1:12" x14ac:dyDescent="0.25">
      <c r="A162" s="25" t="s">
        <v>264</v>
      </c>
      <c r="B162" s="26">
        <v>8</v>
      </c>
      <c r="C162" s="26">
        <v>10</v>
      </c>
      <c r="D162" s="25" t="s">
        <v>265</v>
      </c>
      <c r="E162" s="27"/>
      <c r="F162" s="28">
        <v>2.1</v>
      </c>
      <c r="G162" s="29">
        <f t="shared" si="4"/>
        <v>0.21000000000000002</v>
      </c>
      <c r="H162" s="30" t="s">
        <v>279</v>
      </c>
      <c r="I162" s="30" t="s">
        <v>280</v>
      </c>
      <c r="J162" s="31"/>
      <c r="K162" s="32"/>
      <c r="L162" s="76" t="str">
        <f t="shared" si="5"/>
        <v/>
      </c>
    </row>
    <row r="163" spans="1:12" x14ac:dyDescent="0.25">
      <c r="A163" s="25" t="s">
        <v>260</v>
      </c>
      <c r="B163" s="26">
        <v>38</v>
      </c>
      <c r="C163" s="26">
        <v>10</v>
      </c>
      <c r="D163" s="25" t="s">
        <v>261</v>
      </c>
      <c r="E163" s="27"/>
      <c r="F163" s="28">
        <v>2.5</v>
      </c>
      <c r="G163" s="29">
        <f t="shared" si="4"/>
        <v>0.25</v>
      </c>
      <c r="H163" s="30" t="s">
        <v>276</v>
      </c>
      <c r="I163" s="30" t="s">
        <v>828</v>
      </c>
      <c r="J163" s="31"/>
      <c r="K163" s="32"/>
      <c r="L163" s="76" t="str">
        <f t="shared" si="5"/>
        <v/>
      </c>
    </row>
    <row r="164" spans="1:12" x14ac:dyDescent="0.25">
      <c r="A164" s="25" t="s">
        <v>3501</v>
      </c>
      <c r="B164" s="26">
        <v>17</v>
      </c>
      <c r="C164" s="26">
        <v>10</v>
      </c>
      <c r="D164" s="25" t="s">
        <v>3502</v>
      </c>
      <c r="E164" s="27"/>
      <c r="F164" s="28">
        <v>5.4</v>
      </c>
      <c r="G164" s="29">
        <f t="shared" si="4"/>
        <v>0.54</v>
      </c>
      <c r="H164" s="30" t="s">
        <v>3514</v>
      </c>
      <c r="I164" s="30" t="s">
        <v>3515</v>
      </c>
      <c r="J164" s="31"/>
      <c r="K164" s="32"/>
      <c r="L164" s="76" t="str">
        <f t="shared" si="5"/>
        <v/>
      </c>
    </row>
    <row r="165" spans="1:12" x14ac:dyDescent="0.25">
      <c r="A165" s="25" t="s">
        <v>262</v>
      </c>
      <c r="B165" s="26">
        <v>0</v>
      </c>
      <c r="C165" s="26">
        <v>10</v>
      </c>
      <c r="D165" s="25" t="s">
        <v>263</v>
      </c>
      <c r="E165" s="27"/>
      <c r="F165" s="28">
        <v>3.5</v>
      </c>
      <c r="G165" s="29">
        <f t="shared" si="4"/>
        <v>0.35</v>
      </c>
      <c r="H165" s="30" t="s">
        <v>277</v>
      </c>
      <c r="I165" s="30" t="s">
        <v>278</v>
      </c>
      <c r="J165" s="31"/>
      <c r="K165" s="49"/>
      <c r="L165" s="76" t="str">
        <f t="shared" si="5"/>
        <v/>
      </c>
    </row>
    <row r="166" spans="1:12" x14ac:dyDescent="0.25">
      <c r="A166" s="25" t="s">
        <v>3362</v>
      </c>
      <c r="B166" s="26">
        <v>78</v>
      </c>
      <c r="C166" s="26">
        <v>8</v>
      </c>
      <c r="D166" s="25" t="s">
        <v>3364</v>
      </c>
      <c r="E166" s="27"/>
      <c r="F166" s="28">
        <v>18</v>
      </c>
      <c r="G166" s="29">
        <f t="shared" si="4"/>
        <v>2.25</v>
      </c>
      <c r="H166" s="30" t="s">
        <v>3366</v>
      </c>
      <c r="I166" s="30" t="s">
        <v>3483</v>
      </c>
      <c r="J166" s="31"/>
      <c r="K166" s="49"/>
      <c r="L166" s="76" t="str">
        <f t="shared" si="5"/>
        <v/>
      </c>
    </row>
    <row r="167" spans="1:12" x14ac:dyDescent="0.25">
      <c r="A167" s="25" t="s">
        <v>3363</v>
      </c>
      <c r="B167" s="26">
        <v>83</v>
      </c>
      <c r="C167" s="26">
        <v>8</v>
      </c>
      <c r="D167" s="25" t="s">
        <v>3365</v>
      </c>
      <c r="E167" s="27"/>
      <c r="F167" s="28">
        <v>18</v>
      </c>
      <c r="G167" s="29">
        <f t="shared" si="4"/>
        <v>2.25</v>
      </c>
      <c r="H167" s="30" t="s">
        <v>3503</v>
      </c>
      <c r="I167" s="30" t="s">
        <v>3484</v>
      </c>
      <c r="J167" s="31"/>
      <c r="K167" s="49"/>
      <c r="L167" s="76" t="str">
        <f t="shared" si="5"/>
        <v/>
      </c>
    </row>
    <row r="168" spans="1:12" x14ac:dyDescent="0.25">
      <c r="A168" s="25" t="s">
        <v>1706</v>
      </c>
      <c r="B168" s="26">
        <v>9</v>
      </c>
      <c r="C168" s="26">
        <v>6</v>
      </c>
      <c r="D168" s="25" t="s">
        <v>1707</v>
      </c>
      <c r="E168" s="27"/>
      <c r="F168" s="28">
        <v>4.2</v>
      </c>
      <c r="G168" s="29">
        <f t="shared" si="4"/>
        <v>0.70000000000000007</v>
      </c>
      <c r="H168" s="30" t="s">
        <v>1746</v>
      </c>
      <c r="I168" s="30" t="s">
        <v>1747</v>
      </c>
      <c r="J168" s="31">
        <v>640</v>
      </c>
      <c r="K168" s="49">
        <v>64</v>
      </c>
      <c r="L168" s="76" t="str">
        <f t="shared" si="5"/>
        <v/>
      </c>
    </row>
    <row r="169" spans="1:12" x14ac:dyDescent="0.25">
      <c r="A169" s="25" t="s">
        <v>1179</v>
      </c>
      <c r="B169" s="26">
        <v>87</v>
      </c>
      <c r="C169" s="26">
        <v>6</v>
      </c>
      <c r="D169" s="25" t="s">
        <v>1180</v>
      </c>
      <c r="E169" s="27"/>
      <c r="F169" s="28">
        <v>3.84</v>
      </c>
      <c r="G169" s="29">
        <f t="shared" si="4"/>
        <v>0.64</v>
      </c>
      <c r="H169" s="30" t="s">
        <v>1183</v>
      </c>
      <c r="I169" s="30" t="s">
        <v>1184</v>
      </c>
      <c r="J169" s="31">
        <v>312</v>
      </c>
      <c r="K169" s="49">
        <v>52</v>
      </c>
      <c r="L169" s="76" t="str">
        <f t="shared" si="5"/>
        <v/>
      </c>
    </row>
    <row r="170" spans="1:12" x14ac:dyDescent="0.25">
      <c r="A170" s="25" t="s">
        <v>641</v>
      </c>
      <c r="B170" s="26">
        <v>66</v>
      </c>
      <c r="C170" s="26">
        <v>6</v>
      </c>
      <c r="D170" s="25" t="s">
        <v>642</v>
      </c>
      <c r="E170" s="27"/>
      <c r="F170" s="28">
        <v>3.84</v>
      </c>
      <c r="G170" s="29">
        <f t="shared" si="4"/>
        <v>0.64</v>
      </c>
      <c r="H170" s="30" t="s">
        <v>643</v>
      </c>
      <c r="I170" s="30" t="s">
        <v>1185</v>
      </c>
      <c r="J170" s="31">
        <v>312</v>
      </c>
      <c r="K170" s="49">
        <v>52</v>
      </c>
      <c r="L170" s="76" t="str">
        <f t="shared" si="5"/>
        <v/>
      </c>
    </row>
    <row r="171" spans="1:12" x14ac:dyDescent="0.25">
      <c r="A171" s="25" t="s">
        <v>3472</v>
      </c>
      <c r="B171" s="26">
        <v>51</v>
      </c>
      <c r="C171" s="26">
        <v>12</v>
      </c>
      <c r="D171" s="25" t="s">
        <v>3473</v>
      </c>
      <c r="E171" s="27"/>
      <c r="F171" s="28">
        <v>7.2</v>
      </c>
      <c r="G171" s="29">
        <f t="shared" si="4"/>
        <v>0.6</v>
      </c>
      <c r="H171" s="30" t="s">
        <v>3477</v>
      </c>
      <c r="I171" s="30" t="s">
        <v>3478</v>
      </c>
      <c r="J171" s="31"/>
      <c r="K171" s="49"/>
      <c r="L171" s="76" t="str">
        <f t="shared" si="5"/>
        <v/>
      </c>
    </row>
    <row r="172" spans="1:12" x14ac:dyDescent="0.25">
      <c r="A172" s="25" t="s">
        <v>3063</v>
      </c>
      <c r="B172" s="26">
        <v>165</v>
      </c>
      <c r="C172" s="26">
        <v>6</v>
      </c>
      <c r="D172" s="25" t="s">
        <v>3064</v>
      </c>
      <c r="E172" s="27"/>
      <c r="F172" s="33">
        <v>12.8</v>
      </c>
      <c r="G172" s="34">
        <f t="shared" si="4"/>
        <v>2.1333333333333333</v>
      </c>
      <c r="H172" s="62" t="s">
        <v>3164</v>
      </c>
      <c r="I172" s="62" t="s">
        <v>3163</v>
      </c>
      <c r="J172" s="31">
        <v>424</v>
      </c>
      <c r="K172" s="37"/>
      <c r="L172" s="77" t="str">
        <f t="shared" si="5"/>
        <v/>
      </c>
    </row>
    <row r="173" spans="1:12" x14ac:dyDescent="0.25">
      <c r="A173" s="25" t="s">
        <v>3061</v>
      </c>
      <c r="B173" s="26">
        <v>67</v>
      </c>
      <c r="C173" s="26">
        <v>6</v>
      </c>
      <c r="D173" s="25" t="s">
        <v>3062</v>
      </c>
      <c r="E173" s="27"/>
      <c r="F173" s="33">
        <v>16.8</v>
      </c>
      <c r="G173" s="34">
        <f t="shared" si="4"/>
        <v>2.8000000000000003</v>
      </c>
      <c r="H173" s="62" t="s">
        <v>3166</v>
      </c>
      <c r="I173" s="62" t="s">
        <v>3165</v>
      </c>
      <c r="J173" s="31">
        <v>252</v>
      </c>
      <c r="K173" s="32">
        <v>42</v>
      </c>
      <c r="L173" s="77" t="str">
        <f t="shared" si="5"/>
        <v/>
      </c>
    </row>
    <row r="174" spans="1:12" x14ac:dyDescent="0.25">
      <c r="A174" s="36" t="s">
        <v>1205</v>
      </c>
      <c r="B174" s="54">
        <v>6</v>
      </c>
      <c r="C174" s="53">
        <v>24</v>
      </c>
      <c r="D174" s="36" t="s">
        <v>1206</v>
      </c>
      <c r="E174" s="27"/>
      <c r="F174" s="28">
        <v>14.4</v>
      </c>
      <c r="G174" s="29">
        <f t="shared" si="4"/>
        <v>0.6</v>
      </c>
      <c r="H174" s="56" t="s">
        <v>1207</v>
      </c>
      <c r="I174" s="56" t="s">
        <v>1208</v>
      </c>
      <c r="J174" s="54">
        <v>80</v>
      </c>
      <c r="K174" s="32">
        <v>16</v>
      </c>
      <c r="L174" s="77" t="str">
        <f t="shared" si="5"/>
        <v/>
      </c>
    </row>
    <row r="175" spans="1:12" x14ac:dyDescent="0.25">
      <c r="A175" s="25" t="s">
        <v>3551</v>
      </c>
      <c r="B175" s="26">
        <v>162</v>
      </c>
      <c r="C175" s="26">
        <v>9</v>
      </c>
      <c r="D175" s="25" t="s">
        <v>3552</v>
      </c>
      <c r="E175" s="31"/>
      <c r="F175" s="28">
        <v>7.65</v>
      </c>
      <c r="G175" s="28">
        <f t="shared" si="4"/>
        <v>0.85000000000000009</v>
      </c>
      <c r="H175" s="30" t="s">
        <v>3553</v>
      </c>
      <c r="I175" s="30" t="s">
        <v>3554</v>
      </c>
      <c r="J175" s="31">
        <v>120</v>
      </c>
      <c r="K175" s="49">
        <v>24</v>
      </c>
      <c r="L175" s="76" t="str">
        <f t="shared" si="5"/>
        <v/>
      </c>
    </row>
    <row r="176" spans="1:12" x14ac:dyDescent="0.25">
      <c r="A176" s="25" t="s">
        <v>3555</v>
      </c>
      <c r="B176" s="26">
        <v>168</v>
      </c>
      <c r="C176" s="26">
        <v>9</v>
      </c>
      <c r="D176" s="25" t="s">
        <v>3556</v>
      </c>
      <c r="E176" s="31"/>
      <c r="F176" s="28">
        <v>7.65</v>
      </c>
      <c r="G176" s="28">
        <f t="shared" si="4"/>
        <v>0.85000000000000009</v>
      </c>
      <c r="H176" s="30" t="s">
        <v>3557</v>
      </c>
      <c r="I176" s="30" t="s">
        <v>3558</v>
      </c>
      <c r="J176" s="31">
        <v>120</v>
      </c>
      <c r="K176" s="49">
        <v>24</v>
      </c>
      <c r="L176" s="76" t="str">
        <f t="shared" si="5"/>
        <v/>
      </c>
    </row>
    <row r="177" spans="1:12" x14ac:dyDescent="0.25">
      <c r="A177" s="25" t="s">
        <v>3559</v>
      </c>
      <c r="B177" s="26">
        <v>177</v>
      </c>
      <c r="C177" s="26">
        <v>9</v>
      </c>
      <c r="D177" s="25" t="s">
        <v>3713</v>
      </c>
      <c r="E177" s="31"/>
      <c r="F177" s="28">
        <v>7.65</v>
      </c>
      <c r="G177" s="28">
        <f t="shared" si="4"/>
        <v>0.85000000000000009</v>
      </c>
      <c r="H177" s="30" t="s">
        <v>3563</v>
      </c>
      <c r="I177" s="30" t="s">
        <v>3562</v>
      </c>
      <c r="J177" s="31">
        <v>120</v>
      </c>
      <c r="K177" s="49">
        <v>24</v>
      </c>
      <c r="L177" s="76" t="str">
        <f t="shared" si="5"/>
        <v/>
      </c>
    </row>
    <row r="178" spans="1:12" x14ac:dyDescent="0.25">
      <c r="A178" s="25" t="s">
        <v>946</v>
      </c>
      <c r="B178" s="26">
        <v>192</v>
      </c>
      <c r="C178" s="26">
        <v>12</v>
      </c>
      <c r="D178" s="25" t="s">
        <v>947</v>
      </c>
      <c r="E178" s="31"/>
      <c r="F178" s="28">
        <v>26.3</v>
      </c>
      <c r="G178" s="28">
        <f t="shared" si="4"/>
        <v>2.1916666666666669</v>
      </c>
      <c r="H178" s="30" t="s">
        <v>948</v>
      </c>
      <c r="I178" s="30" t="s">
        <v>949</v>
      </c>
      <c r="J178" s="31">
        <v>390</v>
      </c>
      <c r="K178" s="32">
        <v>39</v>
      </c>
      <c r="L178" s="76" t="str">
        <f t="shared" si="5"/>
        <v/>
      </c>
    </row>
    <row r="179" spans="1:12" x14ac:dyDescent="0.25">
      <c r="A179" s="25" t="s">
        <v>3132</v>
      </c>
      <c r="B179" s="26">
        <v>148</v>
      </c>
      <c r="C179" s="26">
        <v>12</v>
      </c>
      <c r="D179" s="25" t="s">
        <v>3133</v>
      </c>
      <c r="E179" s="31"/>
      <c r="F179" s="33">
        <v>23.4</v>
      </c>
      <c r="G179" s="33">
        <f t="shared" si="4"/>
        <v>1.95</v>
      </c>
      <c r="H179" s="30" t="s">
        <v>3134</v>
      </c>
      <c r="I179" s="30" t="s">
        <v>3135</v>
      </c>
      <c r="J179" s="31">
        <v>68</v>
      </c>
      <c r="K179" s="32">
        <v>408</v>
      </c>
      <c r="L179" s="76" t="str">
        <f t="shared" si="5"/>
        <v/>
      </c>
    </row>
    <row r="180" spans="1:12" x14ac:dyDescent="0.25">
      <c r="A180" s="25" t="s">
        <v>2108</v>
      </c>
      <c r="B180" s="26">
        <v>1151</v>
      </c>
      <c r="C180" s="26">
        <v>6</v>
      </c>
      <c r="D180" s="25" t="s">
        <v>2109</v>
      </c>
      <c r="E180" s="31"/>
      <c r="F180" s="28">
        <v>6.72</v>
      </c>
      <c r="G180" s="29">
        <f t="shared" si="4"/>
        <v>1.1199999999999999</v>
      </c>
      <c r="H180" s="30" t="s">
        <v>2110</v>
      </c>
      <c r="I180" s="30" t="s">
        <v>2111</v>
      </c>
      <c r="J180" s="31"/>
      <c r="K180" s="32"/>
      <c r="L180" s="76" t="str">
        <f t="shared" si="5"/>
        <v/>
      </c>
    </row>
    <row r="181" spans="1:12" x14ac:dyDescent="0.25">
      <c r="A181" s="25" t="s">
        <v>2112</v>
      </c>
      <c r="B181" s="26">
        <v>997</v>
      </c>
      <c r="C181" s="26">
        <v>6</v>
      </c>
      <c r="D181" s="25" t="s">
        <v>2113</v>
      </c>
      <c r="E181" s="27"/>
      <c r="F181" s="28">
        <v>12.75</v>
      </c>
      <c r="G181" s="29">
        <f t="shared" si="4"/>
        <v>2.125</v>
      </c>
      <c r="H181" s="30" t="s">
        <v>2114</v>
      </c>
      <c r="I181" s="30" t="s">
        <v>2115</v>
      </c>
      <c r="J181" s="31">
        <v>504</v>
      </c>
      <c r="K181" s="32">
        <v>168</v>
      </c>
      <c r="L181" s="76" t="str">
        <f t="shared" si="5"/>
        <v/>
      </c>
    </row>
    <row r="182" spans="1:12" x14ac:dyDescent="0.25">
      <c r="A182" s="25" t="s">
        <v>3719</v>
      </c>
      <c r="B182" s="26">
        <v>210</v>
      </c>
      <c r="C182" s="26">
        <v>6</v>
      </c>
      <c r="D182" s="25" t="s">
        <v>3718</v>
      </c>
      <c r="E182" s="27"/>
      <c r="F182" s="33">
        <v>7.8</v>
      </c>
      <c r="G182" s="34">
        <f t="shared" si="4"/>
        <v>1.3</v>
      </c>
      <c r="H182" s="30" t="s">
        <v>3958</v>
      </c>
      <c r="I182" s="30" t="s">
        <v>3959</v>
      </c>
      <c r="J182" s="31">
        <v>648</v>
      </c>
      <c r="K182" s="32">
        <v>216</v>
      </c>
      <c r="L182" s="76" t="str">
        <f t="shared" si="5"/>
        <v/>
      </c>
    </row>
    <row r="183" spans="1:12" x14ac:dyDescent="0.25">
      <c r="A183" s="25" t="s">
        <v>2116</v>
      </c>
      <c r="B183" s="26">
        <v>1328</v>
      </c>
      <c r="C183" s="26">
        <v>6</v>
      </c>
      <c r="D183" s="25" t="s">
        <v>2117</v>
      </c>
      <c r="E183" s="27"/>
      <c r="F183" s="28">
        <v>10.95</v>
      </c>
      <c r="G183" s="29">
        <f t="shared" si="4"/>
        <v>1.825</v>
      </c>
      <c r="H183" s="30" t="s">
        <v>2118</v>
      </c>
      <c r="I183" s="30" t="s">
        <v>2119</v>
      </c>
      <c r="J183" s="31">
        <v>816</v>
      </c>
      <c r="K183" s="32">
        <v>204</v>
      </c>
      <c r="L183" s="76" t="str">
        <f t="shared" si="5"/>
        <v/>
      </c>
    </row>
    <row r="184" spans="1:12" x14ac:dyDescent="0.25">
      <c r="A184" s="25" t="s">
        <v>165</v>
      </c>
      <c r="B184" s="26">
        <v>1368</v>
      </c>
      <c r="C184" s="26">
        <v>6</v>
      </c>
      <c r="D184" s="25" t="s">
        <v>73</v>
      </c>
      <c r="E184" s="27"/>
      <c r="F184" s="28">
        <v>13.4</v>
      </c>
      <c r="G184" s="29">
        <f t="shared" ref="G184:G247" si="6">F184/C184</f>
        <v>2.2333333333333334</v>
      </c>
      <c r="H184" s="30" t="s">
        <v>74</v>
      </c>
      <c r="I184" s="30" t="s">
        <v>75</v>
      </c>
      <c r="J184" s="31">
        <v>504</v>
      </c>
      <c r="K184" s="32">
        <v>168</v>
      </c>
      <c r="L184" s="76" t="str">
        <f t="shared" ref="L184:L247" si="7">IF(E184,E184*F184,"")</f>
        <v/>
      </c>
    </row>
    <row r="185" spans="1:12" x14ac:dyDescent="0.25">
      <c r="A185" s="25" t="s">
        <v>686</v>
      </c>
      <c r="B185" s="26">
        <v>25</v>
      </c>
      <c r="C185" s="26">
        <v>12</v>
      </c>
      <c r="D185" s="25" t="s">
        <v>682</v>
      </c>
      <c r="E185" s="27"/>
      <c r="F185" s="28">
        <v>16.399999999999999</v>
      </c>
      <c r="G185" s="28">
        <f t="shared" si="6"/>
        <v>1.3666666666666665</v>
      </c>
      <c r="H185" s="30" t="s">
        <v>704</v>
      </c>
      <c r="I185" s="30" t="s">
        <v>706</v>
      </c>
      <c r="J185" s="31">
        <v>192</v>
      </c>
      <c r="K185" s="32">
        <v>24</v>
      </c>
      <c r="L185" s="76" t="str">
        <f t="shared" si="7"/>
        <v/>
      </c>
    </row>
    <row r="186" spans="1:12" x14ac:dyDescent="0.25">
      <c r="A186" s="25" t="s">
        <v>688</v>
      </c>
      <c r="B186" s="26">
        <v>13</v>
      </c>
      <c r="C186" s="26">
        <v>12</v>
      </c>
      <c r="D186" s="25" t="s">
        <v>683</v>
      </c>
      <c r="E186" s="27"/>
      <c r="F186" s="28">
        <v>16.399999999999999</v>
      </c>
      <c r="G186" s="28">
        <f t="shared" si="6"/>
        <v>1.3666666666666665</v>
      </c>
      <c r="H186" s="30" t="s">
        <v>697</v>
      </c>
      <c r="I186" s="30" t="s">
        <v>700</v>
      </c>
      <c r="J186" s="31">
        <v>192</v>
      </c>
      <c r="K186" s="32">
        <v>24</v>
      </c>
      <c r="L186" s="76" t="str">
        <f t="shared" si="7"/>
        <v/>
      </c>
    </row>
    <row r="187" spans="1:12" x14ac:dyDescent="0.25">
      <c r="A187" s="25" t="s">
        <v>687</v>
      </c>
      <c r="B187" s="26">
        <v>21</v>
      </c>
      <c r="C187" s="26">
        <v>12</v>
      </c>
      <c r="D187" s="25" t="s">
        <v>684</v>
      </c>
      <c r="E187" s="27"/>
      <c r="F187" s="28">
        <v>16.399999999999999</v>
      </c>
      <c r="G187" s="28">
        <f t="shared" si="6"/>
        <v>1.3666666666666665</v>
      </c>
      <c r="H187" s="30" t="s">
        <v>698</v>
      </c>
      <c r="I187" s="30" t="s">
        <v>699</v>
      </c>
      <c r="J187" s="31">
        <v>192</v>
      </c>
      <c r="K187" s="32">
        <v>24</v>
      </c>
      <c r="L187" s="76" t="str">
        <f t="shared" si="7"/>
        <v/>
      </c>
    </row>
    <row r="188" spans="1:12" x14ac:dyDescent="0.25">
      <c r="A188" s="25" t="s">
        <v>2183</v>
      </c>
      <c r="B188" s="26">
        <v>90</v>
      </c>
      <c r="C188" s="26">
        <v>12</v>
      </c>
      <c r="D188" s="25" t="s">
        <v>2184</v>
      </c>
      <c r="E188" s="27"/>
      <c r="F188" s="28">
        <v>16.399999999999999</v>
      </c>
      <c r="G188" s="29">
        <f t="shared" si="6"/>
        <v>1.3666666666666665</v>
      </c>
      <c r="H188" s="30" t="s">
        <v>2185</v>
      </c>
      <c r="I188" s="30" t="s">
        <v>2186</v>
      </c>
      <c r="J188" s="31">
        <v>192</v>
      </c>
      <c r="K188" s="32">
        <v>24</v>
      </c>
      <c r="L188" s="76" t="str">
        <f t="shared" si="7"/>
        <v/>
      </c>
    </row>
    <row r="189" spans="1:12" x14ac:dyDescent="0.25">
      <c r="A189" s="25" t="s">
        <v>689</v>
      </c>
      <c r="B189" s="26">
        <v>9</v>
      </c>
      <c r="C189" s="26">
        <v>12</v>
      </c>
      <c r="D189" s="25" t="s">
        <v>685</v>
      </c>
      <c r="E189" s="27"/>
      <c r="F189" s="28">
        <v>16.399999999999999</v>
      </c>
      <c r="G189" s="28">
        <f t="shared" si="6"/>
        <v>1.3666666666666665</v>
      </c>
      <c r="H189" s="30" t="s">
        <v>696</v>
      </c>
      <c r="I189" s="30" t="s">
        <v>701</v>
      </c>
      <c r="J189" s="31">
        <v>192</v>
      </c>
      <c r="K189" s="32">
        <v>24</v>
      </c>
      <c r="L189" s="76" t="str">
        <f t="shared" si="7"/>
        <v/>
      </c>
    </row>
    <row r="190" spans="1:12" x14ac:dyDescent="0.25">
      <c r="A190" s="25" t="s">
        <v>2191</v>
      </c>
      <c r="B190" s="26">
        <v>93</v>
      </c>
      <c r="C190" s="26">
        <v>12</v>
      </c>
      <c r="D190" s="25" t="s">
        <v>2192</v>
      </c>
      <c r="E190" s="27"/>
      <c r="F190" s="28">
        <v>16.399999999999999</v>
      </c>
      <c r="G190" s="28">
        <f t="shared" si="6"/>
        <v>1.3666666666666665</v>
      </c>
      <c r="H190" s="30" t="s">
        <v>2193</v>
      </c>
      <c r="I190" s="30" t="s">
        <v>2194</v>
      </c>
      <c r="J190" s="31">
        <v>192</v>
      </c>
      <c r="K190" s="32">
        <v>24</v>
      </c>
      <c r="L190" s="76" t="str">
        <f t="shared" si="7"/>
        <v/>
      </c>
    </row>
    <row r="191" spans="1:12" x14ac:dyDescent="0.25">
      <c r="A191" s="25" t="s">
        <v>2187</v>
      </c>
      <c r="B191" s="26">
        <v>5</v>
      </c>
      <c r="C191" s="26">
        <v>12</v>
      </c>
      <c r="D191" s="25" t="s">
        <v>2188</v>
      </c>
      <c r="E191" s="31"/>
      <c r="F191" s="28">
        <v>16.399999999999999</v>
      </c>
      <c r="G191" s="28">
        <f t="shared" si="6"/>
        <v>1.3666666666666665</v>
      </c>
      <c r="H191" s="30" t="s">
        <v>2189</v>
      </c>
      <c r="I191" s="30" t="s">
        <v>2190</v>
      </c>
      <c r="J191" s="31">
        <v>192</v>
      </c>
      <c r="K191" s="32">
        <v>24</v>
      </c>
      <c r="L191" s="76" t="str">
        <f t="shared" si="7"/>
        <v/>
      </c>
    </row>
    <row r="192" spans="1:12" x14ac:dyDescent="0.25">
      <c r="A192" s="25" t="s">
        <v>2551</v>
      </c>
      <c r="B192" s="26">
        <v>66</v>
      </c>
      <c r="C192" s="26">
        <v>20</v>
      </c>
      <c r="D192" s="25" t="s">
        <v>2552</v>
      </c>
      <c r="E192" s="31"/>
      <c r="F192" s="28">
        <v>13.9</v>
      </c>
      <c r="G192" s="28">
        <f t="shared" si="6"/>
        <v>0.69500000000000006</v>
      </c>
      <c r="H192" s="30" t="s">
        <v>2570</v>
      </c>
      <c r="I192" s="30" t="s">
        <v>2575</v>
      </c>
      <c r="J192" s="31"/>
      <c r="K192" s="49"/>
      <c r="L192" s="76" t="str">
        <f t="shared" si="7"/>
        <v/>
      </c>
    </row>
    <row r="193" spans="1:12" x14ac:dyDescent="0.25">
      <c r="A193" s="25" t="s">
        <v>3527</v>
      </c>
      <c r="B193" s="26">
        <v>38</v>
      </c>
      <c r="C193" s="26">
        <v>12</v>
      </c>
      <c r="D193" s="25" t="s">
        <v>3528</v>
      </c>
      <c r="E193" s="31"/>
      <c r="F193" s="33">
        <v>18.8</v>
      </c>
      <c r="G193" s="33">
        <f t="shared" si="6"/>
        <v>1.5666666666666667</v>
      </c>
      <c r="H193" s="30" t="s">
        <v>3529</v>
      </c>
      <c r="I193" s="30" t="s">
        <v>3530</v>
      </c>
      <c r="J193" s="31">
        <v>180</v>
      </c>
      <c r="K193" s="32">
        <v>30</v>
      </c>
      <c r="L193" s="77" t="str">
        <f t="shared" si="7"/>
        <v/>
      </c>
    </row>
    <row r="194" spans="1:12" x14ac:dyDescent="0.25">
      <c r="A194" s="36" t="s">
        <v>365</v>
      </c>
      <c r="B194" s="54">
        <v>828</v>
      </c>
      <c r="C194" s="53">
        <v>12</v>
      </c>
      <c r="D194" s="36" t="s">
        <v>355</v>
      </c>
      <c r="E194" s="27"/>
      <c r="F194" s="64">
        <v>27</v>
      </c>
      <c r="G194" s="29">
        <f t="shared" si="6"/>
        <v>2.25</v>
      </c>
      <c r="H194" s="56" t="s">
        <v>356</v>
      </c>
      <c r="I194" s="56" t="s">
        <v>812</v>
      </c>
      <c r="J194" s="54">
        <v>85</v>
      </c>
      <c r="K194" s="32">
        <v>17</v>
      </c>
      <c r="L194" s="76" t="str">
        <f t="shared" si="7"/>
        <v/>
      </c>
    </row>
    <row r="195" spans="1:12" x14ac:dyDescent="0.25">
      <c r="A195" s="36" t="s">
        <v>357</v>
      </c>
      <c r="B195" s="54">
        <v>2321</v>
      </c>
      <c r="C195" s="53">
        <v>6</v>
      </c>
      <c r="D195" s="36" t="s">
        <v>358</v>
      </c>
      <c r="E195" s="27"/>
      <c r="F195" s="64">
        <v>16.399999999999999</v>
      </c>
      <c r="G195" s="29">
        <f t="shared" si="6"/>
        <v>2.7333333333333329</v>
      </c>
      <c r="H195" s="56" t="s">
        <v>359</v>
      </c>
      <c r="I195" s="56" t="s">
        <v>1140</v>
      </c>
      <c r="J195" s="54">
        <v>104</v>
      </c>
      <c r="K195" s="32">
        <v>26</v>
      </c>
      <c r="L195" s="76" t="str">
        <f t="shared" si="7"/>
        <v/>
      </c>
    </row>
    <row r="196" spans="1:12" x14ac:dyDescent="0.25">
      <c r="A196" s="25" t="s">
        <v>166</v>
      </c>
      <c r="B196" s="26">
        <v>2432</v>
      </c>
      <c r="C196" s="26">
        <v>6</v>
      </c>
      <c r="D196" s="25" t="s">
        <v>87</v>
      </c>
      <c r="E196" s="27"/>
      <c r="F196" s="28">
        <v>6.6</v>
      </c>
      <c r="G196" s="29">
        <f t="shared" si="6"/>
        <v>1.0999999999999999</v>
      </c>
      <c r="H196" s="30" t="s">
        <v>88</v>
      </c>
      <c r="I196" s="30" t="s">
        <v>89</v>
      </c>
      <c r="J196" s="31">
        <v>370</v>
      </c>
      <c r="K196" s="32">
        <v>37</v>
      </c>
      <c r="L196" s="76" t="str">
        <f t="shared" si="7"/>
        <v/>
      </c>
    </row>
    <row r="197" spans="1:12" x14ac:dyDescent="0.25">
      <c r="A197" s="25" t="s">
        <v>3308</v>
      </c>
      <c r="B197" s="26">
        <v>33</v>
      </c>
      <c r="C197" s="26">
        <v>24</v>
      </c>
      <c r="D197" s="25" t="s">
        <v>3309</v>
      </c>
      <c r="E197" s="27"/>
      <c r="F197" s="28">
        <v>26.5</v>
      </c>
      <c r="G197" s="29">
        <f t="shared" si="6"/>
        <v>1.1041666666666667</v>
      </c>
      <c r="H197" s="30" t="s">
        <v>3327</v>
      </c>
      <c r="I197" s="30" t="s">
        <v>3310</v>
      </c>
      <c r="J197" s="31">
        <v>133</v>
      </c>
      <c r="K197" s="32">
        <v>19</v>
      </c>
      <c r="L197" s="76" t="str">
        <f t="shared" si="7"/>
        <v/>
      </c>
    </row>
    <row r="198" spans="1:12" x14ac:dyDescent="0.25">
      <c r="A198" s="25" t="s">
        <v>1406</v>
      </c>
      <c r="B198" s="26">
        <v>330</v>
      </c>
      <c r="C198" s="26">
        <v>12</v>
      </c>
      <c r="D198" s="25" t="s">
        <v>1407</v>
      </c>
      <c r="E198" s="27"/>
      <c r="F198" s="28">
        <v>26.5</v>
      </c>
      <c r="G198" s="28">
        <f t="shared" si="6"/>
        <v>2.2083333333333335</v>
      </c>
      <c r="H198" s="30" t="s">
        <v>1408</v>
      </c>
      <c r="I198" s="30" t="s">
        <v>1409</v>
      </c>
      <c r="J198" s="31">
        <v>133</v>
      </c>
      <c r="K198" s="53">
        <v>19</v>
      </c>
      <c r="L198" s="77" t="str">
        <f t="shared" si="7"/>
        <v/>
      </c>
    </row>
    <row r="199" spans="1:12" x14ac:dyDescent="0.25">
      <c r="A199" s="25" t="s">
        <v>3232</v>
      </c>
      <c r="B199" s="26">
        <v>215</v>
      </c>
      <c r="C199" s="26">
        <v>8</v>
      </c>
      <c r="D199" s="25" t="s">
        <v>3233</v>
      </c>
      <c r="E199" s="27"/>
      <c r="F199" s="33">
        <v>25.5</v>
      </c>
      <c r="G199" s="34">
        <f t="shared" si="6"/>
        <v>3.1875</v>
      </c>
      <c r="H199" s="30" t="s">
        <v>3234</v>
      </c>
      <c r="I199" s="30" t="s">
        <v>3235</v>
      </c>
      <c r="J199" s="31">
        <v>133</v>
      </c>
      <c r="K199" s="32">
        <v>19</v>
      </c>
      <c r="L199" s="76" t="str">
        <f t="shared" si="7"/>
        <v/>
      </c>
    </row>
    <row r="200" spans="1:12" x14ac:dyDescent="0.25">
      <c r="A200" s="25" t="s">
        <v>3236</v>
      </c>
      <c r="B200" s="26">
        <v>224</v>
      </c>
      <c r="C200" s="26">
        <v>8</v>
      </c>
      <c r="D200" s="25" t="s">
        <v>3237</v>
      </c>
      <c r="E200" s="27"/>
      <c r="F200" s="33">
        <v>25.5</v>
      </c>
      <c r="G200" s="34">
        <f t="shared" si="6"/>
        <v>3.1875</v>
      </c>
      <c r="H200" s="30" t="s">
        <v>3238</v>
      </c>
      <c r="I200" s="30" t="s">
        <v>3239</v>
      </c>
      <c r="J200" s="31">
        <v>133</v>
      </c>
      <c r="K200" s="32">
        <v>19</v>
      </c>
      <c r="L200" s="76" t="str">
        <f t="shared" si="7"/>
        <v/>
      </c>
    </row>
    <row r="201" spans="1:12" x14ac:dyDescent="0.25">
      <c r="A201" s="25" t="s">
        <v>525</v>
      </c>
      <c r="B201" s="26">
        <v>873</v>
      </c>
      <c r="C201" s="26">
        <v>4</v>
      </c>
      <c r="D201" s="25" t="s">
        <v>526</v>
      </c>
      <c r="E201" s="27"/>
      <c r="F201" s="28">
        <v>9.6</v>
      </c>
      <c r="G201" s="29">
        <f t="shared" si="6"/>
        <v>2.4</v>
      </c>
      <c r="H201" s="30" t="s">
        <v>527</v>
      </c>
      <c r="I201" s="30" t="s">
        <v>528</v>
      </c>
      <c r="J201" s="31">
        <v>480</v>
      </c>
      <c r="K201" s="32">
        <v>48</v>
      </c>
      <c r="L201" s="76" t="str">
        <f t="shared" si="7"/>
        <v/>
      </c>
    </row>
    <row r="202" spans="1:12" s="13" customFormat="1" x14ac:dyDescent="0.25">
      <c r="A202" s="25" t="s">
        <v>2421</v>
      </c>
      <c r="B202" s="26">
        <v>580</v>
      </c>
      <c r="C202" s="26">
        <v>6</v>
      </c>
      <c r="D202" s="25" t="s">
        <v>2426</v>
      </c>
      <c r="E202" s="27"/>
      <c r="F202" s="28">
        <v>6</v>
      </c>
      <c r="G202" s="29">
        <f t="shared" si="6"/>
        <v>1</v>
      </c>
      <c r="H202" s="30" t="s">
        <v>2510</v>
      </c>
      <c r="I202" s="30" t="s">
        <v>2511</v>
      </c>
      <c r="J202" s="31">
        <v>360</v>
      </c>
      <c r="K202" s="32">
        <v>45</v>
      </c>
      <c r="L202" s="76" t="str">
        <f t="shared" si="7"/>
        <v/>
      </c>
    </row>
    <row r="203" spans="1:12" s="13" customFormat="1" x14ac:dyDescent="0.25">
      <c r="A203" s="25" t="s">
        <v>2422</v>
      </c>
      <c r="B203" s="26">
        <v>88</v>
      </c>
      <c r="C203" s="26">
        <v>6</v>
      </c>
      <c r="D203" s="25" t="s">
        <v>2427</v>
      </c>
      <c r="E203" s="27"/>
      <c r="F203" s="28">
        <v>6</v>
      </c>
      <c r="G203" s="29">
        <f t="shared" si="6"/>
        <v>1</v>
      </c>
      <c r="H203" s="30" t="s">
        <v>2512</v>
      </c>
      <c r="I203" s="30" t="s">
        <v>2513</v>
      </c>
      <c r="J203" s="31">
        <v>360</v>
      </c>
      <c r="K203" s="32">
        <v>45</v>
      </c>
      <c r="L203" s="76" t="str">
        <f t="shared" si="7"/>
        <v/>
      </c>
    </row>
    <row r="204" spans="1:12" s="13" customFormat="1" x14ac:dyDescent="0.25">
      <c r="A204" s="25" t="s">
        <v>2420</v>
      </c>
      <c r="B204" s="26">
        <v>225</v>
      </c>
      <c r="C204" s="26">
        <v>6</v>
      </c>
      <c r="D204" s="25" t="s">
        <v>2428</v>
      </c>
      <c r="E204" s="27"/>
      <c r="F204" s="28">
        <v>6.75</v>
      </c>
      <c r="G204" s="29">
        <f t="shared" si="6"/>
        <v>1.125</v>
      </c>
      <c r="H204" s="30" t="s">
        <v>2436</v>
      </c>
      <c r="I204" s="30" t="s">
        <v>2439</v>
      </c>
      <c r="J204" s="31">
        <v>408</v>
      </c>
      <c r="K204" s="32">
        <v>51</v>
      </c>
      <c r="L204" s="76" t="str">
        <f t="shared" si="7"/>
        <v/>
      </c>
    </row>
    <row r="205" spans="1:12" x14ac:dyDescent="0.25">
      <c r="A205" s="25" t="s">
        <v>3836</v>
      </c>
      <c r="B205" s="26">
        <v>479</v>
      </c>
      <c r="C205" s="26">
        <v>6</v>
      </c>
      <c r="D205" s="25" t="s">
        <v>3837</v>
      </c>
      <c r="E205" s="31"/>
      <c r="F205" s="33">
        <v>6.75</v>
      </c>
      <c r="G205" s="33">
        <f t="shared" si="6"/>
        <v>1.125</v>
      </c>
      <c r="H205" s="62" t="s">
        <v>3838</v>
      </c>
      <c r="I205" s="62" t="s">
        <v>3839</v>
      </c>
      <c r="J205" s="31">
        <v>492</v>
      </c>
      <c r="K205" s="53">
        <v>51</v>
      </c>
      <c r="L205" s="76" t="str">
        <f t="shared" si="7"/>
        <v/>
      </c>
    </row>
    <row r="206" spans="1:12" s="13" customFormat="1" x14ac:dyDescent="0.25">
      <c r="A206" s="25" t="s">
        <v>2423</v>
      </c>
      <c r="B206" s="26">
        <v>147</v>
      </c>
      <c r="C206" s="26">
        <v>6</v>
      </c>
      <c r="D206" s="25" t="s">
        <v>2429</v>
      </c>
      <c r="E206" s="27"/>
      <c r="F206" s="28">
        <v>10.8</v>
      </c>
      <c r="G206" s="29">
        <f t="shared" si="6"/>
        <v>1.8</v>
      </c>
      <c r="H206" s="30" t="s">
        <v>2440</v>
      </c>
      <c r="I206" s="30" t="s">
        <v>2441</v>
      </c>
      <c r="J206" s="31">
        <v>270</v>
      </c>
      <c r="K206" s="32">
        <v>27</v>
      </c>
      <c r="L206" s="76" t="str">
        <f t="shared" si="7"/>
        <v/>
      </c>
    </row>
    <row r="207" spans="1:12" s="13" customFormat="1" x14ac:dyDescent="0.25">
      <c r="A207" s="25" t="s">
        <v>2425</v>
      </c>
      <c r="B207" s="26">
        <v>214</v>
      </c>
      <c r="C207" s="26">
        <v>6</v>
      </c>
      <c r="D207" s="25" t="s">
        <v>2431</v>
      </c>
      <c r="E207" s="27"/>
      <c r="F207" s="28">
        <v>10.8</v>
      </c>
      <c r="G207" s="29">
        <f t="shared" si="6"/>
        <v>1.8</v>
      </c>
      <c r="H207" s="30" t="s">
        <v>2432</v>
      </c>
      <c r="I207" s="30" t="s">
        <v>2433</v>
      </c>
      <c r="J207" s="31">
        <v>270</v>
      </c>
      <c r="K207" s="32">
        <v>27</v>
      </c>
      <c r="L207" s="76" t="str">
        <f t="shared" si="7"/>
        <v/>
      </c>
    </row>
    <row r="208" spans="1:12" x14ac:dyDescent="0.25">
      <c r="A208" s="25" t="s">
        <v>3385</v>
      </c>
      <c r="B208" s="26">
        <v>244</v>
      </c>
      <c r="C208" s="26">
        <v>6</v>
      </c>
      <c r="D208" s="25" t="s">
        <v>3386</v>
      </c>
      <c r="E208" s="27"/>
      <c r="F208" s="33">
        <v>10.8</v>
      </c>
      <c r="G208" s="34">
        <f t="shared" si="6"/>
        <v>1.8</v>
      </c>
      <c r="H208" s="30" t="s">
        <v>3387</v>
      </c>
      <c r="I208" s="30" t="s">
        <v>3388</v>
      </c>
      <c r="J208" s="31">
        <v>189</v>
      </c>
      <c r="K208" s="32">
        <v>27</v>
      </c>
      <c r="L208" s="76" t="str">
        <f t="shared" si="7"/>
        <v/>
      </c>
    </row>
    <row r="209" spans="1:12" x14ac:dyDescent="0.25">
      <c r="A209" s="25" t="s">
        <v>3389</v>
      </c>
      <c r="B209" s="26">
        <v>375</v>
      </c>
      <c r="C209" s="26">
        <v>6</v>
      </c>
      <c r="D209" s="25" t="s">
        <v>3390</v>
      </c>
      <c r="E209" s="27"/>
      <c r="F209" s="33">
        <v>10.8</v>
      </c>
      <c r="G209" s="34">
        <f t="shared" si="6"/>
        <v>1.8</v>
      </c>
      <c r="H209" s="30" t="s">
        <v>3391</v>
      </c>
      <c r="I209" s="30" t="s">
        <v>3392</v>
      </c>
      <c r="J209" s="31">
        <v>270</v>
      </c>
      <c r="K209" s="32">
        <v>27</v>
      </c>
      <c r="L209" s="76" t="str">
        <f t="shared" si="7"/>
        <v/>
      </c>
    </row>
    <row r="210" spans="1:12" s="13" customFormat="1" x14ac:dyDescent="0.25">
      <c r="A210" s="25" t="s">
        <v>2424</v>
      </c>
      <c r="B210" s="26">
        <v>402</v>
      </c>
      <c r="C210" s="26">
        <v>6</v>
      </c>
      <c r="D210" s="25" t="s">
        <v>2430</v>
      </c>
      <c r="E210" s="27"/>
      <c r="F210" s="28">
        <v>10.8</v>
      </c>
      <c r="G210" s="29">
        <f t="shared" si="6"/>
        <v>1.8</v>
      </c>
      <c r="H210" s="30" t="s">
        <v>2434</v>
      </c>
      <c r="I210" s="30" t="s">
        <v>2435</v>
      </c>
      <c r="J210" s="31">
        <v>270</v>
      </c>
      <c r="K210" s="32">
        <v>27</v>
      </c>
      <c r="L210" s="76" t="str">
        <f t="shared" si="7"/>
        <v/>
      </c>
    </row>
    <row r="211" spans="1:12" s="13" customFormat="1" x14ac:dyDescent="0.25">
      <c r="A211" s="25" t="s">
        <v>3201</v>
      </c>
      <c r="B211" s="26">
        <v>9</v>
      </c>
      <c r="C211" s="26">
        <v>12</v>
      </c>
      <c r="D211" s="25" t="s">
        <v>3202</v>
      </c>
      <c r="E211" s="27"/>
      <c r="F211" s="28">
        <v>8.8000000000000007</v>
      </c>
      <c r="G211" s="29">
        <f t="shared" si="6"/>
        <v>0.73333333333333339</v>
      </c>
      <c r="H211" s="30" t="s">
        <v>3205</v>
      </c>
      <c r="I211" s="30" t="s">
        <v>3207</v>
      </c>
      <c r="J211" s="31">
        <v>80</v>
      </c>
      <c r="K211" s="32">
        <v>20</v>
      </c>
      <c r="L211" s="76" t="str">
        <f t="shared" si="7"/>
        <v/>
      </c>
    </row>
    <row r="212" spans="1:12" s="13" customFormat="1" x14ac:dyDescent="0.25">
      <c r="A212" s="25" t="s">
        <v>3203</v>
      </c>
      <c r="B212" s="26">
        <v>8</v>
      </c>
      <c r="C212" s="26">
        <v>12</v>
      </c>
      <c r="D212" s="25" t="s">
        <v>3204</v>
      </c>
      <c r="E212" s="27"/>
      <c r="F212" s="28">
        <v>8.8000000000000007</v>
      </c>
      <c r="G212" s="29">
        <f t="shared" si="6"/>
        <v>0.73333333333333339</v>
      </c>
      <c r="H212" s="30" t="s">
        <v>3206</v>
      </c>
      <c r="I212" s="30" t="s">
        <v>3208</v>
      </c>
      <c r="J212" s="31">
        <v>80</v>
      </c>
      <c r="K212" s="32">
        <v>20</v>
      </c>
      <c r="L212" s="76" t="str">
        <f t="shared" si="7"/>
        <v/>
      </c>
    </row>
    <row r="213" spans="1:12" x14ac:dyDescent="0.25">
      <c r="A213" s="25" t="s">
        <v>2478</v>
      </c>
      <c r="B213" s="26">
        <v>81</v>
      </c>
      <c r="C213" s="26">
        <v>6</v>
      </c>
      <c r="D213" s="25" t="s">
        <v>2479</v>
      </c>
      <c r="E213" s="27"/>
      <c r="F213" s="28">
        <v>7.4</v>
      </c>
      <c r="G213" s="29">
        <f t="shared" si="6"/>
        <v>1.2333333333333334</v>
      </c>
      <c r="H213" s="30" t="s">
        <v>2480</v>
      </c>
      <c r="I213" s="30" t="s">
        <v>2493</v>
      </c>
      <c r="J213" s="31">
        <v>360</v>
      </c>
      <c r="K213" s="32">
        <v>72</v>
      </c>
      <c r="L213" s="76" t="str">
        <f t="shared" si="7"/>
        <v/>
      </c>
    </row>
    <row r="214" spans="1:12" x14ac:dyDescent="0.25">
      <c r="A214" s="25" t="s">
        <v>2706</v>
      </c>
      <c r="B214" s="26">
        <v>155</v>
      </c>
      <c r="C214" s="26">
        <v>6</v>
      </c>
      <c r="D214" s="25" t="s">
        <v>2732</v>
      </c>
      <c r="E214" s="31"/>
      <c r="F214" s="33">
        <v>7.4</v>
      </c>
      <c r="G214" s="34">
        <f t="shared" si="6"/>
        <v>1.2333333333333334</v>
      </c>
      <c r="H214" s="30" t="s">
        <v>2733</v>
      </c>
      <c r="I214" s="30" t="s">
        <v>2734</v>
      </c>
      <c r="J214" s="31">
        <v>360</v>
      </c>
      <c r="K214" s="53">
        <v>72</v>
      </c>
      <c r="L214" s="76" t="str">
        <f t="shared" si="7"/>
        <v/>
      </c>
    </row>
    <row r="215" spans="1:12" x14ac:dyDescent="0.25">
      <c r="A215" s="25" t="s">
        <v>2237</v>
      </c>
      <c r="B215" s="26">
        <v>6</v>
      </c>
      <c r="C215" s="26">
        <v>6</v>
      </c>
      <c r="D215" s="25" t="s">
        <v>3167</v>
      </c>
      <c r="E215" s="27"/>
      <c r="F215" s="28">
        <v>7.4</v>
      </c>
      <c r="G215" s="29">
        <f t="shared" si="6"/>
        <v>1.2333333333333334</v>
      </c>
      <c r="H215" s="30" t="s">
        <v>2238</v>
      </c>
      <c r="I215" s="30" t="s">
        <v>2239</v>
      </c>
      <c r="J215" s="31">
        <v>360</v>
      </c>
      <c r="K215" s="32">
        <v>72</v>
      </c>
      <c r="L215" s="76" t="str">
        <f t="shared" si="7"/>
        <v/>
      </c>
    </row>
    <row r="216" spans="1:12" x14ac:dyDescent="0.25">
      <c r="A216" s="25" t="s">
        <v>3549</v>
      </c>
      <c r="B216" s="26">
        <v>204</v>
      </c>
      <c r="C216" s="26">
        <v>6</v>
      </c>
      <c r="D216" s="25" t="s">
        <v>3550</v>
      </c>
      <c r="E216" s="27"/>
      <c r="F216" s="28">
        <v>7.4</v>
      </c>
      <c r="G216" s="29">
        <f t="shared" si="6"/>
        <v>1.2333333333333334</v>
      </c>
      <c r="H216" s="30" t="s">
        <v>3561</v>
      </c>
      <c r="I216" s="30" t="s">
        <v>3560</v>
      </c>
      <c r="J216" s="31">
        <v>360</v>
      </c>
      <c r="K216" s="32">
        <v>72</v>
      </c>
      <c r="L216" s="76" t="str">
        <f t="shared" si="7"/>
        <v/>
      </c>
    </row>
    <row r="217" spans="1:12" x14ac:dyDescent="0.25">
      <c r="A217" s="25" t="s">
        <v>2729</v>
      </c>
      <c r="B217" s="26">
        <v>100</v>
      </c>
      <c r="C217" s="26">
        <v>6</v>
      </c>
      <c r="D217" s="25" t="s">
        <v>2707</v>
      </c>
      <c r="E217" s="27"/>
      <c r="F217" s="28">
        <v>7.4</v>
      </c>
      <c r="G217" s="29">
        <f t="shared" si="6"/>
        <v>1.2333333333333334</v>
      </c>
      <c r="H217" s="30" t="s">
        <v>2730</v>
      </c>
      <c r="I217" s="30" t="s">
        <v>2731</v>
      </c>
      <c r="J217" s="31">
        <v>360</v>
      </c>
      <c r="K217" s="32">
        <v>72</v>
      </c>
      <c r="L217" s="76" t="str">
        <f t="shared" si="7"/>
        <v/>
      </c>
    </row>
    <row r="218" spans="1:12" x14ac:dyDescent="0.25">
      <c r="A218" s="25" t="s">
        <v>2240</v>
      </c>
      <c r="B218" s="26">
        <v>62</v>
      </c>
      <c r="C218" s="26">
        <v>6</v>
      </c>
      <c r="D218" s="25" t="s">
        <v>2241</v>
      </c>
      <c r="E218" s="27"/>
      <c r="F218" s="28">
        <v>7.4</v>
      </c>
      <c r="G218" s="29">
        <f t="shared" si="6"/>
        <v>1.2333333333333334</v>
      </c>
      <c r="H218" s="30" t="s">
        <v>2242</v>
      </c>
      <c r="I218" s="30" t="s">
        <v>2243</v>
      </c>
      <c r="J218" s="31">
        <v>320</v>
      </c>
      <c r="K218" s="32">
        <v>80</v>
      </c>
      <c r="L218" s="76" t="str">
        <f t="shared" si="7"/>
        <v/>
      </c>
    </row>
    <row r="219" spans="1:12" x14ac:dyDescent="0.25">
      <c r="A219" s="25" t="s">
        <v>2244</v>
      </c>
      <c r="B219" s="26">
        <v>70</v>
      </c>
      <c r="C219" s="26">
        <v>6</v>
      </c>
      <c r="D219" s="25" t="s">
        <v>2245</v>
      </c>
      <c r="E219" s="27"/>
      <c r="F219" s="28">
        <v>7.4</v>
      </c>
      <c r="G219" s="29">
        <f t="shared" si="6"/>
        <v>1.2333333333333334</v>
      </c>
      <c r="H219" s="30" t="s">
        <v>2246</v>
      </c>
      <c r="I219" s="30" t="s">
        <v>2247</v>
      </c>
      <c r="J219" s="31">
        <v>320</v>
      </c>
      <c r="K219" s="32">
        <v>80</v>
      </c>
      <c r="L219" s="76" t="str">
        <f t="shared" si="7"/>
        <v/>
      </c>
    </row>
    <row r="220" spans="1:12" x14ac:dyDescent="0.25">
      <c r="A220" s="25" t="s">
        <v>3219</v>
      </c>
      <c r="B220" s="26">
        <v>573</v>
      </c>
      <c r="C220" s="26">
        <v>6</v>
      </c>
      <c r="D220" s="25" t="s">
        <v>3220</v>
      </c>
      <c r="E220" s="27"/>
      <c r="F220" s="28">
        <v>6.6</v>
      </c>
      <c r="G220" s="29">
        <f t="shared" si="6"/>
        <v>1.0999999999999999</v>
      </c>
      <c r="H220" s="30" t="s">
        <v>3275</v>
      </c>
      <c r="I220" s="30" t="s">
        <v>3249</v>
      </c>
      <c r="J220" s="31">
        <v>320</v>
      </c>
      <c r="K220" s="32">
        <v>80</v>
      </c>
      <c r="L220" s="76" t="str">
        <f t="shared" si="7"/>
        <v/>
      </c>
    </row>
    <row r="221" spans="1:12" x14ac:dyDescent="0.25">
      <c r="A221" s="25" t="s">
        <v>2617</v>
      </c>
      <c r="B221" s="26">
        <v>25</v>
      </c>
      <c r="C221" s="26">
        <v>6</v>
      </c>
      <c r="D221" s="25" t="s">
        <v>2618</v>
      </c>
      <c r="E221" s="27"/>
      <c r="F221" s="28">
        <v>12</v>
      </c>
      <c r="G221" s="29">
        <f t="shared" si="6"/>
        <v>2</v>
      </c>
      <c r="H221" s="30" t="s">
        <v>2598</v>
      </c>
      <c r="I221" s="30" t="s">
        <v>2599</v>
      </c>
      <c r="J221" s="31">
        <v>200</v>
      </c>
      <c r="K221" s="32">
        <v>40</v>
      </c>
      <c r="L221" s="76" t="str">
        <f t="shared" si="7"/>
        <v/>
      </c>
    </row>
    <row r="222" spans="1:12" x14ac:dyDescent="0.25">
      <c r="A222" s="25" t="s">
        <v>1377</v>
      </c>
      <c r="B222" s="26">
        <v>32</v>
      </c>
      <c r="C222" s="26">
        <v>6</v>
      </c>
      <c r="D222" s="25" t="s">
        <v>1376</v>
      </c>
      <c r="E222" s="27"/>
      <c r="F222" s="28">
        <v>12</v>
      </c>
      <c r="G222" s="29">
        <f t="shared" si="6"/>
        <v>2</v>
      </c>
      <c r="H222" s="30" t="s">
        <v>1378</v>
      </c>
      <c r="I222" s="30" t="s">
        <v>1386</v>
      </c>
      <c r="J222" s="31">
        <v>200</v>
      </c>
      <c r="K222" s="32">
        <v>40</v>
      </c>
      <c r="L222" s="76" t="str">
        <f t="shared" si="7"/>
        <v/>
      </c>
    </row>
    <row r="223" spans="1:12" x14ac:dyDescent="0.25">
      <c r="A223" s="25" t="s">
        <v>2516</v>
      </c>
      <c r="B223" s="26">
        <v>429</v>
      </c>
      <c r="C223" s="26">
        <v>6</v>
      </c>
      <c r="D223" s="25" t="s">
        <v>2517</v>
      </c>
      <c r="E223" s="27"/>
      <c r="F223" s="28">
        <v>12</v>
      </c>
      <c r="G223" s="29">
        <f t="shared" si="6"/>
        <v>2</v>
      </c>
      <c r="H223" s="30" t="s">
        <v>1994</v>
      </c>
      <c r="I223" s="30" t="s">
        <v>1995</v>
      </c>
      <c r="J223" s="31">
        <v>200</v>
      </c>
      <c r="K223" s="32">
        <v>40</v>
      </c>
      <c r="L223" s="76" t="str">
        <f t="shared" si="7"/>
        <v/>
      </c>
    </row>
    <row r="224" spans="1:12" x14ac:dyDescent="0.25">
      <c r="A224" s="25" t="s">
        <v>3447</v>
      </c>
      <c r="B224" s="26">
        <v>28</v>
      </c>
      <c r="C224" s="26">
        <v>6</v>
      </c>
      <c r="D224" s="25" t="s">
        <v>3448</v>
      </c>
      <c r="E224" s="27"/>
      <c r="F224" s="28">
        <v>14.4</v>
      </c>
      <c r="G224" s="29">
        <f t="shared" si="6"/>
        <v>2.4</v>
      </c>
      <c r="H224" s="30" t="s">
        <v>3504</v>
      </c>
      <c r="I224" s="30" t="s">
        <v>3449</v>
      </c>
      <c r="J224" s="31">
        <v>160</v>
      </c>
      <c r="K224" s="32">
        <v>32</v>
      </c>
      <c r="L224" s="76" t="str">
        <f t="shared" si="7"/>
        <v/>
      </c>
    </row>
    <row r="225" spans="1:12" x14ac:dyDescent="0.25">
      <c r="A225" s="25" t="s">
        <v>1423</v>
      </c>
      <c r="B225" s="26">
        <v>604</v>
      </c>
      <c r="C225" s="26">
        <v>6</v>
      </c>
      <c r="D225" s="25" t="s">
        <v>1433</v>
      </c>
      <c r="E225" s="31"/>
      <c r="F225" s="28">
        <v>12</v>
      </c>
      <c r="G225" s="28">
        <f t="shared" si="6"/>
        <v>2</v>
      </c>
      <c r="H225" s="30" t="s">
        <v>1424</v>
      </c>
      <c r="I225" s="30" t="s">
        <v>1425</v>
      </c>
      <c r="J225" s="31">
        <v>200</v>
      </c>
      <c r="K225" s="53">
        <v>40</v>
      </c>
      <c r="L225" s="77" t="str">
        <f t="shared" si="7"/>
        <v/>
      </c>
    </row>
    <row r="226" spans="1:12" x14ac:dyDescent="0.25">
      <c r="A226" s="25" t="s">
        <v>1311</v>
      </c>
      <c r="B226" s="26">
        <v>676</v>
      </c>
      <c r="C226" s="26">
        <v>6</v>
      </c>
      <c r="D226" s="25" t="s">
        <v>1330</v>
      </c>
      <c r="E226" s="27"/>
      <c r="F226" s="28">
        <v>12</v>
      </c>
      <c r="G226" s="29">
        <f t="shared" si="6"/>
        <v>2</v>
      </c>
      <c r="H226" s="30" t="s">
        <v>1312</v>
      </c>
      <c r="I226" s="30" t="s">
        <v>1313</v>
      </c>
      <c r="J226" s="31">
        <v>200</v>
      </c>
      <c r="K226" s="32">
        <v>40</v>
      </c>
      <c r="L226" s="76" t="str">
        <f t="shared" si="7"/>
        <v/>
      </c>
    </row>
    <row r="227" spans="1:12" x14ac:dyDescent="0.25">
      <c r="A227" s="25" t="s">
        <v>1398</v>
      </c>
      <c r="B227" s="26">
        <v>525</v>
      </c>
      <c r="C227" s="26">
        <v>6</v>
      </c>
      <c r="D227" s="25" t="s">
        <v>1399</v>
      </c>
      <c r="E227" s="27"/>
      <c r="F227" s="28">
        <v>12</v>
      </c>
      <c r="G227" s="29">
        <f t="shared" si="6"/>
        <v>2</v>
      </c>
      <c r="H227" s="30" t="s">
        <v>1401</v>
      </c>
      <c r="I227" s="30" t="s">
        <v>1400</v>
      </c>
      <c r="J227" s="31">
        <v>200</v>
      </c>
      <c r="K227" s="32">
        <v>40</v>
      </c>
      <c r="L227" s="76" t="str">
        <f t="shared" si="7"/>
        <v/>
      </c>
    </row>
    <row r="228" spans="1:12" x14ac:dyDescent="0.25">
      <c r="A228" s="25" t="s">
        <v>2792</v>
      </c>
      <c r="B228" s="26">
        <v>199</v>
      </c>
      <c r="C228" s="26">
        <v>6</v>
      </c>
      <c r="D228" s="25" t="s">
        <v>2793</v>
      </c>
      <c r="E228" s="27"/>
      <c r="F228" s="28">
        <v>14.4</v>
      </c>
      <c r="G228" s="29">
        <f t="shared" si="6"/>
        <v>2.4</v>
      </c>
      <c r="H228" s="30" t="s">
        <v>2794</v>
      </c>
      <c r="I228" s="30" t="s">
        <v>2795</v>
      </c>
      <c r="J228" s="31">
        <v>160</v>
      </c>
      <c r="K228" s="32">
        <v>32</v>
      </c>
      <c r="L228" s="76" t="str">
        <f t="shared" si="7"/>
        <v/>
      </c>
    </row>
    <row r="229" spans="1:12" x14ac:dyDescent="0.25">
      <c r="A229" s="25" t="s">
        <v>3705</v>
      </c>
      <c r="B229" s="26">
        <v>159</v>
      </c>
      <c r="C229" s="26">
        <v>6</v>
      </c>
      <c r="D229" s="25" t="s">
        <v>3706</v>
      </c>
      <c r="E229" s="27"/>
      <c r="F229" s="28">
        <v>14.4</v>
      </c>
      <c r="G229" s="29">
        <f t="shared" si="6"/>
        <v>2.4</v>
      </c>
      <c r="H229" s="30" t="s">
        <v>3707</v>
      </c>
      <c r="I229" s="30" t="s">
        <v>3708</v>
      </c>
      <c r="J229" s="31">
        <v>160</v>
      </c>
      <c r="K229" s="32">
        <v>32</v>
      </c>
      <c r="L229" s="76" t="str">
        <f t="shared" si="7"/>
        <v/>
      </c>
    </row>
    <row r="230" spans="1:12" x14ac:dyDescent="0.25">
      <c r="A230" s="25" t="s">
        <v>167</v>
      </c>
      <c r="B230" s="26">
        <v>757</v>
      </c>
      <c r="C230" s="26">
        <v>6</v>
      </c>
      <c r="D230" s="25" t="s">
        <v>132</v>
      </c>
      <c r="E230" s="27"/>
      <c r="F230" s="28">
        <v>6.2</v>
      </c>
      <c r="G230" s="29">
        <f t="shared" si="6"/>
        <v>1.0333333333333334</v>
      </c>
      <c r="H230" s="30" t="s">
        <v>130</v>
      </c>
      <c r="I230" s="30" t="s">
        <v>131</v>
      </c>
      <c r="J230" s="31">
        <v>440</v>
      </c>
      <c r="K230" s="32">
        <v>55</v>
      </c>
      <c r="L230" s="76" t="str">
        <f t="shared" si="7"/>
        <v/>
      </c>
    </row>
    <row r="231" spans="1:12" x14ac:dyDescent="0.25">
      <c r="A231" s="25" t="s">
        <v>605</v>
      </c>
      <c r="B231" s="26">
        <v>397</v>
      </c>
      <c r="C231" s="26">
        <v>6</v>
      </c>
      <c r="D231" s="25" t="s">
        <v>606</v>
      </c>
      <c r="E231" s="27"/>
      <c r="F231" s="28">
        <v>6.2</v>
      </c>
      <c r="G231" s="28">
        <f t="shared" si="6"/>
        <v>1.0333333333333334</v>
      </c>
      <c r="H231" s="30" t="s">
        <v>607</v>
      </c>
      <c r="I231" s="30" t="s">
        <v>608</v>
      </c>
      <c r="J231" s="31">
        <v>440</v>
      </c>
      <c r="K231" s="32">
        <v>55</v>
      </c>
      <c r="L231" s="76" t="str">
        <f t="shared" si="7"/>
        <v/>
      </c>
    </row>
    <row r="232" spans="1:12" x14ac:dyDescent="0.25">
      <c r="A232" s="25" t="s">
        <v>1068</v>
      </c>
      <c r="B232" s="26">
        <v>454</v>
      </c>
      <c r="C232" s="26">
        <v>6</v>
      </c>
      <c r="D232" s="25" t="s">
        <v>1069</v>
      </c>
      <c r="E232" s="27"/>
      <c r="F232" s="28">
        <v>6.2</v>
      </c>
      <c r="G232" s="29">
        <f t="shared" si="6"/>
        <v>1.0333333333333334</v>
      </c>
      <c r="H232" s="65">
        <v>8710447275313</v>
      </c>
      <c r="I232" s="65" t="s">
        <v>1070</v>
      </c>
      <c r="J232" s="31">
        <v>440</v>
      </c>
      <c r="K232" s="32">
        <v>55</v>
      </c>
      <c r="L232" s="76" t="str">
        <f t="shared" si="7"/>
        <v/>
      </c>
    </row>
    <row r="233" spans="1:12" x14ac:dyDescent="0.25">
      <c r="A233" s="25" t="s">
        <v>3716</v>
      </c>
      <c r="B233" s="26">
        <v>89</v>
      </c>
      <c r="C233" s="26">
        <v>6</v>
      </c>
      <c r="D233" s="25" t="s">
        <v>3717</v>
      </c>
      <c r="E233" s="27"/>
      <c r="F233" s="28">
        <v>6.75</v>
      </c>
      <c r="G233" s="29">
        <f t="shared" si="6"/>
        <v>1.125</v>
      </c>
      <c r="H233" s="65">
        <v>8710522415702</v>
      </c>
      <c r="I233" s="65" t="s">
        <v>3804</v>
      </c>
      <c r="J233" s="31">
        <v>440</v>
      </c>
      <c r="K233" s="32">
        <v>55</v>
      </c>
      <c r="L233" s="76" t="str">
        <f t="shared" si="7"/>
        <v/>
      </c>
    </row>
    <row r="234" spans="1:12" x14ac:dyDescent="0.25">
      <c r="A234" s="25" t="s">
        <v>1926</v>
      </c>
      <c r="B234" s="26">
        <v>15</v>
      </c>
      <c r="C234" s="26">
        <v>4</v>
      </c>
      <c r="D234" s="25" t="s">
        <v>1927</v>
      </c>
      <c r="E234" s="27"/>
      <c r="F234" s="28">
        <v>13.8</v>
      </c>
      <c r="G234" s="29">
        <f t="shared" si="6"/>
        <v>3.45</v>
      </c>
      <c r="H234" s="30" t="s">
        <v>1928</v>
      </c>
      <c r="I234" s="30" t="s">
        <v>1929</v>
      </c>
      <c r="J234" s="31">
        <v>240</v>
      </c>
      <c r="K234" s="53">
        <v>40</v>
      </c>
      <c r="L234" s="76" t="str">
        <f t="shared" si="7"/>
        <v/>
      </c>
    </row>
    <row r="235" spans="1:12" x14ac:dyDescent="0.25">
      <c r="A235" s="25" t="s">
        <v>1344</v>
      </c>
      <c r="B235" s="26">
        <v>214</v>
      </c>
      <c r="C235" s="26">
        <v>6</v>
      </c>
      <c r="D235" s="25" t="s">
        <v>1345</v>
      </c>
      <c r="E235" s="27"/>
      <c r="F235" s="28">
        <v>9.15</v>
      </c>
      <c r="G235" s="29">
        <f t="shared" si="6"/>
        <v>1.5250000000000001</v>
      </c>
      <c r="H235" s="30" t="s">
        <v>1346</v>
      </c>
      <c r="I235" s="30" t="s">
        <v>1347</v>
      </c>
      <c r="J235" s="31">
        <v>348</v>
      </c>
      <c r="K235" s="32">
        <v>58</v>
      </c>
      <c r="L235" s="76" t="str">
        <f t="shared" si="7"/>
        <v/>
      </c>
    </row>
    <row r="236" spans="1:12" x14ac:dyDescent="0.25">
      <c r="A236" s="25" t="s">
        <v>169</v>
      </c>
      <c r="B236" s="26">
        <v>417</v>
      </c>
      <c r="C236" s="26">
        <v>6</v>
      </c>
      <c r="D236" s="25" t="s">
        <v>665</v>
      </c>
      <c r="E236" s="27"/>
      <c r="F236" s="28">
        <v>9.8000000000000007</v>
      </c>
      <c r="G236" s="29">
        <f t="shared" si="6"/>
        <v>1.6333333333333335</v>
      </c>
      <c r="H236" s="30" t="s">
        <v>664</v>
      </c>
      <c r="I236" s="30" t="s">
        <v>813</v>
      </c>
      <c r="J236" s="31">
        <v>348</v>
      </c>
      <c r="K236" s="32">
        <v>58</v>
      </c>
      <c r="L236" s="77" t="str">
        <f t="shared" si="7"/>
        <v/>
      </c>
    </row>
    <row r="237" spans="1:12" x14ac:dyDescent="0.25">
      <c r="A237" s="25" t="s">
        <v>168</v>
      </c>
      <c r="B237" s="26">
        <v>260</v>
      </c>
      <c r="C237" s="26">
        <v>6</v>
      </c>
      <c r="D237" s="25" t="s">
        <v>133</v>
      </c>
      <c r="E237" s="27"/>
      <c r="F237" s="28">
        <v>9.8000000000000007</v>
      </c>
      <c r="G237" s="29">
        <f t="shared" si="6"/>
        <v>1.6333333333333335</v>
      </c>
      <c r="H237" s="30" t="s">
        <v>134</v>
      </c>
      <c r="I237" s="30" t="s">
        <v>814</v>
      </c>
      <c r="J237" s="31">
        <v>348</v>
      </c>
      <c r="K237" s="32">
        <v>58</v>
      </c>
      <c r="L237" s="76" t="str">
        <f t="shared" si="7"/>
        <v/>
      </c>
    </row>
    <row r="238" spans="1:12" x14ac:dyDescent="0.25">
      <c r="A238" s="25" t="s">
        <v>1359</v>
      </c>
      <c r="B238" s="26">
        <v>371</v>
      </c>
      <c r="C238" s="26">
        <v>6</v>
      </c>
      <c r="D238" s="25" t="s">
        <v>1360</v>
      </c>
      <c r="E238" s="31"/>
      <c r="F238" s="28">
        <v>9.8000000000000007</v>
      </c>
      <c r="G238" s="29">
        <f t="shared" si="6"/>
        <v>1.6333333333333335</v>
      </c>
      <c r="H238" s="30" t="s">
        <v>1361</v>
      </c>
      <c r="I238" s="30" t="s">
        <v>1368</v>
      </c>
      <c r="J238" s="31">
        <v>348</v>
      </c>
      <c r="K238" s="53">
        <v>58</v>
      </c>
      <c r="L238" s="76" t="str">
        <f t="shared" si="7"/>
        <v/>
      </c>
    </row>
    <row r="239" spans="1:12" x14ac:dyDescent="0.25">
      <c r="A239" s="25" t="s">
        <v>1457</v>
      </c>
      <c r="B239" s="26">
        <v>2154</v>
      </c>
      <c r="C239" s="26">
        <v>6</v>
      </c>
      <c r="D239" s="25" t="s">
        <v>3790</v>
      </c>
      <c r="E239" s="27"/>
      <c r="F239" s="28">
        <v>9.8000000000000007</v>
      </c>
      <c r="G239" s="29">
        <f t="shared" si="6"/>
        <v>1.6333333333333335</v>
      </c>
      <c r="H239" s="30" t="s">
        <v>1527</v>
      </c>
      <c r="I239" s="30" t="s">
        <v>3754</v>
      </c>
      <c r="J239" s="31">
        <v>348</v>
      </c>
      <c r="K239" s="53">
        <v>58</v>
      </c>
      <c r="L239" s="76" t="str">
        <f t="shared" si="7"/>
        <v/>
      </c>
    </row>
    <row r="240" spans="1:12" x14ac:dyDescent="0.25">
      <c r="A240" s="25" t="s">
        <v>1458</v>
      </c>
      <c r="B240" s="26">
        <v>359</v>
      </c>
      <c r="C240" s="26">
        <v>6</v>
      </c>
      <c r="D240" s="25" t="s">
        <v>1459</v>
      </c>
      <c r="E240" s="27"/>
      <c r="F240" s="28">
        <v>9.8000000000000007</v>
      </c>
      <c r="G240" s="29">
        <f t="shared" si="6"/>
        <v>1.6333333333333335</v>
      </c>
      <c r="H240" s="30" t="s">
        <v>1460</v>
      </c>
      <c r="I240" s="30" t="s">
        <v>1461</v>
      </c>
      <c r="J240" s="31">
        <v>348</v>
      </c>
      <c r="K240" s="53">
        <v>58</v>
      </c>
      <c r="L240" s="76" t="str">
        <f t="shared" si="7"/>
        <v/>
      </c>
    </row>
    <row r="241" spans="1:12" x14ac:dyDescent="0.25">
      <c r="A241" s="25" t="s">
        <v>618</v>
      </c>
      <c r="B241" s="26">
        <v>93</v>
      </c>
      <c r="C241" s="26">
        <v>6</v>
      </c>
      <c r="D241" s="25" t="s">
        <v>619</v>
      </c>
      <c r="E241" s="27"/>
      <c r="F241" s="28">
        <v>14.8</v>
      </c>
      <c r="G241" s="28">
        <f t="shared" si="6"/>
        <v>2.4666666666666668</v>
      </c>
      <c r="H241" s="30" t="s">
        <v>622</v>
      </c>
      <c r="I241" s="30" t="s">
        <v>623</v>
      </c>
      <c r="J241" s="31">
        <v>224</v>
      </c>
      <c r="K241" s="32">
        <v>56</v>
      </c>
      <c r="L241" s="76" t="str">
        <f t="shared" si="7"/>
        <v/>
      </c>
    </row>
    <row r="242" spans="1:12" x14ac:dyDescent="0.25">
      <c r="A242" s="25" t="s">
        <v>733</v>
      </c>
      <c r="B242" s="26">
        <v>45</v>
      </c>
      <c r="C242" s="26">
        <v>6</v>
      </c>
      <c r="D242" s="25" t="s">
        <v>736</v>
      </c>
      <c r="E242" s="27"/>
      <c r="F242" s="28">
        <v>14.8</v>
      </c>
      <c r="G242" s="28">
        <f t="shared" si="6"/>
        <v>2.4666666666666668</v>
      </c>
      <c r="H242" s="30" t="s">
        <v>734</v>
      </c>
      <c r="I242" s="30" t="s">
        <v>735</v>
      </c>
      <c r="J242" s="31">
        <v>224</v>
      </c>
      <c r="K242" s="32">
        <v>56</v>
      </c>
      <c r="L242" s="76" t="str">
        <f t="shared" si="7"/>
        <v/>
      </c>
    </row>
    <row r="243" spans="1:12" x14ac:dyDescent="0.25">
      <c r="A243" s="25" t="s">
        <v>1350</v>
      </c>
      <c r="B243" s="26">
        <v>61</v>
      </c>
      <c r="C243" s="26">
        <v>6</v>
      </c>
      <c r="D243" s="25" t="s">
        <v>1351</v>
      </c>
      <c r="E243" s="27"/>
      <c r="F243" s="28">
        <v>14.8</v>
      </c>
      <c r="G243" s="28">
        <f t="shared" si="6"/>
        <v>2.4666666666666668</v>
      </c>
      <c r="H243" s="30" t="s">
        <v>1352</v>
      </c>
      <c r="I243" s="30" t="s">
        <v>1353</v>
      </c>
      <c r="J243" s="31">
        <v>224</v>
      </c>
      <c r="K243" s="53">
        <v>56</v>
      </c>
      <c r="L243" s="76" t="str">
        <f t="shared" si="7"/>
        <v/>
      </c>
    </row>
    <row r="244" spans="1:12" x14ac:dyDescent="0.25">
      <c r="A244" s="25" t="s">
        <v>713</v>
      </c>
      <c r="B244" s="26">
        <v>96</v>
      </c>
      <c r="C244" s="26">
        <v>6</v>
      </c>
      <c r="D244" s="25" t="s">
        <v>714</v>
      </c>
      <c r="E244" s="27"/>
      <c r="F244" s="28">
        <v>14.8</v>
      </c>
      <c r="G244" s="29">
        <f t="shared" si="6"/>
        <v>2.4666666666666668</v>
      </c>
      <c r="H244" s="30" t="s">
        <v>715</v>
      </c>
      <c r="I244" s="55" t="s">
        <v>716</v>
      </c>
      <c r="J244" s="31">
        <v>224</v>
      </c>
      <c r="K244" s="32">
        <v>56</v>
      </c>
      <c r="L244" s="76" t="str">
        <f t="shared" si="7"/>
        <v/>
      </c>
    </row>
    <row r="245" spans="1:12" x14ac:dyDescent="0.25">
      <c r="A245" s="25" t="s">
        <v>2715</v>
      </c>
      <c r="B245" s="26">
        <v>96</v>
      </c>
      <c r="C245" s="26">
        <v>6</v>
      </c>
      <c r="D245" s="25" t="s">
        <v>2716</v>
      </c>
      <c r="E245" s="27"/>
      <c r="F245" s="33">
        <v>14.8</v>
      </c>
      <c r="G245" s="33">
        <f t="shared" si="6"/>
        <v>2.4666666666666668</v>
      </c>
      <c r="H245" s="30" t="s">
        <v>2717</v>
      </c>
      <c r="I245" s="30" t="s">
        <v>2718</v>
      </c>
      <c r="J245" s="31">
        <v>224</v>
      </c>
      <c r="K245" s="32">
        <v>56</v>
      </c>
      <c r="L245" s="76" t="str">
        <f t="shared" si="7"/>
        <v/>
      </c>
    </row>
    <row r="246" spans="1:12" x14ac:dyDescent="0.25">
      <c r="A246" s="25" t="s">
        <v>822</v>
      </c>
      <c r="B246" s="26">
        <v>295</v>
      </c>
      <c r="C246" s="26">
        <v>12</v>
      </c>
      <c r="D246" s="25" t="s">
        <v>1888</v>
      </c>
      <c r="E246" s="27"/>
      <c r="F246" s="28">
        <v>7.8</v>
      </c>
      <c r="G246" s="28">
        <f t="shared" si="6"/>
        <v>0.65</v>
      </c>
      <c r="H246" s="30" t="s">
        <v>836</v>
      </c>
      <c r="I246" s="30" t="s">
        <v>837</v>
      </c>
      <c r="J246" s="31">
        <v>544</v>
      </c>
      <c r="K246" s="49">
        <v>136</v>
      </c>
      <c r="L246" s="76" t="str">
        <f t="shared" si="7"/>
        <v/>
      </c>
    </row>
    <row r="247" spans="1:12" x14ac:dyDescent="0.25">
      <c r="A247" s="36" t="s">
        <v>1702</v>
      </c>
      <c r="B247" s="54">
        <v>127</v>
      </c>
      <c r="C247" s="53">
        <v>12</v>
      </c>
      <c r="D247" s="36" t="s">
        <v>1889</v>
      </c>
      <c r="E247" s="27"/>
      <c r="F247" s="61">
        <v>7.8</v>
      </c>
      <c r="G247" s="29">
        <f t="shared" si="6"/>
        <v>0.65</v>
      </c>
      <c r="H247" s="30" t="s">
        <v>1703</v>
      </c>
      <c r="I247" s="56" t="s">
        <v>1733</v>
      </c>
      <c r="J247" s="54">
        <v>544</v>
      </c>
      <c r="K247" s="54">
        <v>136</v>
      </c>
      <c r="L247" s="76" t="str">
        <f t="shared" si="7"/>
        <v/>
      </c>
    </row>
    <row r="248" spans="1:12" x14ac:dyDescent="0.25">
      <c r="A248" s="36" t="s">
        <v>1704</v>
      </c>
      <c r="B248" s="54">
        <v>265</v>
      </c>
      <c r="C248" s="53">
        <v>12</v>
      </c>
      <c r="D248" s="36" t="s">
        <v>1890</v>
      </c>
      <c r="E248" s="53"/>
      <c r="F248" s="61">
        <v>7.8</v>
      </c>
      <c r="G248" s="61">
        <f t="shared" ref="G248:G310" si="8">F248/C248</f>
        <v>0.65</v>
      </c>
      <c r="H248" s="30" t="s">
        <v>1705</v>
      </c>
      <c r="I248" s="56" t="s">
        <v>1711</v>
      </c>
      <c r="J248" s="54">
        <v>544</v>
      </c>
      <c r="K248" s="54">
        <v>136</v>
      </c>
      <c r="L248" s="76" t="str">
        <f t="shared" ref="L248:L310" si="9">IF(E248,E248*F248,"")</f>
        <v/>
      </c>
    </row>
    <row r="249" spans="1:12" x14ac:dyDescent="0.25">
      <c r="A249" s="36" t="s">
        <v>1845</v>
      </c>
      <c r="B249" s="54">
        <v>192</v>
      </c>
      <c r="C249" s="53">
        <v>6</v>
      </c>
      <c r="D249" s="36" t="s">
        <v>1891</v>
      </c>
      <c r="E249" s="53"/>
      <c r="F249" s="61">
        <v>10.5</v>
      </c>
      <c r="G249" s="61">
        <f t="shared" si="8"/>
        <v>1.75</v>
      </c>
      <c r="H249" s="30" t="s">
        <v>1846</v>
      </c>
      <c r="I249" s="56" t="s">
        <v>1886</v>
      </c>
      <c r="J249" s="54">
        <v>360</v>
      </c>
      <c r="K249" s="54">
        <v>60</v>
      </c>
      <c r="L249" s="79" t="str">
        <f t="shared" si="9"/>
        <v/>
      </c>
    </row>
    <row r="250" spans="1:12" x14ac:dyDescent="0.25">
      <c r="A250" s="36" t="s">
        <v>1847</v>
      </c>
      <c r="B250" s="54">
        <v>259</v>
      </c>
      <c r="C250" s="53">
        <v>6</v>
      </c>
      <c r="D250" s="36" t="s">
        <v>1892</v>
      </c>
      <c r="E250" s="53"/>
      <c r="F250" s="61">
        <v>10.5</v>
      </c>
      <c r="G250" s="61">
        <f t="shared" si="8"/>
        <v>1.75</v>
      </c>
      <c r="H250" s="30" t="s">
        <v>1848</v>
      </c>
      <c r="I250" s="56" t="s">
        <v>1887</v>
      </c>
      <c r="J250" s="54">
        <v>360</v>
      </c>
      <c r="K250" s="54">
        <v>60</v>
      </c>
      <c r="L250" s="79" t="str">
        <f t="shared" si="9"/>
        <v/>
      </c>
    </row>
    <row r="251" spans="1:12" x14ac:dyDescent="0.25">
      <c r="A251" s="36" t="s">
        <v>1894</v>
      </c>
      <c r="B251" s="54">
        <v>181</v>
      </c>
      <c r="C251" s="53">
        <v>6</v>
      </c>
      <c r="D251" s="36" t="s">
        <v>1893</v>
      </c>
      <c r="E251" s="53"/>
      <c r="F251" s="61">
        <v>10.5</v>
      </c>
      <c r="G251" s="61">
        <f t="shared" si="8"/>
        <v>1.75</v>
      </c>
      <c r="H251" s="30" t="s">
        <v>1897</v>
      </c>
      <c r="I251" s="56" t="s">
        <v>1898</v>
      </c>
      <c r="J251" s="54">
        <v>360</v>
      </c>
      <c r="K251" s="54">
        <v>60</v>
      </c>
      <c r="L251" s="79" t="str">
        <f t="shared" si="9"/>
        <v/>
      </c>
    </row>
    <row r="252" spans="1:12" x14ac:dyDescent="0.25">
      <c r="A252" s="36" t="s">
        <v>1249</v>
      </c>
      <c r="B252" s="54">
        <v>1528</v>
      </c>
      <c r="C252" s="53">
        <v>6</v>
      </c>
      <c r="D252" s="36" t="s">
        <v>1244</v>
      </c>
      <c r="E252" s="53"/>
      <c r="F252" s="61">
        <v>6</v>
      </c>
      <c r="G252" s="61">
        <f t="shared" si="8"/>
        <v>1</v>
      </c>
      <c r="H252" s="36">
        <v>59095361</v>
      </c>
      <c r="I252" s="56" t="s">
        <v>3491</v>
      </c>
      <c r="J252" s="54">
        <v>1089</v>
      </c>
      <c r="K252" s="32">
        <v>99</v>
      </c>
      <c r="L252" s="76" t="str">
        <f t="shared" si="9"/>
        <v/>
      </c>
    </row>
    <row r="253" spans="1:12" x14ac:dyDescent="0.25">
      <c r="A253" s="36" t="s">
        <v>2277</v>
      </c>
      <c r="B253" s="54">
        <v>894</v>
      </c>
      <c r="C253" s="53">
        <v>6</v>
      </c>
      <c r="D253" s="36" t="s">
        <v>2278</v>
      </c>
      <c r="E253" s="53"/>
      <c r="F253" s="61">
        <v>6</v>
      </c>
      <c r="G253" s="61">
        <f t="shared" si="8"/>
        <v>1</v>
      </c>
      <c r="H253" s="36">
        <v>59095385</v>
      </c>
      <c r="I253" s="56" t="s">
        <v>2279</v>
      </c>
      <c r="J253" s="54">
        <v>1089</v>
      </c>
      <c r="K253" s="32">
        <v>99</v>
      </c>
      <c r="L253" s="76" t="str">
        <f t="shared" si="9"/>
        <v/>
      </c>
    </row>
    <row r="254" spans="1:12" x14ac:dyDescent="0.25">
      <c r="A254" s="36" t="s">
        <v>1250</v>
      </c>
      <c r="B254" s="54">
        <v>1196</v>
      </c>
      <c r="C254" s="53">
        <v>6</v>
      </c>
      <c r="D254" s="36" t="s">
        <v>1245</v>
      </c>
      <c r="E254" s="53"/>
      <c r="F254" s="61">
        <v>6</v>
      </c>
      <c r="G254" s="61">
        <f t="shared" si="8"/>
        <v>1</v>
      </c>
      <c r="H254" s="30" t="s">
        <v>1251</v>
      </c>
      <c r="I254" s="56" t="s">
        <v>3492</v>
      </c>
      <c r="J254" s="54">
        <v>1089</v>
      </c>
      <c r="K254" s="32">
        <v>99</v>
      </c>
      <c r="L254" s="76" t="str">
        <f t="shared" si="9"/>
        <v/>
      </c>
    </row>
    <row r="255" spans="1:12" x14ac:dyDescent="0.25">
      <c r="A255" s="25" t="s">
        <v>1779</v>
      </c>
      <c r="B255" s="26">
        <v>1249</v>
      </c>
      <c r="C255" s="26">
        <v>6</v>
      </c>
      <c r="D255" s="25" t="s">
        <v>1780</v>
      </c>
      <c r="E255" s="31"/>
      <c r="F255" s="28">
        <v>6</v>
      </c>
      <c r="G255" s="28">
        <f t="shared" si="8"/>
        <v>1</v>
      </c>
      <c r="H255" s="30" t="s">
        <v>1781</v>
      </c>
      <c r="I255" s="30" t="s">
        <v>2736</v>
      </c>
      <c r="J255" s="31">
        <v>1089</v>
      </c>
      <c r="K255" s="32">
        <v>99</v>
      </c>
      <c r="L255" s="76" t="str">
        <f t="shared" si="9"/>
        <v/>
      </c>
    </row>
    <row r="256" spans="1:12" x14ac:dyDescent="0.25">
      <c r="A256" s="25" t="s">
        <v>3636</v>
      </c>
      <c r="B256" s="26">
        <v>278</v>
      </c>
      <c r="C256" s="26">
        <v>6</v>
      </c>
      <c r="D256" s="25" t="s">
        <v>3637</v>
      </c>
      <c r="E256" s="31"/>
      <c r="F256" s="33">
        <v>6</v>
      </c>
      <c r="G256" s="33">
        <f t="shared" si="8"/>
        <v>1</v>
      </c>
      <c r="H256" s="65">
        <v>50120017</v>
      </c>
      <c r="I256" s="65" t="s">
        <v>3638</v>
      </c>
      <c r="J256" s="31">
        <v>640</v>
      </c>
      <c r="K256" s="32">
        <v>64</v>
      </c>
      <c r="L256" s="77" t="str">
        <f t="shared" si="9"/>
        <v/>
      </c>
    </row>
    <row r="257" spans="1:12" x14ac:dyDescent="0.25">
      <c r="A257" s="25" t="s">
        <v>2260</v>
      </c>
      <c r="B257" s="26">
        <v>1020</v>
      </c>
      <c r="C257" s="26">
        <v>6</v>
      </c>
      <c r="D257" s="25" t="s">
        <v>2261</v>
      </c>
      <c r="E257" s="31"/>
      <c r="F257" s="28">
        <v>6</v>
      </c>
      <c r="G257" s="28">
        <f t="shared" si="8"/>
        <v>1</v>
      </c>
      <c r="H257" s="65" t="s">
        <v>2262</v>
      </c>
      <c r="I257" s="65" t="s">
        <v>2286</v>
      </c>
      <c r="J257" s="31">
        <v>1089</v>
      </c>
      <c r="K257" s="32">
        <v>99</v>
      </c>
      <c r="L257" s="77" t="str">
        <f t="shared" si="9"/>
        <v/>
      </c>
    </row>
    <row r="258" spans="1:12" x14ac:dyDescent="0.25">
      <c r="A258" s="25" t="s">
        <v>1777</v>
      </c>
      <c r="B258" s="26">
        <v>1324</v>
      </c>
      <c r="C258" s="26">
        <v>6</v>
      </c>
      <c r="D258" s="25" t="s">
        <v>1778</v>
      </c>
      <c r="E258" s="31"/>
      <c r="F258" s="28">
        <v>6</v>
      </c>
      <c r="G258" s="28">
        <f t="shared" si="8"/>
        <v>1</v>
      </c>
      <c r="H258" s="65">
        <v>59099017</v>
      </c>
      <c r="I258" s="65" t="s">
        <v>2735</v>
      </c>
      <c r="J258" s="31">
        <v>1089</v>
      </c>
      <c r="K258" s="32">
        <v>99</v>
      </c>
      <c r="L258" s="77" t="str">
        <f t="shared" si="9"/>
        <v/>
      </c>
    </row>
    <row r="259" spans="1:12" x14ac:dyDescent="0.25">
      <c r="A259" s="25" t="s">
        <v>3729</v>
      </c>
      <c r="B259" s="26">
        <v>11</v>
      </c>
      <c r="C259" s="26">
        <v>6</v>
      </c>
      <c r="D259" s="25" t="s">
        <v>3720</v>
      </c>
      <c r="E259" s="31"/>
      <c r="F259" s="28">
        <v>8.4</v>
      </c>
      <c r="G259" s="28">
        <f t="shared" si="8"/>
        <v>1.4000000000000001</v>
      </c>
      <c r="H259" s="65" t="s">
        <v>3723</v>
      </c>
      <c r="I259" s="65" t="s">
        <v>3726</v>
      </c>
      <c r="J259" s="31">
        <v>294</v>
      </c>
      <c r="K259" s="32">
        <v>42</v>
      </c>
      <c r="L259" s="77" t="str">
        <f t="shared" si="9"/>
        <v/>
      </c>
    </row>
    <row r="260" spans="1:12" x14ac:dyDescent="0.25">
      <c r="A260" s="25" t="s">
        <v>3730</v>
      </c>
      <c r="B260" s="26">
        <v>168</v>
      </c>
      <c r="C260" s="26">
        <v>6</v>
      </c>
      <c r="D260" s="25" t="s">
        <v>3721</v>
      </c>
      <c r="E260" s="31"/>
      <c r="F260" s="28">
        <v>8.4</v>
      </c>
      <c r="G260" s="28">
        <f t="shared" si="8"/>
        <v>1.4000000000000001</v>
      </c>
      <c r="H260" s="65" t="s">
        <v>3724</v>
      </c>
      <c r="I260" s="65" t="s">
        <v>3727</v>
      </c>
      <c r="J260" s="31">
        <v>294</v>
      </c>
      <c r="K260" s="32">
        <v>42</v>
      </c>
      <c r="L260" s="77" t="str">
        <f t="shared" si="9"/>
        <v/>
      </c>
    </row>
    <row r="261" spans="1:12" x14ac:dyDescent="0.25">
      <c r="A261" s="25" t="s">
        <v>3731</v>
      </c>
      <c r="B261" s="26">
        <v>97</v>
      </c>
      <c r="C261" s="26">
        <v>6</v>
      </c>
      <c r="D261" s="25" t="s">
        <v>3722</v>
      </c>
      <c r="E261" s="31"/>
      <c r="F261" s="28">
        <v>8.4</v>
      </c>
      <c r="G261" s="28">
        <f t="shared" si="8"/>
        <v>1.4000000000000001</v>
      </c>
      <c r="H261" s="65" t="s">
        <v>3725</v>
      </c>
      <c r="I261" s="65" t="s">
        <v>3728</v>
      </c>
      <c r="J261" s="31">
        <v>294</v>
      </c>
      <c r="K261" s="32">
        <v>42</v>
      </c>
      <c r="L261" s="77" t="str">
        <f t="shared" si="9"/>
        <v/>
      </c>
    </row>
    <row r="262" spans="1:12" x14ac:dyDescent="0.25">
      <c r="A262" s="25" t="s">
        <v>509</v>
      </c>
      <c r="B262" s="26">
        <v>24</v>
      </c>
      <c r="C262" s="26">
        <v>6</v>
      </c>
      <c r="D262" s="25" t="s">
        <v>510</v>
      </c>
      <c r="E262" s="27"/>
      <c r="F262" s="28">
        <v>6.6</v>
      </c>
      <c r="G262" s="29">
        <f t="shared" si="8"/>
        <v>1.0999999999999999</v>
      </c>
      <c r="H262" s="30" t="s">
        <v>511</v>
      </c>
      <c r="I262" s="30" t="s">
        <v>512</v>
      </c>
      <c r="J262" s="31">
        <v>371</v>
      </c>
      <c r="K262" s="32">
        <v>53</v>
      </c>
      <c r="L262" s="76" t="str">
        <f t="shared" si="9"/>
        <v/>
      </c>
    </row>
    <row r="263" spans="1:12" x14ac:dyDescent="0.25">
      <c r="A263" s="25" t="s">
        <v>1968</v>
      </c>
      <c r="B263" s="26">
        <v>241</v>
      </c>
      <c r="C263" s="26">
        <v>6</v>
      </c>
      <c r="D263" s="25" t="s">
        <v>1963</v>
      </c>
      <c r="E263" s="27"/>
      <c r="F263" s="28">
        <v>8.8000000000000007</v>
      </c>
      <c r="G263" s="29">
        <f t="shared" si="8"/>
        <v>1.4666666666666668</v>
      </c>
      <c r="H263" s="55" t="s">
        <v>1965</v>
      </c>
      <c r="I263" s="55" t="s">
        <v>1969</v>
      </c>
      <c r="J263" s="31">
        <v>315</v>
      </c>
      <c r="K263" s="53">
        <v>45</v>
      </c>
      <c r="L263" s="76" t="str">
        <f t="shared" si="9"/>
        <v/>
      </c>
    </row>
    <row r="264" spans="1:12" x14ac:dyDescent="0.25">
      <c r="A264" s="25" t="s">
        <v>3545</v>
      </c>
      <c r="B264" s="26">
        <v>188</v>
      </c>
      <c r="C264" s="26">
        <v>6</v>
      </c>
      <c r="D264" s="25" t="s">
        <v>3546</v>
      </c>
      <c r="E264" s="27"/>
      <c r="F264" s="28">
        <v>8.8000000000000007</v>
      </c>
      <c r="G264" s="29">
        <f t="shared" si="8"/>
        <v>1.4666666666666668</v>
      </c>
      <c r="H264" s="55" t="s">
        <v>3547</v>
      </c>
      <c r="I264" s="55" t="s">
        <v>3548</v>
      </c>
      <c r="J264" s="31">
        <v>315</v>
      </c>
      <c r="K264" s="53">
        <v>45</v>
      </c>
      <c r="L264" s="76" t="str">
        <f t="shared" si="9"/>
        <v/>
      </c>
    </row>
    <row r="265" spans="1:12" x14ac:dyDescent="0.25">
      <c r="A265" s="25" t="s">
        <v>3608</v>
      </c>
      <c r="B265" s="26">
        <v>184</v>
      </c>
      <c r="C265" s="26">
        <v>6</v>
      </c>
      <c r="D265" s="25" t="s">
        <v>3607</v>
      </c>
      <c r="E265" s="27"/>
      <c r="F265" s="28">
        <v>8.8000000000000007</v>
      </c>
      <c r="G265" s="29">
        <f t="shared" si="8"/>
        <v>1.4666666666666668</v>
      </c>
      <c r="H265" s="55" t="s">
        <v>3609</v>
      </c>
      <c r="I265" s="55" t="s">
        <v>3665</v>
      </c>
      <c r="J265" s="31">
        <v>315</v>
      </c>
      <c r="K265" s="53">
        <v>45</v>
      </c>
      <c r="L265" s="76" t="str">
        <f t="shared" si="9"/>
        <v/>
      </c>
    </row>
    <row r="266" spans="1:12" x14ac:dyDescent="0.25">
      <c r="A266" s="25" t="s">
        <v>1967</v>
      </c>
      <c r="B266" s="26">
        <v>0</v>
      </c>
      <c r="C266" s="26">
        <v>6</v>
      </c>
      <c r="D266" s="25" t="s">
        <v>1964</v>
      </c>
      <c r="E266" s="27"/>
      <c r="F266" s="28">
        <v>8.8000000000000007</v>
      </c>
      <c r="G266" s="29">
        <f t="shared" si="8"/>
        <v>1.4666666666666668</v>
      </c>
      <c r="H266" s="55" t="s">
        <v>1966</v>
      </c>
      <c r="I266" s="55" t="s">
        <v>1970</v>
      </c>
      <c r="J266" s="31">
        <v>315</v>
      </c>
      <c r="K266" s="53">
        <v>45</v>
      </c>
      <c r="L266" s="76" t="str">
        <f t="shared" si="9"/>
        <v/>
      </c>
    </row>
    <row r="267" spans="1:12" x14ac:dyDescent="0.25">
      <c r="A267" s="25" t="s">
        <v>2839</v>
      </c>
      <c r="B267" s="26">
        <v>728</v>
      </c>
      <c r="C267" s="26">
        <v>6</v>
      </c>
      <c r="D267" s="25" t="s">
        <v>2840</v>
      </c>
      <c r="E267" s="27"/>
      <c r="F267" s="28">
        <v>7.8</v>
      </c>
      <c r="G267" s="29">
        <f t="shared" si="8"/>
        <v>1.3</v>
      </c>
      <c r="H267" s="30" t="s">
        <v>2841</v>
      </c>
      <c r="I267" s="30" t="s">
        <v>2842</v>
      </c>
      <c r="J267" s="31"/>
      <c r="K267" s="53"/>
      <c r="L267" s="76" t="str">
        <f t="shared" si="9"/>
        <v/>
      </c>
    </row>
    <row r="268" spans="1:12" x14ac:dyDescent="0.25">
      <c r="A268" s="25" t="s">
        <v>2846</v>
      </c>
      <c r="B268" s="26">
        <v>146</v>
      </c>
      <c r="C268" s="26">
        <v>6</v>
      </c>
      <c r="D268" s="25" t="s">
        <v>3183</v>
      </c>
      <c r="E268" s="27"/>
      <c r="F268" s="28">
        <v>7.8</v>
      </c>
      <c r="G268" s="29">
        <f t="shared" si="8"/>
        <v>1.3</v>
      </c>
      <c r="H268" s="30" t="s">
        <v>2844</v>
      </c>
      <c r="I268" s="30" t="s">
        <v>2843</v>
      </c>
      <c r="J268" s="31"/>
      <c r="K268" s="53"/>
      <c r="L268" s="76" t="str">
        <f t="shared" si="9"/>
        <v/>
      </c>
    </row>
    <row r="269" spans="1:12" x14ac:dyDescent="0.25">
      <c r="A269" s="25" t="s">
        <v>3618</v>
      </c>
      <c r="B269" s="26">
        <v>3</v>
      </c>
      <c r="C269" s="26">
        <v>6</v>
      </c>
      <c r="D269" s="25" t="s">
        <v>3619</v>
      </c>
      <c r="E269" s="31"/>
      <c r="F269" s="33">
        <v>8.08</v>
      </c>
      <c r="G269" s="33">
        <f t="shared" si="8"/>
        <v>1.3466666666666667</v>
      </c>
      <c r="H269" s="30" t="s">
        <v>3620</v>
      </c>
      <c r="I269" s="30" t="s">
        <v>3621</v>
      </c>
      <c r="J269" s="31">
        <v>560</v>
      </c>
      <c r="K269" s="53">
        <v>80</v>
      </c>
      <c r="L269" s="77" t="str">
        <f t="shared" si="9"/>
        <v/>
      </c>
    </row>
    <row r="270" spans="1:12" x14ac:dyDescent="0.25">
      <c r="A270" s="25" t="s">
        <v>3300</v>
      </c>
      <c r="B270" s="26">
        <v>457</v>
      </c>
      <c r="C270" s="26">
        <v>6</v>
      </c>
      <c r="D270" s="25" t="s">
        <v>3301</v>
      </c>
      <c r="E270" s="27"/>
      <c r="F270" s="28">
        <v>8.08</v>
      </c>
      <c r="G270" s="28">
        <f t="shared" si="8"/>
        <v>1.3466666666666667</v>
      </c>
      <c r="H270" s="30" t="s">
        <v>3302</v>
      </c>
      <c r="I270" s="30" t="s">
        <v>3303</v>
      </c>
      <c r="J270" s="31">
        <v>560</v>
      </c>
      <c r="K270" s="32">
        <v>80</v>
      </c>
      <c r="L270" s="76" t="str">
        <f t="shared" si="9"/>
        <v/>
      </c>
    </row>
    <row r="271" spans="1:12" x14ac:dyDescent="0.25">
      <c r="A271" s="25" t="s">
        <v>3304</v>
      </c>
      <c r="B271" s="26">
        <v>441</v>
      </c>
      <c r="C271" s="26">
        <v>6</v>
      </c>
      <c r="D271" s="25" t="s">
        <v>3305</v>
      </c>
      <c r="E271" s="27"/>
      <c r="F271" s="28">
        <v>8.08</v>
      </c>
      <c r="G271" s="28">
        <f t="shared" si="8"/>
        <v>1.3466666666666667</v>
      </c>
      <c r="H271" s="30" t="s">
        <v>3306</v>
      </c>
      <c r="I271" s="30" t="s">
        <v>3307</v>
      </c>
      <c r="J271" s="31">
        <v>560</v>
      </c>
      <c r="K271" s="32">
        <v>80</v>
      </c>
      <c r="L271" s="76" t="str">
        <f t="shared" si="9"/>
        <v/>
      </c>
    </row>
    <row r="272" spans="1:12" x14ac:dyDescent="0.25">
      <c r="A272" s="25" t="s">
        <v>1371</v>
      </c>
      <c r="B272" s="26">
        <v>891</v>
      </c>
      <c r="C272" s="26">
        <v>6</v>
      </c>
      <c r="D272" s="25" t="s">
        <v>1370</v>
      </c>
      <c r="E272" s="27"/>
      <c r="F272" s="28">
        <v>8.08</v>
      </c>
      <c r="G272" s="28">
        <f t="shared" si="8"/>
        <v>1.3466666666666667</v>
      </c>
      <c r="H272" s="30" t="s">
        <v>1374</v>
      </c>
      <c r="I272" s="30" t="s">
        <v>1375</v>
      </c>
      <c r="J272" s="31">
        <v>560</v>
      </c>
      <c r="K272" s="32">
        <v>80</v>
      </c>
      <c r="L272" s="76" t="str">
        <f t="shared" si="9"/>
        <v/>
      </c>
    </row>
    <row r="273" spans="1:12" x14ac:dyDescent="0.25">
      <c r="A273" s="25" t="s">
        <v>3319</v>
      </c>
      <c r="B273" s="26">
        <v>460</v>
      </c>
      <c r="C273" s="26">
        <v>6</v>
      </c>
      <c r="D273" s="25" t="s">
        <v>3320</v>
      </c>
      <c r="E273" s="27"/>
      <c r="F273" s="28">
        <v>8.08</v>
      </c>
      <c r="G273" s="28">
        <f t="shared" si="8"/>
        <v>1.3466666666666667</v>
      </c>
      <c r="H273" s="30" t="s">
        <v>3321</v>
      </c>
      <c r="I273" s="30" t="s">
        <v>3322</v>
      </c>
      <c r="J273" s="31">
        <v>560</v>
      </c>
      <c r="K273" s="32">
        <v>80</v>
      </c>
      <c r="L273" s="76" t="str">
        <f t="shared" si="9"/>
        <v/>
      </c>
    </row>
    <row r="274" spans="1:12" x14ac:dyDescent="0.25">
      <c r="A274" s="25" t="s">
        <v>2847</v>
      </c>
      <c r="B274" s="26">
        <v>1062</v>
      </c>
      <c r="C274" s="26">
        <v>6</v>
      </c>
      <c r="D274" s="25" t="s">
        <v>2848</v>
      </c>
      <c r="E274" s="27"/>
      <c r="F274" s="33">
        <v>8.08</v>
      </c>
      <c r="G274" s="33">
        <f t="shared" si="8"/>
        <v>1.3466666666666667</v>
      </c>
      <c r="H274" s="30" t="s">
        <v>2849</v>
      </c>
      <c r="I274" s="30" t="s">
        <v>2850</v>
      </c>
      <c r="J274" s="31">
        <v>560</v>
      </c>
      <c r="K274" s="32">
        <v>80</v>
      </c>
      <c r="L274" s="76" t="str">
        <f t="shared" si="9"/>
        <v/>
      </c>
    </row>
    <row r="275" spans="1:12" x14ac:dyDescent="0.25">
      <c r="A275" s="25" t="s">
        <v>2209</v>
      </c>
      <c r="B275" s="26">
        <v>0</v>
      </c>
      <c r="C275" s="26">
        <v>6</v>
      </c>
      <c r="D275" s="25" t="s">
        <v>2203</v>
      </c>
      <c r="E275" s="27"/>
      <c r="F275" s="28">
        <v>8.08</v>
      </c>
      <c r="G275" s="28">
        <f t="shared" si="8"/>
        <v>1.3466666666666667</v>
      </c>
      <c r="H275" s="30" t="s">
        <v>2223</v>
      </c>
      <c r="I275" s="30" t="s">
        <v>2224</v>
      </c>
      <c r="J275" s="31">
        <v>560</v>
      </c>
      <c r="K275" s="32">
        <v>80</v>
      </c>
      <c r="L275" s="76" t="str">
        <f t="shared" si="9"/>
        <v/>
      </c>
    </row>
    <row r="276" spans="1:12" x14ac:dyDescent="0.25">
      <c r="A276" s="25" t="s">
        <v>2208</v>
      </c>
      <c r="B276" s="26">
        <v>0</v>
      </c>
      <c r="C276" s="26">
        <v>6</v>
      </c>
      <c r="D276" s="25" t="s">
        <v>2218</v>
      </c>
      <c r="E276" s="27"/>
      <c r="F276" s="28">
        <v>8.08</v>
      </c>
      <c r="G276" s="28">
        <f t="shared" si="8"/>
        <v>1.3466666666666667</v>
      </c>
      <c r="H276" s="30" t="s">
        <v>2219</v>
      </c>
      <c r="I276" s="30" t="s">
        <v>2220</v>
      </c>
      <c r="J276" s="31">
        <v>560</v>
      </c>
      <c r="K276" s="32">
        <v>80</v>
      </c>
      <c r="L276" s="76" t="str">
        <f t="shared" si="9"/>
        <v/>
      </c>
    </row>
    <row r="277" spans="1:12" x14ac:dyDescent="0.25">
      <c r="A277" s="25" t="s">
        <v>2210</v>
      </c>
      <c r="B277" s="26">
        <v>0</v>
      </c>
      <c r="C277" s="26">
        <v>6</v>
      </c>
      <c r="D277" s="25" t="s">
        <v>2204</v>
      </c>
      <c r="E277" s="27"/>
      <c r="F277" s="28">
        <v>8.08</v>
      </c>
      <c r="G277" s="28">
        <f t="shared" si="8"/>
        <v>1.3466666666666667</v>
      </c>
      <c r="H277" s="30" t="s">
        <v>2216</v>
      </c>
      <c r="I277" s="30" t="s">
        <v>2217</v>
      </c>
      <c r="J277" s="31">
        <v>560</v>
      </c>
      <c r="K277" s="32">
        <v>80</v>
      </c>
      <c r="L277" s="76" t="str">
        <f t="shared" si="9"/>
        <v/>
      </c>
    </row>
    <row r="278" spans="1:12" x14ac:dyDescent="0.25">
      <c r="A278" s="25" t="s">
        <v>2207</v>
      </c>
      <c r="B278" s="26">
        <v>0</v>
      </c>
      <c r="C278" s="26">
        <v>6</v>
      </c>
      <c r="D278" s="25" t="s">
        <v>2206</v>
      </c>
      <c r="E278" s="27"/>
      <c r="F278" s="28">
        <v>8.08</v>
      </c>
      <c r="G278" s="28">
        <f t="shared" si="8"/>
        <v>1.3466666666666667</v>
      </c>
      <c r="H278" s="30" t="s">
        <v>2214</v>
      </c>
      <c r="I278" s="30" t="s">
        <v>2215</v>
      </c>
      <c r="J278" s="31">
        <v>560</v>
      </c>
      <c r="K278" s="32">
        <v>80</v>
      </c>
      <c r="L278" s="76" t="str">
        <f t="shared" si="9"/>
        <v/>
      </c>
    </row>
    <row r="279" spans="1:12" x14ac:dyDescent="0.25">
      <c r="A279" s="25" t="s">
        <v>2211</v>
      </c>
      <c r="B279" s="26">
        <v>0</v>
      </c>
      <c r="C279" s="26">
        <v>6</v>
      </c>
      <c r="D279" s="25" t="s">
        <v>2205</v>
      </c>
      <c r="E279" s="27"/>
      <c r="F279" s="28">
        <v>8.08</v>
      </c>
      <c r="G279" s="28">
        <f t="shared" si="8"/>
        <v>1.3466666666666667</v>
      </c>
      <c r="H279" s="30" t="s">
        <v>2221</v>
      </c>
      <c r="I279" s="30" t="s">
        <v>2222</v>
      </c>
      <c r="J279" s="31">
        <v>560</v>
      </c>
      <c r="K279" s="32">
        <v>80</v>
      </c>
      <c r="L279" s="76" t="str">
        <f t="shared" si="9"/>
        <v/>
      </c>
    </row>
    <row r="280" spans="1:12" x14ac:dyDescent="0.25">
      <c r="A280" s="25" t="s">
        <v>2725</v>
      </c>
      <c r="B280" s="26">
        <v>141</v>
      </c>
      <c r="C280" s="26">
        <v>6</v>
      </c>
      <c r="D280" s="25" t="s">
        <v>2738</v>
      </c>
      <c r="E280" s="27"/>
      <c r="F280" s="28">
        <v>8.08</v>
      </c>
      <c r="G280" s="28">
        <f t="shared" si="8"/>
        <v>1.3466666666666667</v>
      </c>
      <c r="H280" s="30" t="s">
        <v>2721</v>
      </c>
      <c r="I280" s="30" t="s">
        <v>2739</v>
      </c>
      <c r="J280" s="31">
        <v>560</v>
      </c>
      <c r="K280" s="32">
        <v>80</v>
      </c>
      <c r="L280" s="76" t="str">
        <f t="shared" si="9"/>
        <v/>
      </c>
    </row>
    <row r="281" spans="1:12" x14ac:dyDescent="0.25">
      <c r="A281" s="25" t="s">
        <v>2726</v>
      </c>
      <c r="B281" s="26">
        <v>0</v>
      </c>
      <c r="C281" s="26">
        <v>6</v>
      </c>
      <c r="D281" s="25" t="s">
        <v>2719</v>
      </c>
      <c r="E281" s="27"/>
      <c r="F281" s="28">
        <v>8.08</v>
      </c>
      <c r="G281" s="28">
        <f t="shared" si="8"/>
        <v>1.3466666666666667</v>
      </c>
      <c r="H281" s="30" t="s">
        <v>2722</v>
      </c>
      <c r="I281" s="30" t="s">
        <v>2737</v>
      </c>
      <c r="J281" s="31">
        <v>560</v>
      </c>
      <c r="K281" s="32">
        <v>80</v>
      </c>
      <c r="L281" s="76" t="str">
        <f t="shared" si="9"/>
        <v/>
      </c>
    </row>
    <row r="282" spans="1:12" x14ac:dyDescent="0.25">
      <c r="A282" s="25" t="s">
        <v>3244</v>
      </c>
      <c r="B282" s="26">
        <v>248</v>
      </c>
      <c r="C282" s="26">
        <v>6</v>
      </c>
      <c r="D282" s="25" t="s">
        <v>3245</v>
      </c>
      <c r="E282" s="27"/>
      <c r="F282" s="33">
        <v>8.08</v>
      </c>
      <c r="G282" s="33">
        <f t="shared" si="8"/>
        <v>1.3466666666666667</v>
      </c>
      <c r="H282" s="30" t="s">
        <v>3246</v>
      </c>
      <c r="I282" s="30" t="s">
        <v>3247</v>
      </c>
      <c r="J282" s="31">
        <v>560</v>
      </c>
      <c r="K282" s="32">
        <v>80</v>
      </c>
      <c r="L282" s="76" t="str">
        <f t="shared" si="9"/>
        <v/>
      </c>
    </row>
    <row r="283" spans="1:12" x14ac:dyDescent="0.25">
      <c r="A283" s="25" t="s">
        <v>2727</v>
      </c>
      <c r="B283" s="26">
        <v>193</v>
      </c>
      <c r="C283" s="26">
        <v>6</v>
      </c>
      <c r="D283" s="25" t="s">
        <v>2720</v>
      </c>
      <c r="E283" s="27"/>
      <c r="F283" s="28">
        <v>8.08</v>
      </c>
      <c r="G283" s="28">
        <f t="shared" si="8"/>
        <v>1.3466666666666667</v>
      </c>
      <c r="H283" s="30" t="s">
        <v>2723</v>
      </c>
      <c r="I283" s="30" t="s">
        <v>2740</v>
      </c>
      <c r="J283" s="31">
        <v>560</v>
      </c>
      <c r="K283" s="32">
        <v>80</v>
      </c>
      <c r="L283" s="76" t="str">
        <f t="shared" si="9"/>
        <v/>
      </c>
    </row>
    <row r="284" spans="1:12" x14ac:dyDescent="0.25">
      <c r="A284" s="25" t="s">
        <v>2728</v>
      </c>
      <c r="B284" s="26">
        <v>0</v>
      </c>
      <c r="C284" s="26">
        <v>6</v>
      </c>
      <c r="D284" s="25" t="s">
        <v>2741</v>
      </c>
      <c r="E284" s="27"/>
      <c r="F284" s="28">
        <v>8.08</v>
      </c>
      <c r="G284" s="28">
        <f t="shared" si="8"/>
        <v>1.3466666666666667</v>
      </c>
      <c r="H284" s="30" t="s">
        <v>2724</v>
      </c>
      <c r="I284" s="30" t="s">
        <v>2742</v>
      </c>
      <c r="J284" s="31">
        <v>560</v>
      </c>
      <c r="K284" s="32">
        <v>80</v>
      </c>
      <c r="L284" s="76" t="str">
        <f t="shared" si="9"/>
        <v/>
      </c>
    </row>
    <row r="285" spans="1:12" x14ac:dyDescent="0.25">
      <c r="A285" s="25" t="s">
        <v>1946</v>
      </c>
      <c r="B285" s="26">
        <v>72</v>
      </c>
      <c r="C285" s="26">
        <v>6</v>
      </c>
      <c r="D285" s="25" t="s">
        <v>1947</v>
      </c>
      <c r="E285" s="27"/>
      <c r="F285" s="28">
        <v>9.4</v>
      </c>
      <c r="G285" s="28">
        <f t="shared" si="8"/>
        <v>1.5666666666666667</v>
      </c>
      <c r="H285" s="30" t="s">
        <v>1948</v>
      </c>
      <c r="I285" s="30" t="s">
        <v>1949</v>
      </c>
      <c r="J285" s="31">
        <v>400</v>
      </c>
      <c r="K285" s="32">
        <v>80</v>
      </c>
      <c r="L285" s="76" t="str">
        <f t="shared" si="9"/>
        <v/>
      </c>
    </row>
    <row r="286" spans="1:12" x14ac:dyDescent="0.25">
      <c r="A286" s="25" t="s">
        <v>1570</v>
      </c>
      <c r="B286" s="26">
        <v>312</v>
      </c>
      <c r="C286" s="26">
        <v>6</v>
      </c>
      <c r="D286" s="25" t="s">
        <v>1557</v>
      </c>
      <c r="E286" s="31"/>
      <c r="F286" s="28">
        <v>11.4</v>
      </c>
      <c r="G286" s="28">
        <f t="shared" si="8"/>
        <v>1.9000000000000001</v>
      </c>
      <c r="H286" s="66" t="s">
        <v>1561</v>
      </c>
      <c r="I286" s="30" t="s">
        <v>1562</v>
      </c>
      <c r="J286" s="31">
        <v>330</v>
      </c>
      <c r="K286" s="32">
        <v>66</v>
      </c>
      <c r="L286" s="77" t="str">
        <f t="shared" si="9"/>
        <v/>
      </c>
    </row>
    <row r="287" spans="1:12" x14ac:dyDescent="0.25">
      <c r="A287" s="25" t="s">
        <v>1539</v>
      </c>
      <c r="B287" s="26">
        <v>330</v>
      </c>
      <c r="C287" s="26">
        <v>6</v>
      </c>
      <c r="D287" s="25" t="s">
        <v>3316</v>
      </c>
      <c r="E287" s="31"/>
      <c r="F287" s="28">
        <v>11.4</v>
      </c>
      <c r="G287" s="28">
        <f t="shared" si="8"/>
        <v>1.9000000000000001</v>
      </c>
      <c r="H287" s="66" t="s">
        <v>1567</v>
      </c>
      <c r="I287" s="30" t="s">
        <v>1568</v>
      </c>
      <c r="J287" s="31">
        <v>330</v>
      </c>
      <c r="K287" s="32">
        <v>66</v>
      </c>
      <c r="L287" s="77" t="str">
        <f t="shared" si="9"/>
        <v/>
      </c>
    </row>
    <row r="288" spans="1:12" x14ac:dyDescent="0.25">
      <c r="A288" s="25" t="s">
        <v>3315</v>
      </c>
      <c r="B288" s="26">
        <v>146</v>
      </c>
      <c r="C288" s="26">
        <v>6</v>
      </c>
      <c r="D288" s="25" t="s">
        <v>1558</v>
      </c>
      <c r="E288" s="31"/>
      <c r="F288" s="28">
        <v>11.4</v>
      </c>
      <c r="G288" s="28">
        <f t="shared" si="8"/>
        <v>1.9000000000000001</v>
      </c>
      <c r="H288" s="66" t="s">
        <v>3318</v>
      </c>
      <c r="I288" s="30" t="s">
        <v>3317</v>
      </c>
      <c r="J288" s="31">
        <v>330</v>
      </c>
      <c r="K288" s="32">
        <v>66</v>
      </c>
      <c r="L288" s="77" t="str">
        <f t="shared" si="9"/>
        <v/>
      </c>
    </row>
    <row r="289" spans="1:14" x14ac:dyDescent="0.25">
      <c r="A289" s="25" t="s">
        <v>1538</v>
      </c>
      <c r="B289" s="26">
        <v>359</v>
      </c>
      <c r="C289" s="26">
        <v>6</v>
      </c>
      <c r="D289" s="25" t="s">
        <v>1559</v>
      </c>
      <c r="E289" s="31"/>
      <c r="F289" s="28">
        <v>11.4</v>
      </c>
      <c r="G289" s="28">
        <f t="shared" si="8"/>
        <v>1.9000000000000001</v>
      </c>
      <c r="H289" s="66" t="s">
        <v>1563</v>
      </c>
      <c r="I289" s="30" t="s">
        <v>1564</v>
      </c>
      <c r="J289" s="31">
        <v>330</v>
      </c>
      <c r="K289" s="32">
        <v>66</v>
      </c>
      <c r="L289" s="77" t="str">
        <f t="shared" si="9"/>
        <v/>
      </c>
    </row>
    <row r="290" spans="1:14" x14ac:dyDescent="0.25">
      <c r="A290" s="25" t="s">
        <v>2075</v>
      </c>
      <c r="B290" s="26">
        <v>490</v>
      </c>
      <c r="C290" s="26">
        <v>6</v>
      </c>
      <c r="D290" s="25" t="s">
        <v>2076</v>
      </c>
      <c r="E290" s="31"/>
      <c r="F290" s="28">
        <v>11.4</v>
      </c>
      <c r="G290" s="28">
        <f t="shared" si="8"/>
        <v>1.9000000000000001</v>
      </c>
      <c r="H290" s="30" t="s">
        <v>2137</v>
      </c>
      <c r="I290" s="30" t="s">
        <v>2146</v>
      </c>
      <c r="J290" s="31">
        <v>330</v>
      </c>
      <c r="K290" s="32">
        <v>66</v>
      </c>
      <c r="L290" s="77" t="str">
        <f t="shared" si="9"/>
        <v/>
      </c>
    </row>
    <row r="291" spans="1:14" x14ac:dyDescent="0.25">
      <c r="A291" s="25" t="s">
        <v>3508</v>
      </c>
      <c r="B291" s="26">
        <v>167</v>
      </c>
      <c r="C291" s="26">
        <v>6</v>
      </c>
      <c r="D291" s="25" t="s">
        <v>3509</v>
      </c>
      <c r="E291" s="31"/>
      <c r="F291" s="28">
        <v>11.4</v>
      </c>
      <c r="G291" s="28">
        <f t="shared" si="8"/>
        <v>1.9000000000000001</v>
      </c>
      <c r="H291" s="30" t="s">
        <v>3510</v>
      </c>
      <c r="I291" s="30" t="s">
        <v>3511</v>
      </c>
      <c r="J291" s="31">
        <v>330</v>
      </c>
      <c r="K291" s="32">
        <v>66</v>
      </c>
      <c r="L291" s="77" t="str">
        <f t="shared" si="9"/>
        <v/>
      </c>
    </row>
    <row r="292" spans="1:14" x14ac:dyDescent="0.25">
      <c r="A292" s="25" t="s">
        <v>2071</v>
      </c>
      <c r="B292" s="26">
        <v>135</v>
      </c>
      <c r="C292" s="26">
        <v>6</v>
      </c>
      <c r="D292" s="25" t="s">
        <v>2072</v>
      </c>
      <c r="E292" s="31"/>
      <c r="F292" s="28">
        <v>11.4</v>
      </c>
      <c r="G292" s="28">
        <f t="shared" si="8"/>
        <v>1.9000000000000001</v>
      </c>
      <c r="H292" s="66" t="s">
        <v>2073</v>
      </c>
      <c r="I292" s="30" t="s">
        <v>2074</v>
      </c>
      <c r="J292" s="31">
        <v>330</v>
      </c>
      <c r="K292" s="32">
        <v>66</v>
      </c>
      <c r="L292" s="77" t="str">
        <f t="shared" si="9"/>
        <v/>
      </c>
    </row>
    <row r="293" spans="1:14" x14ac:dyDescent="0.25">
      <c r="A293" s="25" t="s">
        <v>1537</v>
      </c>
      <c r="B293" s="26">
        <v>449</v>
      </c>
      <c r="C293" s="26">
        <v>6</v>
      </c>
      <c r="D293" s="25" t="s">
        <v>1560</v>
      </c>
      <c r="E293" s="31"/>
      <c r="F293" s="28">
        <v>11.4</v>
      </c>
      <c r="G293" s="28">
        <f t="shared" si="8"/>
        <v>1.9000000000000001</v>
      </c>
      <c r="H293" s="66" t="s">
        <v>1565</v>
      </c>
      <c r="I293" s="30" t="s">
        <v>1566</v>
      </c>
      <c r="J293" s="31">
        <v>330</v>
      </c>
      <c r="K293" s="32">
        <v>66</v>
      </c>
      <c r="L293" s="77" t="str">
        <f t="shared" si="9"/>
        <v/>
      </c>
    </row>
    <row r="294" spans="1:14" x14ac:dyDescent="0.25">
      <c r="A294" s="25" t="s">
        <v>2637</v>
      </c>
      <c r="B294" s="26">
        <v>302</v>
      </c>
      <c r="C294" s="26">
        <v>12</v>
      </c>
      <c r="D294" s="25" t="s">
        <v>2638</v>
      </c>
      <c r="E294" s="27"/>
      <c r="F294" s="28">
        <v>8.8000000000000007</v>
      </c>
      <c r="G294" s="29">
        <f t="shared" si="8"/>
        <v>0.73333333333333339</v>
      </c>
      <c r="H294" s="30" t="s">
        <v>2639</v>
      </c>
      <c r="I294" s="30" t="s">
        <v>2693</v>
      </c>
      <c r="J294" s="31">
        <v>864</v>
      </c>
      <c r="K294" s="32">
        <v>216</v>
      </c>
      <c r="L294" s="76" t="str">
        <f t="shared" si="9"/>
        <v/>
      </c>
    </row>
    <row r="295" spans="1:14" x14ac:dyDescent="0.25">
      <c r="A295" s="25" t="s">
        <v>2640</v>
      </c>
      <c r="B295" s="26">
        <v>238</v>
      </c>
      <c r="C295" s="26">
        <v>24</v>
      </c>
      <c r="D295" s="25" t="s">
        <v>2641</v>
      </c>
      <c r="E295" s="27"/>
      <c r="F295" s="28">
        <v>18</v>
      </c>
      <c r="G295" s="29">
        <f t="shared" si="8"/>
        <v>0.75</v>
      </c>
      <c r="H295" s="30" t="s">
        <v>2642</v>
      </c>
      <c r="I295" s="30" t="s">
        <v>2643</v>
      </c>
      <c r="J295" s="31">
        <v>540</v>
      </c>
      <c r="K295" s="53">
        <v>90</v>
      </c>
      <c r="L295" s="76" t="str">
        <f t="shared" si="9"/>
        <v/>
      </c>
    </row>
    <row r="296" spans="1:14" x14ac:dyDescent="0.25">
      <c r="A296" s="25" t="s">
        <v>2807</v>
      </c>
      <c r="B296" s="26">
        <v>104</v>
      </c>
      <c r="C296" s="26">
        <v>24</v>
      </c>
      <c r="D296" s="25" t="s">
        <v>2808</v>
      </c>
      <c r="E296" s="27"/>
      <c r="F296" s="33">
        <v>18</v>
      </c>
      <c r="G296" s="34">
        <f t="shared" si="8"/>
        <v>0.75</v>
      </c>
      <c r="H296" s="30" t="s">
        <v>2809</v>
      </c>
      <c r="I296" s="30" t="s">
        <v>2810</v>
      </c>
      <c r="J296" s="31">
        <v>540</v>
      </c>
      <c r="K296" s="53">
        <v>90</v>
      </c>
      <c r="L296" s="76" t="str">
        <f t="shared" si="9"/>
        <v/>
      </c>
    </row>
    <row r="297" spans="1:14" x14ac:dyDescent="0.25">
      <c r="A297" s="25" t="s">
        <v>3840</v>
      </c>
      <c r="B297" s="26">
        <v>95</v>
      </c>
      <c r="C297" s="26">
        <v>24</v>
      </c>
      <c r="D297" s="25" t="s">
        <v>3841</v>
      </c>
      <c r="E297" s="27"/>
      <c r="F297" s="33">
        <v>18</v>
      </c>
      <c r="G297" s="34">
        <f t="shared" si="8"/>
        <v>0.75</v>
      </c>
      <c r="H297" s="30" t="s">
        <v>3842</v>
      </c>
      <c r="I297" s="30" t="s">
        <v>3843</v>
      </c>
      <c r="J297" s="31">
        <v>540</v>
      </c>
      <c r="K297" s="53">
        <v>90</v>
      </c>
      <c r="L297" s="76" t="str">
        <f t="shared" si="9"/>
        <v/>
      </c>
    </row>
    <row r="298" spans="1:14" x14ac:dyDescent="0.25">
      <c r="A298" s="25" t="s">
        <v>2063</v>
      </c>
      <c r="B298" s="26">
        <v>143</v>
      </c>
      <c r="C298" s="26">
        <v>24</v>
      </c>
      <c r="D298" s="25" t="s">
        <v>2064</v>
      </c>
      <c r="E298" s="27"/>
      <c r="F298" s="28">
        <v>18</v>
      </c>
      <c r="G298" s="29">
        <f t="shared" si="8"/>
        <v>0.75</v>
      </c>
      <c r="H298" s="30" t="s">
        <v>2065</v>
      </c>
      <c r="I298" s="30" t="s">
        <v>2070</v>
      </c>
      <c r="J298" s="31">
        <v>540</v>
      </c>
      <c r="K298" s="53">
        <v>90</v>
      </c>
      <c r="L298" s="76" t="str">
        <f t="shared" si="9"/>
        <v/>
      </c>
    </row>
    <row r="299" spans="1:14" x14ac:dyDescent="0.25">
      <c r="A299" s="25" t="s">
        <v>2811</v>
      </c>
      <c r="B299" s="26">
        <v>9</v>
      </c>
      <c r="C299" s="26">
        <v>24</v>
      </c>
      <c r="D299" s="25" t="s">
        <v>2812</v>
      </c>
      <c r="E299" s="27"/>
      <c r="F299" s="33">
        <v>18</v>
      </c>
      <c r="G299" s="34">
        <f t="shared" si="8"/>
        <v>0.75</v>
      </c>
      <c r="H299" s="30" t="s">
        <v>2813</v>
      </c>
      <c r="I299" s="30" t="s">
        <v>2814</v>
      </c>
      <c r="J299" s="31">
        <v>540</v>
      </c>
      <c r="K299" s="53">
        <v>90</v>
      </c>
      <c r="L299" s="76" t="str">
        <f t="shared" si="9"/>
        <v/>
      </c>
    </row>
    <row r="300" spans="1:14" x14ac:dyDescent="0.25">
      <c r="A300" s="25" t="s">
        <v>562</v>
      </c>
      <c r="B300" s="26">
        <v>31</v>
      </c>
      <c r="C300" s="26">
        <v>10</v>
      </c>
      <c r="D300" s="25" t="s">
        <v>551</v>
      </c>
      <c r="E300" s="27"/>
      <c r="F300" s="28">
        <v>4.8</v>
      </c>
      <c r="G300" s="29">
        <f t="shared" si="8"/>
        <v>0.48</v>
      </c>
      <c r="H300" s="30" t="s">
        <v>567</v>
      </c>
      <c r="I300" s="30" t="s">
        <v>568</v>
      </c>
      <c r="J300" s="31"/>
      <c r="K300" s="32"/>
      <c r="L300" s="76" t="str">
        <f t="shared" si="9"/>
        <v/>
      </c>
    </row>
    <row r="301" spans="1:14" x14ac:dyDescent="0.25">
      <c r="A301" s="25" t="s">
        <v>2685</v>
      </c>
      <c r="B301" s="26">
        <v>752</v>
      </c>
      <c r="C301" s="26">
        <v>12</v>
      </c>
      <c r="D301" s="25" t="s">
        <v>2686</v>
      </c>
      <c r="E301" s="27"/>
      <c r="F301" s="33">
        <v>7.6</v>
      </c>
      <c r="G301" s="34">
        <f t="shared" si="8"/>
        <v>0.6333333333333333</v>
      </c>
      <c r="H301" s="30" t="s">
        <v>2687</v>
      </c>
      <c r="I301" s="30" t="s">
        <v>2688</v>
      </c>
      <c r="J301" s="31">
        <v>400</v>
      </c>
      <c r="K301" s="32">
        <v>80</v>
      </c>
      <c r="L301" s="76" t="str">
        <f t="shared" si="9"/>
        <v/>
      </c>
    </row>
    <row r="302" spans="1:14" x14ac:dyDescent="0.25">
      <c r="A302" s="25" t="s">
        <v>2689</v>
      </c>
      <c r="B302" s="26">
        <v>1487</v>
      </c>
      <c r="C302" s="26">
        <v>12</v>
      </c>
      <c r="D302" s="25" t="s">
        <v>2690</v>
      </c>
      <c r="E302" s="27"/>
      <c r="F302" s="33">
        <v>7.6</v>
      </c>
      <c r="G302" s="34">
        <f t="shared" si="8"/>
        <v>0.6333333333333333</v>
      </c>
      <c r="H302" s="30" t="s">
        <v>2691</v>
      </c>
      <c r="I302" s="30" t="s">
        <v>2692</v>
      </c>
      <c r="J302" s="31">
        <v>400</v>
      </c>
      <c r="K302" s="32">
        <v>80</v>
      </c>
      <c r="L302" s="76" t="str">
        <f t="shared" si="9"/>
        <v/>
      </c>
    </row>
    <row r="303" spans="1:14" x14ac:dyDescent="0.25">
      <c r="A303" s="36" t="s">
        <v>2700</v>
      </c>
      <c r="B303" s="54">
        <v>1718</v>
      </c>
      <c r="C303" s="53">
        <v>6</v>
      </c>
      <c r="D303" s="36" t="s">
        <v>2701</v>
      </c>
      <c r="E303" s="32"/>
      <c r="F303" s="58">
        <v>3.99</v>
      </c>
      <c r="G303" s="58">
        <f t="shared" si="8"/>
        <v>0.66500000000000004</v>
      </c>
      <c r="H303" s="67" t="s">
        <v>2702</v>
      </c>
      <c r="I303" s="56" t="s">
        <v>2703</v>
      </c>
      <c r="J303" s="54">
        <v>864</v>
      </c>
      <c r="K303" s="53">
        <v>96</v>
      </c>
      <c r="L303" s="79" t="str">
        <f t="shared" si="9"/>
        <v/>
      </c>
      <c r="N303" s="39"/>
    </row>
    <row r="304" spans="1:14" x14ac:dyDescent="0.25">
      <c r="A304" s="25" t="s">
        <v>3709</v>
      </c>
      <c r="B304" s="26">
        <v>483</v>
      </c>
      <c r="C304" s="26">
        <v>12</v>
      </c>
      <c r="D304" s="25" t="s">
        <v>3710</v>
      </c>
      <c r="E304" s="27"/>
      <c r="F304" s="33">
        <v>22.4</v>
      </c>
      <c r="G304" s="34">
        <f t="shared" si="8"/>
        <v>1.8666666666666665</v>
      </c>
      <c r="H304" s="30" t="s">
        <v>3711</v>
      </c>
      <c r="I304" s="30" t="s">
        <v>3712</v>
      </c>
      <c r="J304" s="31">
        <v>240</v>
      </c>
      <c r="K304" s="32">
        <v>60</v>
      </c>
      <c r="L304" s="76" t="str">
        <f t="shared" si="9"/>
        <v/>
      </c>
    </row>
    <row r="305" spans="1:12" x14ac:dyDescent="0.25">
      <c r="A305" s="36" t="s">
        <v>652</v>
      </c>
      <c r="B305" s="54">
        <v>0</v>
      </c>
      <c r="C305" s="53">
        <v>12</v>
      </c>
      <c r="D305" s="36" t="s">
        <v>653</v>
      </c>
      <c r="E305" s="27"/>
      <c r="F305" s="28">
        <v>25.4</v>
      </c>
      <c r="G305" s="28">
        <f t="shared" si="8"/>
        <v>2.1166666666666667</v>
      </c>
      <c r="H305" s="30" t="s">
        <v>1006</v>
      </c>
      <c r="I305" s="56" t="s">
        <v>1007</v>
      </c>
      <c r="J305" s="54">
        <v>506</v>
      </c>
      <c r="K305" s="32">
        <v>46</v>
      </c>
      <c r="L305" s="76" t="str">
        <f t="shared" si="9"/>
        <v/>
      </c>
    </row>
    <row r="306" spans="1:12" x14ac:dyDescent="0.25">
      <c r="A306" s="25" t="s">
        <v>730</v>
      </c>
      <c r="B306" s="26">
        <v>0</v>
      </c>
      <c r="C306" s="26">
        <v>6</v>
      </c>
      <c r="D306" s="25" t="s">
        <v>731</v>
      </c>
      <c r="E306" s="27"/>
      <c r="F306" s="28">
        <v>22.15</v>
      </c>
      <c r="G306" s="28">
        <f t="shared" si="8"/>
        <v>3.6916666666666664</v>
      </c>
      <c r="H306" s="30" t="s">
        <v>1413</v>
      </c>
      <c r="I306" s="30" t="s">
        <v>1008</v>
      </c>
      <c r="J306" s="31">
        <v>585</v>
      </c>
      <c r="K306" s="32">
        <v>65</v>
      </c>
      <c r="L306" s="76" t="str">
        <f t="shared" si="9"/>
        <v/>
      </c>
    </row>
    <row r="307" spans="1:12" x14ac:dyDescent="0.25">
      <c r="A307" s="25" t="s">
        <v>3240</v>
      </c>
      <c r="B307" s="26">
        <v>669</v>
      </c>
      <c r="C307" s="26">
        <v>6</v>
      </c>
      <c r="D307" s="25" t="s">
        <v>3241</v>
      </c>
      <c r="E307" s="31"/>
      <c r="F307" s="33">
        <v>38</v>
      </c>
      <c r="G307" s="33">
        <f t="shared" si="8"/>
        <v>6.333333333333333</v>
      </c>
      <c r="H307" s="30" t="s">
        <v>3242</v>
      </c>
      <c r="I307" s="30" t="s">
        <v>3243</v>
      </c>
      <c r="J307" s="31">
        <v>252</v>
      </c>
      <c r="K307" s="32">
        <v>28</v>
      </c>
      <c r="L307" s="77" t="str">
        <f t="shared" si="9"/>
        <v/>
      </c>
    </row>
    <row r="308" spans="1:12" x14ac:dyDescent="0.25">
      <c r="A308" s="25" t="s">
        <v>1036</v>
      </c>
      <c r="B308" s="26">
        <v>17</v>
      </c>
      <c r="C308" s="26">
        <v>6</v>
      </c>
      <c r="D308" s="25" t="s">
        <v>654</v>
      </c>
      <c r="E308" s="27"/>
      <c r="F308" s="28">
        <v>32.32</v>
      </c>
      <c r="G308" s="28">
        <f t="shared" si="8"/>
        <v>5.3866666666666667</v>
      </c>
      <c r="H308" s="30" t="s">
        <v>1037</v>
      </c>
      <c r="I308" s="30" t="s">
        <v>1038</v>
      </c>
      <c r="J308" s="31">
        <v>200</v>
      </c>
      <c r="K308" s="32">
        <v>40</v>
      </c>
      <c r="L308" s="76" t="str">
        <f t="shared" si="9"/>
        <v/>
      </c>
    </row>
    <row r="309" spans="1:12" x14ac:dyDescent="0.25">
      <c r="A309" s="25" t="s">
        <v>293</v>
      </c>
      <c r="B309" s="26">
        <v>17</v>
      </c>
      <c r="C309" s="26">
        <v>6</v>
      </c>
      <c r="D309" s="25" t="s">
        <v>615</v>
      </c>
      <c r="E309" s="27"/>
      <c r="F309" s="28">
        <v>4.8</v>
      </c>
      <c r="G309" s="29">
        <f t="shared" si="8"/>
        <v>0.79999999999999993</v>
      </c>
      <c r="H309" s="30" t="s">
        <v>294</v>
      </c>
      <c r="I309" s="30" t="s">
        <v>295</v>
      </c>
      <c r="J309" s="31">
        <v>384</v>
      </c>
      <c r="K309" s="32">
        <v>64</v>
      </c>
      <c r="L309" s="76" t="str">
        <f t="shared" si="9"/>
        <v/>
      </c>
    </row>
    <row r="310" spans="1:12" x14ac:dyDescent="0.25">
      <c r="A310" s="25" t="s">
        <v>1971</v>
      </c>
      <c r="B310" s="26">
        <v>51</v>
      </c>
      <c r="C310" s="26">
        <v>12</v>
      </c>
      <c r="D310" s="25" t="s">
        <v>1980</v>
      </c>
      <c r="E310" s="27"/>
      <c r="F310" s="28">
        <v>24.75</v>
      </c>
      <c r="G310" s="29">
        <f t="shared" si="8"/>
        <v>2.0625</v>
      </c>
      <c r="H310" s="30" t="s">
        <v>1972</v>
      </c>
      <c r="I310" s="30" t="s">
        <v>1973</v>
      </c>
      <c r="J310" s="31">
        <v>567</v>
      </c>
      <c r="K310" s="32">
        <v>81</v>
      </c>
      <c r="L310" s="76" t="str">
        <f t="shared" si="9"/>
        <v/>
      </c>
    </row>
    <row r="311" spans="1:12" x14ac:dyDescent="0.25">
      <c r="A311" s="25" t="s">
        <v>1974</v>
      </c>
      <c r="B311" s="26">
        <v>6</v>
      </c>
      <c r="C311" s="26">
        <v>12</v>
      </c>
      <c r="D311" s="25" t="s">
        <v>1988</v>
      </c>
      <c r="E311" s="27"/>
      <c r="F311" s="28">
        <v>31.6</v>
      </c>
      <c r="G311" s="29">
        <f t="shared" ref="G311:G372" si="10">F311/C311</f>
        <v>2.6333333333333333</v>
      </c>
      <c r="H311" s="30" t="s">
        <v>1975</v>
      </c>
      <c r="I311" s="30" t="s">
        <v>1976</v>
      </c>
      <c r="J311" s="31">
        <v>567</v>
      </c>
      <c r="K311" s="32">
        <v>81</v>
      </c>
      <c r="L311" s="76" t="str">
        <f t="shared" ref="L311:L372" si="11">IF(E311,E311*F311,"")</f>
        <v/>
      </c>
    </row>
    <row r="312" spans="1:12" x14ac:dyDescent="0.25">
      <c r="A312" s="25" t="s">
        <v>1977</v>
      </c>
      <c r="B312" s="26">
        <v>89</v>
      </c>
      <c r="C312" s="26">
        <v>12</v>
      </c>
      <c r="D312" s="25" t="s">
        <v>1981</v>
      </c>
      <c r="E312" s="27"/>
      <c r="F312" s="28">
        <v>26.5</v>
      </c>
      <c r="G312" s="29">
        <f t="shared" si="10"/>
        <v>2.2083333333333335</v>
      </c>
      <c r="H312" s="30" t="s">
        <v>1978</v>
      </c>
      <c r="I312" s="30" t="s">
        <v>1979</v>
      </c>
      <c r="J312" s="31">
        <v>567</v>
      </c>
      <c r="K312" s="32">
        <v>81</v>
      </c>
      <c r="L312" s="76" t="str">
        <f t="shared" si="11"/>
        <v/>
      </c>
    </row>
    <row r="313" spans="1:12" x14ac:dyDescent="0.25">
      <c r="A313" s="25" t="s">
        <v>3250</v>
      </c>
      <c r="B313" s="26">
        <v>75</v>
      </c>
      <c r="C313" s="26">
        <v>10</v>
      </c>
      <c r="D313" s="25" t="s">
        <v>3260</v>
      </c>
      <c r="E313" s="27"/>
      <c r="F313" s="28">
        <v>4.8</v>
      </c>
      <c r="G313" s="29">
        <f t="shared" si="10"/>
        <v>0.48</v>
      </c>
      <c r="H313" s="30" t="s">
        <v>3280</v>
      </c>
      <c r="I313" s="30" t="s">
        <v>3298</v>
      </c>
      <c r="J313" s="31">
        <v>720</v>
      </c>
      <c r="K313" s="32">
        <v>120</v>
      </c>
      <c r="L313" s="76" t="str">
        <f t="shared" si="11"/>
        <v/>
      </c>
    </row>
    <row r="314" spans="1:12" x14ac:dyDescent="0.25">
      <c r="A314" s="25" t="s">
        <v>3251</v>
      </c>
      <c r="B314" s="26">
        <v>76</v>
      </c>
      <c r="C314" s="26">
        <v>10</v>
      </c>
      <c r="D314" s="25" t="s">
        <v>3261</v>
      </c>
      <c r="E314" s="27"/>
      <c r="F314" s="28">
        <v>4.8</v>
      </c>
      <c r="G314" s="29">
        <f t="shared" si="10"/>
        <v>0.48</v>
      </c>
      <c r="H314" s="30" t="s">
        <v>3292</v>
      </c>
      <c r="I314" s="30" t="s">
        <v>3293</v>
      </c>
      <c r="J314" s="31">
        <v>720</v>
      </c>
      <c r="K314" s="32">
        <v>120</v>
      </c>
      <c r="L314" s="76" t="str">
        <f t="shared" si="11"/>
        <v/>
      </c>
    </row>
    <row r="315" spans="1:12" x14ac:dyDescent="0.25">
      <c r="A315" s="25" t="s">
        <v>3252</v>
      </c>
      <c r="B315" s="26">
        <v>75</v>
      </c>
      <c r="C315" s="26">
        <v>10</v>
      </c>
      <c r="D315" s="25" t="s">
        <v>3265</v>
      </c>
      <c r="E315" s="27"/>
      <c r="F315" s="28">
        <v>4.8</v>
      </c>
      <c r="G315" s="29">
        <f t="shared" si="10"/>
        <v>0.48</v>
      </c>
      <c r="H315" s="30" t="s">
        <v>3296</v>
      </c>
      <c r="I315" s="30" t="s">
        <v>3297</v>
      </c>
      <c r="J315" s="31">
        <v>720</v>
      </c>
      <c r="K315" s="32">
        <v>120</v>
      </c>
      <c r="L315" s="76" t="str">
        <f t="shared" si="11"/>
        <v/>
      </c>
    </row>
    <row r="316" spans="1:12" x14ac:dyDescent="0.25">
      <c r="A316" s="25" t="s">
        <v>3253</v>
      </c>
      <c r="B316" s="26">
        <v>75</v>
      </c>
      <c r="C316" s="26">
        <v>10</v>
      </c>
      <c r="D316" s="25" t="s">
        <v>3281</v>
      </c>
      <c r="E316" s="27"/>
      <c r="F316" s="28">
        <v>4.8</v>
      </c>
      <c r="G316" s="29">
        <f t="shared" si="10"/>
        <v>0.48</v>
      </c>
      <c r="H316" s="30" t="s">
        <v>3282</v>
      </c>
      <c r="I316" s="30" t="s">
        <v>3283</v>
      </c>
      <c r="J316" s="31">
        <v>720</v>
      </c>
      <c r="K316" s="32">
        <v>120</v>
      </c>
      <c r="L316" s="76" t="str">
        <f t="shared" si="11"/>
        <v/>
      </c>
    </row>
    <row r="317" spans="1:12" x14ac:dyDescent="0.25">
      <c r="A317" s="25" t="s">
        <v>3254</v>
      </c>
      <c r="B317" s="26">
        <v>78</v>
      </c>
      <c r="C317" s="26">
        <v>10</v>
      </c>
      <c r="D317" s="25" t="s">
        <v>3262</v>
      </c>
      <c r="E317" s="27"/>
      <c r="F317" s="28">
        <v>4.8</v>
      </c>
      <c r="G317" s="29">
        <f t="shared" si="10"/>
        <v>0.48</v>
      </c>
      <c r="H317" s="30" t="s">
        <v>3288</v>
      </c>
      <c r="I317" s="30" t="s">
        <v>3289</v>
      </c>
      <c r="J317" s="31">
        <v>720</v>
      </c>
      <c r="K317" s="32">
        <v>120</v>
      </c>
      <c r="L317" s="76" t="str">
        <f t="shared" si="11"/>
        <v/>
      </c>
    </row>
    <row r="318" spans="1:12" x14ac:dyDescent="0.25">
      <c r="A318" s="25" t="s">
        <v>3255</v>
      </c>
      <c r="B318" s="26">
        <v>78</v>
      </c>
      <c r="C318" s="26">
        <v>10</v>
      </c>
      <c r="D318" s="25" t="s">
        <v>3263</v>
      </c>
      <c r="E318" s="27"/>
      <c r="F318" s="28">
        <v>4.8</v>
      </c>
      <c r="G318" s="29">
        <f t="shared" si="10"/>
        <v>0.48</v>
      </c>
      <c r="H318" s="30" t="s">
        <v>3290</v>
      </c>
      <c r="I318" s="30" t="s">
        <v>3291</v>
      </c>
      <c r="J318" s="31">
        <v>720</v>
      </c>
      <c r="K318" s="32">
        <v>120</v>
      </c>
      <c r="L318" s="76" t="str">
        <f t="shared" si="11"/>
        <v/>
      </c>
    </row>
    <row r="319" spans="1:12" x14ac:dyDescent="0.25">
      <c r="A319" s="25" t="s">
        <v>3256</v>
      </c>
      <c r="B319" s="26">
        <v>75</v>
      </c>
      <c r="C319" s="26">
        <v>10</v>
      </c>
      <c r="D319" s="25" t="s">
        <v>3266</v>
      </c>
      <c r="E319" s="27"/>
      <c r="F319" s="28">
        <v>4.8</v>
      </c>
      <c r="G319" s="29">
        <f t="shared" si="10"/>
        <v>0.48</v>
      </c>
      <c r="H319" s="30" t="s">
        <v>3294</v>
      </c>
      <c r="I319" s="30" t="s">
        <v>3295</v>
      </c>
      <c r="J319" s="31">
        <v>720</v>
      </c>
      <c r="K319" s="32">
        <v>120</v>
      </c>
      <c r="L319" s="76" t="str">
        <f t="shared" si="11"/>
        <v/>
      </c>
    </row>
    <row r="320" spans="1:12" x14ac:dyDescent="0.25">
      <c r="A320" s="25" t="s">
        <v>3257</v>
      </c>
      <c r="B320" s="26">
        <v>79</v>
      </c>
      <c r="C320" s="26">
        <v>10</v>
      </c>
      <c r="D320" s="25" t="s">
        <v>3267</v>
      </c>
      <c r="E320" s="27"/>
      <c r="F320" s="28">
        <v>4.8</v>
      </c>
      <c r="G320" s="29">
        <f t="shared" si="10"/>
        <v>0.48</v>
      </c>
      <c r="H320" s="30" t="s">
        <v>3284</v>
      </c>
      <c r="I320" s="30" t="s">
        <v>3285</v>
      </c>
      <c r="J320" s="31">
        <v>720</v>
      </c>
      <c r="K320" s="32">
        <v>120</v>
      </c>
      <c r="L320" s="76" t="str">
        <f t="shared" si="11"/>
        <v/>
      </c>
    </row>
    <row r="321" spans="1:12" x14ac:dyDescent="0.25">
      <c r="A321" s="25" t="s">
        <v>3258</v>
      </c>
      <c r="B321" s="26">
        <v>76</v>
      </c>
      <c r="C321" s="26">
        <v>10</v>
      </c>
      <c r="D321" s="25" t="s">
        <v>3264</v>
      </c>
      <c r="E321" s="27"/>
      <c r="F321" s="28">
        <v>4.8</v>
      </c>
      <c r="G321" s="29">
        <f t="shared" si="10"/>
        <v>0.48</v>
      </c>
      <c r="H321" s="30" t="s">
        <v>3278</v>
      </c>
      <c r="I321" s="30" t="s">
        <v>3279</v>
      </c>
      <c r="J321" s="31">
        <v>720</v>
      </c>
      <c r="K321" s="32">
        <v>120</v>
      </c>
      <c r="L321" s="76" t="str">
        <f t="shared" si="11"/>
        <v/>
      </c>
    </row>
    <row r="322" spans="1:12" x14ac:dyDescent="0.25">
      <c r="A322" s="25" t="s">
        <v>3259</v>
      </c>
      <c r="B322" s="26">
        <v>266</v>
      </c>
      <c r="C322" s="26">
        <v>10</v>
      </c>
      <c r="D322" s="25" t="s">
        <v>3268</v>
      </c>
      <c r="E322" s="27"/>
      <c r="F322" s="28">
        <v>4.8</v>
      </c>
      <c r="G322" s="29">
        <f t="shared" si="10"/>
        <v>0.48</v>
      </c>
      <c r="H322" s="30" t="s">
        <v>3286</v>
      </c>
      <c r="I322" s="30" t="s">
        <v>3287</v>
      </c>
      <c r="J322" s="31">
        <v>720</v>
      </c>
      <c r="K322" s="32">
        <v>120</v>
      </c>
      <c r="L322" s="76" t="str">
        <f t="shared" si="11"/>
        <v/>
      </c>
    </row>
    <row r="323" spans="1:12" x14ac:dyDescent="0.25">
      <c r="A323" s="25" t="s">
        <v>3111</v>
      </c>
      <c r="B323" s="26">
        <v>193</v>
      </c>
      <c r="C323" s="26">
        <v>12</v>
      </c>
      <c r="D323" s="25" t="s">
        <v>3114</v>
      </c>
      <c r="E323" s="27"/>
      <c r="F323" s="28">
        <v>2.76</v>
      </c>
      <c r="G323" s="29">
        <f t="shared" si="10"/>
        <v>0.22999999999999998</v>
      </c>
      <c r="H323" s="30" t="s">
        <v>3116</v>
      </c>
      <c r="I323" s="30" t="s">
        <v>3120</v>
      </c>
      <c r="J323" s="31">
        <v>864</v>
      </c>
      <c r="K323" s="32">
        <v>216</v>
      </c>
      <c r="L323" s="76" t="str">
        <f t="shared" si="11"/>
        <v/>
      </c>
    </row>
    <row r="324" spans="1:12" x14ac:dyDescent="0.25">
      <c r="A324" s="25" t="s">
        <v>3112</v>
      </c>
      <c r="B324" s="26">
        <v>249</v>
      </c>
      <c r="C324" s="26">
        <v>12</v>
      </c>
      <c r="D324" s="25" t="s">
        <v>3113</v>
      </c>
      <c r="E324" s="27"/>
      <c r="F324" s="28">
        <v>2.76</v>
      </c>
      <c r="G324" s="29">
        <f t="shared" si="10"/>
        <v>0.22999999999999998</v>
      </c>
      <c r="H324" s="30" t="s">
        <v>3115</v>
      </c>
      <c r="I324" s="30" t="s">
        <v>3121</v>
      </c>
      <c r="J324" s="31">
        <v>864</v>
      </c>
      <c r="K324" s="32">
        <v>216</v>
      </c>
      <c r="L324" s="76" t="str">
        <f t="shared" si="11"/>
        <v/>
      </c>
    </row>
    <row r="325" spans="1:12" x14ac:dyDescent="0.25">
      <c r="A325" s="25" t="s">
        <v>3932</v>
      </c>
      <c r="B325" s="26">
        <v>96</v>
      </c>
      <c r="C325" s="26">
        <v>6</v>
      </c>
      <c r="D325" s="25" t="s">
        <v>3933</v>
      </c>
      <c r="E325" s="31"/>
      <c r="F325" s="33">
        <v>2.2000000000000002</v>
      </c>
      <c r="G325" s="33">
        <f t="shared" si="10"/>
        <v>0.3666666666666667</v>
      </c>
      <c r="H325" s="30" t="s">
        <v>3934</v>
      </c>
      <c r="I325" s="30" t="s">
        <v>3935</v>
      </c>
      <c r="J325" s="31"/>
      <c r="K325" s="37"/>
      <c r="L325" s="76" t="str">
        <f t="shared" si="11"/>
        <v/>
      </c>
    </row>
    <row r="326" spans="1:12" x14ac:dyDescent="0.25">
      <c r="A326" s="25" t="s">
        <v>3337</v>
      </c>
      <c r="B326" s="26">
        <v>41</v>
      </c>
      <c r="C326" s="26">
        <v>6</v>
      </c>
      <c r="D326" s="25" t="s">
        <v>3336</v>
      </c>
      <c r="E326" s="27"/>
      <c r="F326" s="33">
        <v>10.199999999999999</v>
      </c>
      <c r="G326" s="34">
        <f t="shared" si="10"/>
        <v>1.7</v>
      </c>
      <c r="H326" s="30" t="s">
        <v>3445</v>
      </c>
      <c r="I326" s="30" t="s">
        <v>3446</v>
      </c>
      <c r="J326" s="31">
        <v>909</v>
      </c>
      <c r="K326" s="32">
        <v>101</v>
      </c>
      <c r="L326" s="76" t="str">
        <f t="shared" si="11"/>
        <v/>
      </c>
    </row>
    <row r="327" spans="1:12" x14ac:dyDescent="0.25">
      <c r="A327" s="25" t="s">
        <v>2761</v>
      </c>
      <c r="B327" s="26">
        <v>302</v>
      </c>
      <c r="C327" s="26">
        <v>6</v>
      </c>
      <c r="D327" s="25" t="s">
        <v>2762</v>
      </c>
      <c r="E327" s="27"/>
      <c r="F327" s="33">
        <v>10.199999999999999</v>
      </c>
      <c r="G327" s="34">
        <f t="shared" si="10"/>
        <v>1.7</v>
      </c>
      <c r="H327" s="30" t="s">
        <v>2763</v>
      </c>
      <c r="I327" s="30" t="s">
        <v>2829</v>
      </c>
      <c r="J327" s="31">
        <v>909</v>
      </c>
      <c r="K327" s="32">
        <v>101</v>
      </c>
      <c r="L327" s="76" t="str">
        <f t="shared" si="11"/>
        <v/>
      </c>
    </row>
    <row r="328" spans="1:12" x14ac:dyDescent="0.25">
      <c r="A328" s="25" t="s">
        <v>3332</v>
      </c>
      <c r="B328" s="26">
        <v>345</v>
      </c>
      <c r="C328" s="26">
        <v>6</v>
      </c>
      <c r="D328" s="25" t="s">
        <v>3333</v>
      </c>
      <c r="E328" s="27"/>
      <c r="F328" s="33">
        <v>10.199999999999999</v>
      </c>
      <c r="G328" s="34">
        <f t="shared" si="10"/>
        <v>1.7</v>
      </c>
      <c r="H328" s="30" t="s">
        <v>3334</v>
      </c>
      <c r="I328" s="30" t="s">
        <v>3505</v>
      </c>
      <c r="J328" s="31">
        <v>909</v>
      </c>
      <c r="K328" s="32">
        <v>101</v>
      </c>
      <c r="L328" s="76" t="str">
        <f t="shared" si="11"/>
        <v/>
      </c>
    </row>
    <row r="329" spans="1:12" x14ac:dyDescent="0.25">
      <c r="A329" s="25" t="s">
        <v>3338</v>
      </c>
      <c r="B329" s="26">
        <v>49</v>
      </c>
      <c r="C329" s="26">
        <v>6</v>
      </c>
      <c r="D329" s="25" t="s">
        <v>3335</v>
      </c>
      <c r="E329" s="27"/>
      <c r="F329" s="33">
        <v>10.199999999999999</v>
      </c>
      <c r="G329" s="34">
        <f t="shared" si="10"/>
        <v>1.7</v>
      </c>
      <c r="H329" s="30" t="s">
        <v>3443</v>
      </c>
      <c r="I329" s="30" t="s">
        <v>3444</v>
      </c>
      <c r="J329" s="31">
        <v>909</v>
      </c>
      <c r="K329" s="32">
        <v>101</v>
      </c>
      <c r="L329" s="76" t="str">
        <f t="shared" si="11"/>
        <v/>
      </c>
    </row>
    <row r="330" spans="1:12" x14ac:dyDescent="0.25">
      <c r="A330" s="25" t="s">
        <v>1243</v>
      </c>
      <c r="B330" s="26">
        <v>326</v>
      </c>
      <c r="C330" s="26">
        <v>6</v>
      </c>
      <c r="D330" s="25" t="s">
        <v>453</v>
      </c>
      <c r="E330" s="27"/>
      <c r="F330" s="28">
        <v>4.5</v>
      </c>
      <c r="G330" s="29">
        <f t="shared" si="10"/>
        <v>0.75</v>
      </c>
      <c r="H330" s="30" t="s">
        <v>454</v>
      </c>
      <c r="I330" s="30" t="s">
        <v>666</v>
      </c>
      <c r="J330" s="31">
        <v>280</v>
      </c>
      <c r="K330" s="32">
        <v>40</v>
      </c>
      <c r="L330" s="76" t="str">
        <f t="shared" si="11"/>
        <v/>
      </c>
    </row>
    <row r="331" spans="1:12" x14ac:dyDescent="0.25">
      <c r="A331" s="25" t="s">
        <v>659</v>
      </c>
      <c r="B331" s="26">
        <v>20</v>
      </c>
      <c r="C331" s="26">
        <v>20</v>
      </c>
      <c r="D331" s="25" t="s">
        <v>1383</v>
      </c>
      <c r="E331" s="27"/>
      <c r="F331" s="28">
        <v>24</v>
      </c>
      <c r="G331" s="28">
        <f t="shared" si="10"/>
        <v>1.2</v>
      </c>
      <c r="H331" s="30" t="s">
        <v>660</v>
      </c>
      <c r="I331" s="30" t="s">
        <v>661</v>
      </c>
      <c r="J331" s="31">
        <v>288</v>
      </c>
      <c r="K331" s="32">
        <v>48</v>
      </c>
      <c r="L331" s="76" t="str">
        <f t="shared" si="11"/>
        <v/>
      </c>
    </row>
    <row r="332" spans="1:12" x14ac:dyDescent="0.25">
      <c r="A332" s="25" t="s">
        <v>519</v>
      </c>
      <c r="B332" s="26">
        <v>329</v>
      </c>
      <c r="C332" s="26">
        <v>10</v>
      </c>
      <c r="D332" s="25" t="s">
        <v>520</v>
      </c>
      <c r="E332" s="27"/>
      <c r="F332" s="28">
        <v>52.8</v>
      </c>
      <c r="G332" s="29">
        <f t="shared" si="10"/>
        <v>5.2799999999999994</v>
      </c>
      <c r="H332" s="30" t="s">
        <v>521</v>
      </c>
      <c r="I332" s="30" t="s">
        <v>522</v>
      </c>
      <c r="J332" s="31"/>
      <c r="K332" s="32"/>
      <c r="L332" s="76" t="str">
        <f t="shared" si="11"/>
        <v/>
      </c>
    </row>
    <row r="333" spans="1:12" x14ac:dyDescent="0.25">
      <c r="A333" s="25" t="s">
        <v>1403</v>
      </c>
      <c r="B333" s="26">
        <v>196</v>
      </c>
      <c r="C333" s="26">
        <v>10</v>
      </c>
      <c r="D333" s="25" t="s">
        <v>1404</v>
      </c>
      <c r="E333" s="27"/>
      <c r="F333" s="28">
        <v>59.95</v>
      </c>
      <c r="G333" s="29">
        <f t="shared" si="10"/>
        <v>5.9950000000000001</v>
      </c>
      <c r="H333" s="30" t="s">
        <v>1405</v>
      </c>
      <c r="I333" s="30" t="s">
        <v>1432</v>
      </c>
      <c r="J333" s="31"/>
      <c r="K333" s="32"/>
      <c r="L333" s="76" t="str">
        <f t="shared" si="11"/>
        <v/>
      </c>
    </row>
    <row r="334" spans="1:12" x14ac:dyDescent="0.25">
      <c r="A334" s="25" t="s">
        <v>896</v>
      </c>
      <c r="B334" s="26">
        <v>53</v>
      </c>
      <c r="C334" s="26">
        <v>10</v>
      </c>
      <c r="D334" s="25" t="s">
        <v>897</v>
      </c>
      <c r="E334" s="27"/>
      <c r="F334" s="28">
        <v>92</v>
      </c>
      <c r="G334" s="29">
        <f t="shared" si="10"/>
        <v>9.1999999999999993</v>
      </c>
      <c r="H334" s="30" t="s">
        <v>903</v>
      </c>
      <c r="I334" s="30" t="s">
        <v>904</v>
      </c>
      <c r="J334" s="31">
        <v>360</v>
      </c>
      <c r="K334" s="32">
        <v>90</v>
      </c>
      <c r="L334" s="76" t="str">
        <f t="shared" si="11"/>
        <v/>
      </c>
    </row>
    <row r="335" spans="1:12" x14ac:dyDescent="0.25">
      <c r="A335" s="25" t="s">
        <v>2489</v>
      </c>
      <c r="B335" s="26">
        <v>113</v>
      </c>
      <c r="C335" s="26">
        <v>10</v>
      </c>
      <c r="D335" s="25" t="s">
        <v>2490</v>
      </c>
      <c r="E335" s="27"/>
      <c r="F335" s="28">
        <v>78</v>
      </c>
      <c r="G335" s="28">
        <f t="shared" si="10"/>
        <v>7.8</v>
      </c>
      <c r="H335" s="30" t="s">
        <v>2491</v>
      </c>
      <c r="I335" s="30" t="s">
        <v>2492</v>
      </c>
      <c r="J335" s="31">
        <v>600</v>
      </c>
      <c r="K335" s="32">
        <v>120</v>
      </c>
      <c r="L335" s="76" t="str">
        <f t="shared" si="11"/>
        <v/>
      </c>
    </row>
    <row r="336" spans="1:12" x14ac:dyDescent="0.25">
      <c r="A336" s="25" t="s">
        <v>693</v>
      </c>
      <c r="B336" s="53">
        <v>25</v>
      </c>
      <c r="C336" s="26">
        <v>6</v>
      </c>
      <c r="D336" s="25" t="s">
        <v>694</v>
      </c>
      <c r="E336" s="27"/>
      <c r="F336" s="28">
        <v>18.8</v>
      </c>
      <c r="G336" s="29">
        <f t="shared" si="10"/>
        <v>3.1333333333333333</v>
      </c>
      <c r="H336" s="30" t="s">
        <v>1665</v>
      </c>
      <c r="I336" s="30" t="s">
        <v>1666</v>
      </c>
      <c r="J336" s="31">
        <v>240</v>
      </c>
      <c r="K336" s="32">
        <v>60</v>
      </c>
      <c r="L336" s="76" t="str">
        <f t="shared" si="11"/>
        <v/>
      </c>
    </row>
    <row r="337" spans="1:12" x14ac:dyDescent="0.25">
      <c r="A337" s="25" t="s">
        <v>769</v>
      </c>
      <c r="B337" s="26">
        <v>1255</v>
      </c>
      <c r="C337" s="26">
        <v>6</v>
      </c>
      <c r="D337" s="25" t="s">
        <v>770</v>
      </c>
      <c r="E337" s="31"/>
      <c r="F337" s="28">
        <v>6.72</v>
      </c>
      <c r="G337" s="28">
        <f t="shared" si="10"/>
        <v>1.1199999999999999</v>
      </c>
      <c r="H337" s="30" t="s">
        <v>771</v>
      </c>
      <c r="I337" s="30" t="s">
        <v>772</v>
      </c>
      <c r="J337" s="31">
        <v>496</v>
      </c>
      <c r="K337" s="32">
        <v>62</v>
      </c>
      <c r="L337" s="76" t="str">
        <f t="shared" si="11"/>
        <v/>
      </c>
    </row>
    <row r="338" spans="1:12" x14ac:dyDescent="0.25">
      <c r="A338" s="25" t="s">
        <v>773</v>
      </c>
      <c r="B338" s="26">
        <v>1637</v>
      </c>
      <c r="C338" s="26">
        <v>6</v>
      </c>
      <c r="D338" s="25" t="s">
        <v>774</v>
      </c>
      <c r="E338" s="31"/>
      <c r="F338" s="28">
        <v>6.72</v>
      </c>
      <c r="G338" s="28">
        <f t="shared" si="10"/>
        <v>1.1199999999999999</v>
      </c>
      <c r="H338" s="30" t="s">
        <v>775</v>
      </c>
      <c r="I338" s="30" t="s">
        <v>776</v>
      </c>
      <c r="J338" s="31">
        <v>496</v>
      </c>
      <c r="K338" s="32">
        <v>62</v>
      </c>
      <c r="L338" s="76" t="str">
        <f t="shared" si="11"/>
        <v/>
      </c>
    </row>
    <row r="339" spans="1:12" x14ac:dyDescent="0.25">
      <c r="A339" s="25" t="s">
        <v>1919</v>
      </c>
      <c r="B339" s="26">
        <v>5</v>
      </c>
      <c r="C339" s="26">
        <v>6</v>
      </c>
      <c r="D339" s="25" t="s">
        <v>1918</v>
      </c>
      <c r="E339" s="31"/>
      <c r="F339" s="28">
        <v>11.8</v>
      </c>
      <c r="G339" s="28">
        <f t="shared" si="10"/>
        <v>1.9666666666666668</v>
      </c>
      <c r="H339" s="30" t="s">
        <v>1920</v>
      </c>
      <c r="I339" s="30" t="s">
        <v>1921</v>
      </c>
      <c r="J339" s="31">
        <v>192</v>
      </c>
      <c r="K339" s="32">
        <v>48</v>
      </c>
      <c r="L339" s="76" t="str">
        <f t="shared" si="11"/>
        <v/>
      </c>
    </row>
    <row r="340" spans="1:12" x14ac:dyDescent="0.25">
      <c r="A340" s="25" t="s">
        <v>449</v>
      </c>
      <c r="B340" s="26">
        <v>552</v>
      </c>
      <c r="C340" s="26">
        <v>6</v>
      </c>
      <c r="D340" s="25" t="s">
        <v>450</v>
      </c>
      <c r="E340" s="27"/>
      <c r="F340" s="28">
        <v>7.5</v>
      </c>
      <c r="G340" s="29">
        <f t="shared" si="10"/>
        <v>1.25</v>
      </c>
      <c r="H340" s="30" t="s">
        <v>451</v>
      </c>
      <c r="I340" s="30" t="s">
        <v>452</v>
      </c>
      <c r="J340" s="31">
        <v>434</v>
      </c>
      <c r="K340" s="32">
        <v>62</v>
      </c>
      <c r="L340" s="76" t="str">
        <f t="shared" si="11"/>
        <v/>
      </c>
    </row>
    <row r="341" spans="1:12" x14ac:dyDescent="0.25">
      <c r="A341" s="25" t="s">
        <v>170</v>
      </c>
      <c r="B341" s="26">
        <v>541</v>
      </c>
      <c r="C341" s="26">
        <v>6</v>
      </c>
      <c r="D341" s="25" t="s">
        <v>10</v>
      </c>
      <c r="E341" s="27"/>
      <c r="F341" s="28">
        <v>7.5</v>
      </c>
      <c r="G341" s="29">
        <f t="shared" si="10"/>
        <v>1.25</v>
      </c>
      <c r="H341" s="30" t="s">
        <v>72</v>
      </c>
      <c r="I341" s="30" t="s">
        <v>815</v>
      </c>
      <c r="J341" s="31">
        <v>434</v>
      </c>
      <c r="K341" s="32">
        <v>62</v>
      </c>
      <c r="L341" s="76" t="str">
        <f t="shared" si="11"/>
        <v/>
      </c>
    </row>
    <row r="342" spans="1:12" x14ac:dyDescent="0.25">
      <c r="A342" s="25" t="s">
        <v>1332</v>
      </c>
      <c r="B342" s="26">
        <v>62</v>
      </c>
      <c r="C342" s="26">
        <v>6</v>
      </c>
      <c r="D342" s="25" t="s">
        <v>1333</v>
      </c>
      <c r="E342" s="27"/>
      <c r="F342" s="28">
        <v>7.5</v>
      </c>
      <c r="G342" s="29">
        <f t="shared" si="10"/>
        <v>1.25</v>
      </c>
      <c r="H342" s="30" t="s">
        <v>1334</v>
      </c>
      <c r="I342" s="30" t="s">
        <v>1335</v>
      </c>
      <c r="J342" s="31">
        <v>434</v>
      </c>
      <c r="K342" s="32">
        <v>62</v>
      </c>
      <c r="L342" s="76" t="str">
        <f t="shared" si="11"/>
        <v/>
      </c>
    </row>
    <row r="343" spans="1:12" x14ac:dyDescent="0.25">
      <c r="A343" s="25" t="s">
        <v>429</v>
      </c>
      <c r="B343" s="26">
        <v>577</v>
      </c>
      <c r="C343" s="26">
        <v>6</v>
      </c>
      <c r="D343" s="25" t="s">
        <v>430</v>
      </c>
      <c r="E343" s="27"/>
      <c r="F343" s="28">
        <v>7.4</v>
      </c>
      <c r="G343" s="29">
        <f t="shared" si="10"/>
        <v>1.2333333333333334</v>
      </c>
      <c r="H343" s="30" t="s">
        <v>431</v>
      </c>
      <c r="I343" s="30" t="s">
        <v>432</v>
      </c>
      <c r="J343" s="31">
        <v>441</v>
      </c>
      <c r="K343" s="32">
        <v>63</v>
      </c>
      <c r="L343" s="76" t="str">
        <f t="shared" si="11"/>
        <v/>
      </c>
    </row>
    <row r="344" spans="1:12" x14ac:dyDescent="0.25">
      <c r="A344" s="25" t="s">
        <v>433</v>
      </c>
      <c r="B344" s="26">
        <v>484</v>
      </c>
      <c r="C344" s="26">
        <v>6</v>
      </c>
      <c r="D344" s="25" t="s">
        <v>434</v>
      </c>
      <c r="E344" s="27"/>
      <c r="F344" s="28">
        <v>7.4</v>
      </c>
      <c r="G344" s="29">
        <f t="shared" si="10"/>
        <v>1.2333333333333334</v>
      </c>
      <c r="H344" s="30" t="s">
        <v>435</v>
      </c>
      <c r="I344" s="30" t="s">
        <v>436</v>
      </c>
      <c r="J344" s="31">
        <v>441</v>
      </c>
      <c r="K344" s="32">
        <v>63</v>
      </c>
      <c r="L344" s="76" t="str">
        <f t="shared" si="11"/>
        <v/>
      </c>
    </row>
    <row r="345" spans="1:12" x14ac:dyDescent="0.25">
      <c r="A345" s="25" t="s">
        <v>1268</v>
      </c>
      <c r="B345" s="26">
        <v>3</v>
      </c>
      <c r="C345" s="26">
        <v>6</v>
      </c>
      <c r="D345" s="25" t="s">
        <v>1269</v>
      </c>
      <c r="E345" s="27"/>
      <c r="F345" s="28">
        <v>7.4</v>
      </c>
      <c r="G345" s="29">
        <f t="shared" si="10"/>
        <v>1.2333333333333334</v>
      </c>
      <c r="H345" s="30" t="s">
        <v>1270</v>
      </c>
      <c r="I345" s="30" t="s">
        <v>1271</v>
      </c>
      <c r="J345" s="31">
        <v>441</v>
      </c>
      <c r="K345" s="32">
        <v>63</v>
      </c>
      <c r="L345" s="76" t="str">
        <f t="shared" si="11"/>
        <v/>
      </c>
    </row>
    <row r="346" spans="1:12" x14ac:dyDescent="0.25">
      <c r="A346" s="25" t="s">
        <v>707</v>
      </c>
      <c r="B346" s="26">
        <v>490</v>
      </c>
      <c r="C346" s="26">
        <v>6</v>
      </c>
      <c r="D346" s="25" t="s">
        <v>1569</v>
      </c>
      <c r="E346" s="27"/>
      <c r="F346" s="28">
        <v>19.399999999999999</v>
      </c>
      <c r="G346" s="28">
        <f t="shared" si="10"/>
        <v>3.2333333333333329</v>
      </c>
      <c r="H346" s="30" t="s">
        <v>708</v>
      </c>
      <c r="I346" s="30" t="s">
        <v>1135</v>
      </c>
      <c r="J346" s="31">
        <v>427</v>
      </c>
      <c r="K346" s="32">
        <v>61</v>
      </c>
      <c r="L346" s="77" t="str">
        <f t="shared" si="11"/>
        <v/>
      </c>
    </row>
    <row r="347" spans="1:12" x14ac:dyDescent="0.25">
      <c r="A347" s="25" t="s">
        <v>2292</v>
      </c>
      <c r="B347" s="26">
        <v>59</v>
      </c>
      <c r="C347" s="26">
        <v>6</v>
      </c>
      <c r="D347" s="25" t="s">
        <v>2293</v>
      </c>
      <c r="E347" s="27"/>
      <c r="F347" s="28">
        <v>19.399999999999999</v>
      </c>
      <c r="G347" s="29">
        <f t="shared" si="10"/>
        <v>3.2333333333333329</v>
      </c>
      <c r="H347" s="30" t="s">
        <v>2294</v>
      </c>
      <c r="I347" s="30" t="s">
        <v>2295</v>
      </c>
      <c r="J347" s="31">
        <v>295</v>
      </c>
      <c r="K347" s="32">
        <v>59</v>
      </c>
      <c r="L347" s="77" t="str">
        <f t="shared" si="11"/>
        <v/>
      </c>
    </row>
    <row r="348" spans="1:12" x14ac:dyDescent="0.25">
      <c r="A348" s="25" t="s">
        <v>1212</v>
      </c>
      <c r="B348" s="26">
        <v>111</v>
      </c>
      <c r="C348" s="26">
        <v>10</v>
      </c>
      <c r="D348" s="25" t="s">
        <v>1213</v>
      </c>
      <c r="E348" s="31"/>
      <c r="F348" s="28">
        <v>3</v>
      </c>
      <c r="G348" s="28">
        <f t="shared" si="10"/>
        <v>0.3</v>
      </c>
      <c r="H348" s="30" t="s">
        <v>1238</v>
      </c>
      <c r="I348" s="30" t="s">
        <v>1239</v>
      </c>
      <c r="J348" s="31"/>
      <c r="K348" s="32"/>
      <c r="L348" s="76" t="str">
        <f t="shared" si="11"/>
        <v/>
      </c>
    </row>
    <row r="349" spans="1:12" x14ac:dyDescent="0.25">
      <c r="A349" s="25" t="s">
        <v>850</v>
      </c>
      <c r="B349" s="26">
        <v>925</v>
      </c>
      <c r="C349" s="26">
        <v>20</v>
      </c>
      <c r="D349" s="25" t="s">
        <v>851</v>
      </c>
      <c r="E349" s="31"/>
      <c r="F349" s="28">
        <v>7.99</v>
      </c>
      <c r="G349" s="28">
        <f t="shared" si="10"/>
        <v>0.39950000000000002</v>
      </c>
      <c r="H349" s="30" t="s">
        <v>852</v>
      </c>
      <c r="I349" s="30" t="s">
        <v>853</v>
      </c>
      <c r="J349" s="31">
        <v>1152</v>
      </c>
      <c r="K349" s="32">
        <v>144</v>
      </c>
      <c r="L349" s="76" t="str">
        <f t="shared" si="11"/>
        <v/>
      </c>
    </row>
    <row r="350" spans="1:12" x14ac:dyDescent="0.25">
      <c r="A350" s="25" t="s">
        <v>854</v>
      </c>
      <c r="B350" s="26">
        <v>992</v>
      </c>
      <c r="C350" s="26">
        <v>20</v>
      </c>
      <c r="D350" s="25" t="s">
        <v>1941</v>
      </c>
      <c r="E350" s="31"/>
      <c r="F350" s="28">
        <v>7.99</v>
      </c>
      <c r="G350" s="28">
        <f t="shared" si="10"/>
        <v>0.39950000000000002</v>
      </c>
      <c r="H350" s="30" t="s">
        <v>855</v>
      </c>
      <c r="I350" s="30" t="s">
        <v>856</v>
      </c>
      <c r="J350" s="31">
        <v>1152</v>
      </c>
      <c r="K350" s="32">
        <v>144</v>
      </c>
      <c r="L350" s="76" t="str">
        <f t="shared" si="11"/>
        <v/>
      </c>
    </row>
    <row r="351" spans="1:12" x14ac:dyDescent="0.25">
      <c r="A351" s="25" t="s">
        <v>857</v>
      </c>
      <c r="B351" s="26">
        <v>1039</v>
      </c>
      <c r="C351" s="26">
        <v>20</v>
      </c>
      <c r="D351" s="25" t="s">
        <v>1942</v>
      </c>
      <c r="E351" s="31"/>
      <c r="F351" s="28">
        <v>7.99</v>
      </c>
      <c r="G351" s="28">
        <f t="shared" si="10"/>
        <v>0.39950000000000002</v>
      </c>
      <c r="H351" s="30" t="s">
        <v>858</v>
      </c>
      <c r="I351" s="30" t="s">
        <v>859</v>
      </c>
      <c r="J351" s="31">
        <v>1152</v>
      </c>
      <c r="K351" s="32">
        <v>144</v>
      </c>
      <c r="L351" s="76" t="str">
        <f t="shared" si="11"/>
        <v/>
      </c>
    </row>
    <row r="352" spans="1:12" x14ac:dyDescent="0.25">
      <c r="A352" s="25" t="s">
        <v>1226</v>
      </c>
      <c r="B352" s="26">
        <v>888</v>
      </c>
      <c r="C352" s="26">
        <v>20</v>
      </c>
      <c r="D352" s="25" t="s">
        <v>1943</v>
      </c>
      <c r="E352" s="31"/>
      <c r="F352" s="28">
        <v>7.99</v>
      </c>
      <c r="G352" s="28">
        <f t="shared" si="10"/>
        <v>0.39950000000000002</v>
      </c>
      <c r="H352" s="30" t="s">
        <v>1227</v>
      </c>
      <c r="I352" s="30" t="s">
        <v>1228</v>
      </c>
      <c r="J352" s="31">
        <v>840</v>
      </c>
      <c r="K352" s="32">
        <v>120</v>
      </c>
      <c r="L352" s="77" t="str">
        <f t="shared" si="11"/>
        <v/>
      </c>
    </row>
    <row r="353" spans="1:12" x14ac:dyDescent="0.25">
      <c r="A353" s="25" t="s">
        <v>830</v>
      </c>
      <c r="B353" s="26">
        <v>1250</v>
      </c>
      <c r="C353" s="26">
        <v>20</v>
      </c>
      <c r="D353" s="25" t="s">
        <v>1944</v>
      </c>
      <c r="E353" s="31"/>
      <c r="F353" s="28">
        <v>7.99</v>
      </c>
      <c r="G353" s="28">
        <f t="shared" si="10"/>
        <v>0.39950000000000002</v>
      </c>
      <c r="H353" s="30" t="s">
        <v>831</v>
      </c>
      <c r="I353" s="30" t="s">
        <v>832</v>
      </c>
      <c r="J353" s="31">
        <v>840</v>
      </c>
      <c r="K353" s="32">
        <v>120</v>
      </c>
      <c r="L353" s="76" t="str">
        <f t="shared" si="11"/>
        <v/>
      </c>
    </row>
    <row r="354" spans="1:12" x14ac:dyDescent="0.25">
      <c r="A354" s="25" t="s">
        <v>171</v>
      </c>
      <c r="B354" s="26">
        <v>1105</v>
      </c>
      <c r="C354" s="26">
        <v>20</v>
      </c>
      <c r="D354" s="25" t="s">
        <v>135</v>
      </c>
      <c r="E354" s="31"/>
      <c r="F354" s="28">
        <v>7.99</v>
      </c>
      <c r="G354" s="28">
        <f t="shared" si="10"/>
        <v>0.39950000000000002</v>
      </c>
      <c r="H354" s="30" t="s">
        <v>136</v>
      </c>
      <c r="I354" s="30" t="s">
        <v>137</v>
      </c>
      <c r="J354" s="31">
        <v>840</v>
      </c>
      <c r="K354" s="32">
        <v>120</v>
      </c>
      <c r="L354" s="76" t="str">
        <f t="shared" si="11"/>
        <v/>
      </c>
    </row>
    <row r="355" spans="1:12" x14ac:dyDescent="0.25">
      <c r="A355" s="25" t="s">
        <v>860</v>
      </c>
      <c r="B355" s="26">
        <v>1220</v>
      </c>
      <c r="C355" s="26">
        <v>20</v>
      </c>
      <c r="D355" s="25" t="s">
        <v>861</v>
      </c>
      <c r="E355" s="31"/>
      <c r="F355" s="28">
        <v>7.99</v>
      </c>
      <c r="G355" s="28">
        <f t="shared" si="10"/>
        <v>0.39950000000000002</v>
      </c>
      <c r="H355" s="30" t="s">
        <v>862</v>
      </c>
      <c r="I355" s="30" t="s">
        <v>863</v>
      </c>
      <c r="J355" s="31">
        <v>840</v>
      </c>
      <c r="K355" s="32">
        <v>120</v>
      </c>
      <c r="L355" s="76" t="str">
        <f t="shared" si="11"/>
        <v/>
      </c>
    </row>
    <row r="356" spans="1:12" x14ac:dyDescent="0.25">
      <c r="A356" s="25" t="s">
        <v>1229</v>
      </c>
      <c r="B356" s="26">
        <v>1313</v>
      </c>
      <c r="C356" s="26">
        <v>20</v>
      </c>
      <c r="D356" s="25" t="s">
        <v>1945</v>
      </c>
      <c r="E356" s="31"/>
      <c r="F356" s="28">
        <v>7.99</v>
      </c>
      <c r="G356" s="28">
        <f t="shared" si="10"/>
        <v>0.39950000000000002</v>
      </c>
      <c r="H356" s="30" t="s">
        <v>1230</v>
      </c>
      <c r="I356" s="30" t="s">
        <v>1231</v>
      </c>
      <c r="J356" s="31">
        <v>840</v>
      </c>
      <c r="K356" s="32">
        <v>120</v>
      </c>
      <c r="L356" s="77" t="str">
        <f t="shared" si="11"/>
        <v/>
      </c>
    </row>
    <row r="357" spans="1:12" x14ac:dyDescent="0.25">
      <c r="A357" s="25" t="s">
        <v>1362</v>
      </c>
      <c r="B357" s="26">
        <v>419</v>
      </c>
      <c r="C357" s="26">
        <v>6</v>
      </c>
      <c r="D357" s="25" t="s">
        <v>1363</v>
      </c>
      <c r="E357" s="31"/>
      <c r="F357" s="28">
        <v>9.9</v>
      </c>
      <c r="G357" s="28">
        <f t="shared" si="10"/>
        <v>1.6500000000000001</v>
      </c>
      <c r="H357" s="30" t="s">
        <v>1366</v>
      </c>
      <c r="I357" s="30" t="s">
        <v>1367</v>
      </c>
      <c r="J357" s="31">
        <v>258</v>
      </c>
      <c r="K357" s="53">
        <v>86</v>
      </c>
      <c r="L357" s="76" t="str">
        <f t="shared" si="11"/>
        <v/>
      </c>
    </row>
    <row r="358" spans="1:12" x14ac:dyDescent="0.25">
      <c r="A358" s="25" t="s">
        <v>289</v>
      </c>
      <c r="B358" s="26">
        <v>6</v>
      </c>
      <c r="C358" s="26">
        <v>6</v>
      </c>
      <c r="D358" s="25" t="s">
        <v>290</v>
      </c>
      <c r="E358" s="27"/>
      <c r="F358" s="28">
        <v>9.9</v>
      </c>
      <c r="G358" s="29">
        <f t="shared" si="10"/>
        <v>1.6500000000000001</v>
      </c>
      <c r="H358" s="30" t="s">
        <v>291</v>
      </c>
      <c r="I358" s="30" t="s">
        <v>292</v>
      </c>
      <c r="J358" s="31">
        <v>258</v>
      </c>
      <c r="K358" s="32">
        <v>86</v>
      </c>
      <c r="L358" s="76" t="str">
        <f t="shared" si="11"/>
        <v/>
      </c>
    </row>
    <row r="359" spans="1:12" x14ac:dyDescent="0.25">
      <c r="A359" s="25" t="s">
        <v>172</v>
      </c>
      <c r="B359" s="26">
        <v>165</v>
      </c>
      <c r="C359" s="26">
        <v>6</v>
      </c>
      <c r="D359" s="25" t="s">
        <v>48</v>
      </c>
      <c r="E359" s="27"/>
      <c r="F359" s="28">
        <v>9.9</v>
      </c>
      <c r="G359" s="29">
        <f t="shared" si="10"/>
        <v>1.6500000000000001</v>
      </c>
      <c r="H359" s="30" t="s">
        <v>51</v>
      </c>
      <c r="I359" s="30" t="s">
        <v>52</v>
      </c>
      <c r="J359" s="31">
        <v>246</v>
      </c>
      <c r="K359" s="32">
        <v>82</v>
      </c>
      <c r="L359" s="76" t="str">
        <f t="shared" si="11"/>
        <v/>
      </c>
    </row>
    <row r="360" spans="1:12" x14ac:dyDescent="0.25">
      <c r="A360" s="25" t="s">
        <v>173</v>
      </c>
      <c r="B360" s="26">
        <v>227</v>
      </c>
      <c r="C360" s="26">
        <v>6</v>
      </c>
      <c r="D360" s="25" t="s">
        <v>49</v>
      </c>
      <c r="E360" s="27"/>
      <c r="F360" s="28">
        <v>9.9</v>
      </c>
      <c r="G360" s="29">
        <f t="shared" si="10"/>
        <v>1.6500000000000001</v>
      </c>
      <c r="H360" s="30" t="s">
        <v>53</v>
      </c>
      <c r="I360" s="30" t="s">
        <v>54</v>
      </c>
      <c r="J360" s="31">
        <v>246</v>
      </c>
      <c r="K360" s="32">
        <v>82</v>
      </c>
      <c r="L360" s="76" t="str">
        <f t="shared" si="11"/>
        <v/>
      </c>
    </row>
    <row r="361" spans="1:12" x14ac:dyDescent="0.25">
      <c r="A361" s="25" t="s">
        <v>2851</v>
      </c>
      <c r="B361" s="26">
        <v>14</v>
      </c>
      <c r="C361" s="26">
        <v>6</v>
      </c>
      <c r="D361" s="25" t="s">
        <v>2852</v>
      </c>
      <c r="E361" s="27"/>
      <c r="F361" s="28">
        <v>9.9</v>
      </c>
      <c r="G361" s="29">
        <f t="shared" si="10"/>
        <v>1.6500000000000001</v>
      </c>
      <c r="H361" s="30" t="s">
        <v>2845</v>
      </c>
      <c r="I361" s="30" t="s">
        <v>2856</v>
      </c>
      <c r="J361" s="31">
        <v>246</v>
      </c>
      <c r="K361" s="32">
        <v>82</v>
      </c>
      <c r="L361" s="76" t="str">
        <f t="shared" si="11"/>
        <v/>
      </c>
    </row>
    <row r="362" spans="1:12" x14ac:dyDescent="0.25">
      <c r="A362" s="25" t="s">
        <v>1597</v>
      </c>
      <c r="B362" s="26">
        <v>59</v>
      </c>
      <c r="C362" s="26">
        <v>6</v>
      </c>
      <c r="D362" s="25" t="s">
        <v>1598</v>
      </c>
      <c r="E362" s="31"/>
      <c r="F362" s="28">
        <v>9.9</v>
      </c>
      <c r="G362" s="29">
        <f t="shared" si="10"/>
        <v>1.6500000000000001</v>
      </c>
      <c r="H362" s="30" t="s">
        <v>1599</v>
      </c>
      <c r="I362" s="30" t="s">
        <v>1600</v>
      </c>
      <c r="J362" s="31">
        <v>246</v>
      </c>
      <c r="K362" s="53">
        <v>82</v>
      </c>
      <c r="L362" s="76" t="str">
        <f t="shared" si="11"/>
        <v/>
      </c>
    </row>
    <row r="363" spans="1:12" x14ac:dyDescent="0.25">
      <c r="A363" s="25" t="s">
        <v>979</v>
      </c>
      <c r="B363" s="26">
        <v>504</v>
      </c>
      <c r="C363" s="26">
        <v>6</v>
      </c>
      <c r="D363" s="25" t="s">
        <v>980</v>
      </c>
      <c r="E363" s="31"/>
      <c r="F363" s="28">
        <v>9.9</v>
      </c>
      <c r="G363" s="29">
        <f t="shared" si="10"/>
        <v>1.6500000000000001</v>
      </c>
      <c r="H363" s="30" t="s">
        <v>981</v>
      </c>
      <c r="I363" s="30" t="s">
        <v>982</v>
      </c>
      <c r="J363" s="31">
        <v>246</v>
      </c>
      <c r="K363" s="32">
        <v>82</v>
      </c>
      <c r="L363" s="76" t="str">
        <f t="shared" si="11"/>
        <v/>
      </c>
    </row>
    <row r="364" spans="1:12" x14ac:dyDescent="0.25">
      <c r="A364" s="25" t="s">
        <v>174</v>
      </c>
      <c r="B364" s="26">
        <v>304</v>
      </c>
      <c r="C364" s="26">
        <v>6</v>
      </c>
      <c r="D364" s="25" t="s">
        <v>50</v>
      </c>
      <c r="E364" s="27"/>
      <c r="F364" s="28">
        <v>9.9</v>
      </c>
      <c r="G364" s="29">
        <f t="shared" si="10"/>
        <v>1.6500000000000001</v>
      </c>
      <c r="H364" s="30" t="s">
        <v>55</v>
      </c>
      <c r="I364" s="30" t="s">
        <v>56</v>
      </c>
      <c r="J364" s="31">
        <v>246</v>
      </c>
      <c r="K364" s="32">
        <v>82</v>
      </c>
      <c r="L364" s="76" t="str">
        <f t="shared" si="11"/>
        <v/>
      </c>
    </row>
    <row r="365" spans="1:12" x14ac:dyDescent="0.25">
      <c r="A365" s="25" t="s">
        <v>2159</v>
      </c>
      <c r="B365" s="26">
        <v>89</v>
      </c>
      <c r="C365" s="26">
        <v>6</v>
      </c>
      <c r="D365" s="25" t="s">
        <v>2160</v>
      </c>
      <c r="E365" s="27"/>
      <c r="F365" s="28">
        <v>9.9</v>
      </c>
      <c r="G365" s="29">
        <f t="shared" si="10"/>
        <v>1.6500000000000001</v>
      </c>
      <c r="H365" s="30" t="s">
        <v>2161</v>
      </c>
      <c r="I365" s="30" t="s">
        <v>2162</v>
      </c>
      <c r="J365" s="31">
        <v>246</v>
      </c>
      <c r="K365" s="32">
        <v>82</v>
      </c>
      <c r="L365" s="76" t="str">
        <f t="shared" si="11"/>
        <v/>
      </c>
    </row>
    <row r="366" spans="1:12" x14ac:dyDescent="0.25">
      <c r="A366" s="25" t="s">
        <v>2509</v>
      </c>
      <c r="B366" s="26">
        <v>203</v>
      </c>
      <c r="C366" s="26">
        <v>6</v>
      </c>
      <c r="D366" s="25" t="s">
        <v>3088</v>
      </c>
      <c r="E366" s="27"/>
      <c r="F366" s="28">
        <v>11.85</v>
      </c>
      <c r="G366" s="29">
        <f t="shared" si="10"/>
        <v>1.9749999999999999</v>
      </c>
      <c r="H366" s="30" t="s">
        <v>2514</v>
      </c>
      <c r="I366" s="30" t="s">
        <v>2515</v>
      </c>
      <c r="J366" s="31">
        <v>219</v>
      </c>
      <c r="K366" s="32">
        <v>73</v>
      </c>
      <c r="L366" s="76" t="str">
        <f t="shared" si="11"/>
        <v/>
      </c>
    </row>
    <row r="367" spans="1:12" x14ac:dyDescent="0.25">
      <c r="A367" s="25" t="s">
        <v>3041</v>
      </c>
      <c r="B367" s="26">
        <v>72</v>
      </c>
      <c r="C367" s="26">
        <v>6</v>
      </c>
      <c r="D367" s="25" t="s">
        <v>3089</v>
      </c>
      <c r="E367" s="27"/>
      <c r="F367" s="28">
        <v>11.85</v>
      </c>
      <c r="G367" s="29">
        <f t="shared" si="10"/>
        <v>1.9749999999999999</v>
      </c>
      <c r="H367" s="30" t="s">
        <v>3029</v>
      </c>
      <c r="I367" s="30" t="s">
        <v>3030</v>
      </c>
      <c r="J367" s="31">
        <v>219</v>
      </c>
      <c r="K367" s="32">
        <v>73</v>
      </c>
      <c r="L367" s="76" t="str">
        <f t="shared" si="11"/>
        <v/>
      </c>
    </row>
    <row r="368" spans="1:12" x14ac:dyDescent="0.25">
      <c r="A368" s="25" t="s">
        <v>3042</v>
      </c>
      <c r="B368" s="26">
        <v>80</v>
      </c>
      <c r="C368" s="26">
        <v>6</v>
      </c>
      <c r="D368" s="25" t="s">
        <v>3090</v>
      </c>
      <c r="E368" s="27"/>
      <c r="F368" s="28">
        <v>11.85</v>
      </c>
      <c r="G368" s="29">
        <f t="shared" si="10"/>
        <v>1.9749999999999999</v>
      </c>
      <c r="H368" s="30" t="s">
        <v>3031</v>
      </c>
      <c r="I368" s="30" t="s">
        <v>3032</v>
      </c>
      <c r="J368" s="32">
        <v>219</v>
      </c>
      <c r="K368" s="32">
        <v>73</v>
      </c>
      <c r="L368" s="76" t="str">
        <f t="shared" si="11"/>
        <v/>
      </c>
    </row>
    <row r="369" spans="1:12" x14ac:dyDescent="0.25">
      <c r="A369" s="25" t="s">
        <v>3043</v>
      </c>
      <c r="B369" s="26">
        <v>11</v>
      </c>
      <c r="C369" s="26">
        <v>6</v>
      </c>
      <c r="D369" s="25" t="s">
        <v>3091</v>
      </c>
      <c r="E369" s="27"/>
      <c r="F369" s="28">
        <v>11.85</v>
      </c>
      <c r="G369" s="29">
        <f t="shared" si="10"/>
        <v>1.9749999999999999</v>
      </c>
      <c r="H369" s="30" t="s">
        <v>3033</v>
      </c>
      <c r="I369" s="30" t="s">
        <v>3034</v>
      </c>
      <c r="J369" s="31">
        <v>219</v>
      </c>
      <c r="K369" s="32">
        <v>73</v>
      </c>
      <c r="L369" s="76" t="str">
        <f t="shared" si="11"/>
        <v/>
      </c>
    </row>
    <row r="370" spans="1:12" x14ac:dyDescent="0.25">
      <c r="A370" s="25" t="s">
        <v>3044</v>
      </c>
      <c r="B370" s="26">
        <v>166</v>
      </c>
      <c r="C370" s="26">
        <v>6</v>
      </c>
      <c r="D370" s="25" t="s">
        <v>3087</v>
      </c>
      <c r="E370" s="27"/>
      <c r="F370" s="28">
        <v>11.85</v>
      </c>
      <c r="G370" s="29">
        <f t="shared" si="10"/>
        <v>1.9749999999999999</v>
      </c>
      <c r="H370" s="30" t="s">
        <v>3035</v>
      </c>
      <c r="I370" s="30" t="s">
        <v>3036</v>
      </c>
      <c r="J370" s="31">
        <v>219</v>
      </c>
      <c r="K370" s="32">
        <v>73</v>
      </c>
      <c r="L370" s="76" t="str">
        <f t="shared" si="11"/>
        <v/>
      </c>
    </row>
    <row r="371" spans="1:12" x14ac:dyDescent="0.25">
      <c r="A371" s="25" t="s">
        <v>3778</v>
      </c>
      <c r="B371" s="26">
        <v>132</v>
      </c>
      <c r="C371" s="26">
        <v>6</v>
      </c>
      <c r="D371" s="25" t="s">
        <v>3813</v>
      </c>
      <c r="E371" s="27"/>
      <c r="F371" s="28">
        <v>11.85</v>
      </c>
      <c r="G371" s="29">
        <f t="shared" si="10"/>
        <v>1.9749999999999999</v>
      </c>
      <c r="H371" s="30" t="s">
        <v>3814</v>
      </c>
      <c r="I371" s="30" t="s">
        <v>3815</v>
      </c>
      <c r="J371" s="31">
        <v>219</v>
      </c>
      <c r="K371" s="32">
        <v>73</v>
      </c>
      <c r="L371" s="76" t="str">
        <f t="shared" si="11"/>
        <v/>
      </c>
    </row>
    <row r="372" spans="1:12" x14ac:dyDescent="0.25">
      <c r="A372" s="25" t="s">
        <v>3587</v>
      </c>
      <c r="B372" s="26">
        <v>43</v>
      </c>
      <c r="C372" s="26">
        <v>6</v>
      </c>
      <c r="D372" s="25" t="s">
        <v>3588</v>
      </c>
      <c r="E372" s="27"/>
      <c r="F372" s="33">
        <v>14.95</v>
      </c>
      <c r="G372" s="34">
        <f t="shared" si="10"/>
        <v>2.4916666666666667</v>
      </c>
      <c r="H372" s="30" t="s">
        <v>3589</v>
      </c>
      <c r="I372" s="30" t="s">
        <v>3590</v>
      </c>
      <c r="J372" s="31">
        <v>171</v>
      </c>
      <c r="K372" s="32">
        <v>57</v>
      </c>
      <c r="L372" s="76" t="str">
        <f t="shared" si="11"/>
        <v/>
      </c>
    </row>
    <row r="373" spans="1:12" x14ac:dyDescent="0.25">
      <c r="A373" s="25" t="s">
        <v>765</v>
      </c>
      <c r="B373" s="26">
        <v>506</v>
      </c>
      <c r="C373" s="26">
        <v>6</v>
      </c>
      <c r="D373" s="25" t="s">
        <v>757</v>
      </c>
      <c r="E373" s="27"/>
      <c r="F373" s="28">
        <v>14.95</v>
      </c>
      <c r="G373" s="29">
        <f t="shared" ref="G373:G434" si="12">F373/C373</f>
        <v>2.4916666666666667</v>
      </c>
      <c r="H373" s="30" t="s">
        <v>3399</v>
      </c>
      <c r="I373" s="30" t="s">
        <v>3400</v>
      </c>
      <c r="J373" s="31">
        <v>171</v>
      </c>
      <c r="K373" s="32">
        <v>57</v>
      </c>
      <c r="L373" s="76" t="str">
        <f t="shared" ref="L373:L434" si="13">IF(E373,E373*F373,"")</f>
        <v/>
      </c>
    </row>
    <row r="374" spans="1:12" x14ac:dyDescent="0.25">
      <c r="A374" s="25" t="s">
        <v>766</v>
      </c>
      <c r="B374" s="26">
        <v>37</v>
      </c>
      <c r="C374" s="26">
        <v>6</v>
      </c>
      <c r="D374" s="25" t="s">
        <v>758</v>
      </c>
      <c r="E374" s="27"/>
      <c r="F374" s="28">
        <v>14.95</v>
      </c>
      <c r="G374" s="29">
        <f t="shared" si="12"/>
        <v>2.4916666666666667</v>
      </c>
      <c r="H374" s="30" t="s">
        <v>763</v>
      </c>
      <c r="I374" s="30" t="s">
        <v>764</v>
      </c>
      <c r="J374" s="31">
        <v>171</v>
      </c>
      <c r="K374" s="32">
        <v>57</v>
      </c>
      <c r="L374" s="76" t="str">
        <f t="shared" si="13"/>
        <v/>
      </c>
    </row>
    <row r="375" spans="1:12" x14ac:dyDescent="0.25">
      <c r="A375" s="25" t="s">
        <v>3816</v>
      </c>
      <c r="B375" s="26">
        <v>50</v>
      </c>
      <c r="C375" s="26">
        <v>6</v>
      </c>
      <c r="D375" s="25" t="s">
        <v>3817</v>
      </c>
      <c r="E375" s="27"/>
      <c r="F375" s="28">
        <v>15.4</v>
      </c>
      <c r="G375" s="29">
        <f t="shared" si="12"/>
        <v>2.5666666666666669</v>
      </c>
      <c r="H375" s="30" t="s">
        <v>3818</v>
      </c>
      <c r="I375" s="30" t="s">
        <v>3819</v>
      </c>
      <c r="J375" s="31"/>
      <c r="K375" s="32"/>
      <c r="L375" s="76" t="str">
        <f t="shared" si="13"/>
        <v/>
      </c>
    </row>
    <row r="376" spans="1:12" x14ac:dyDescent="0.25">
      <c r="A376" s="25" t="s">
        <v>2380</v>
      </c>
      <c r="B376" s="26">
        <v>18</v>
      </c>
      <c r="C376" s="26">
        <v>6</v>
      </c>
      <c r="D376" s="25" t="s">
        <v>2381</v>
      </c>
      <c r="E376" s="27"/>
      <c r="F376" s="28">
        <v>6.6</v>
      </c>
      <c r="G376" s="29">
        <f t="shared" si="12"/>
        <v>1.0999999999999999</v>
      </c>
      <c r="H376" s="30" t="s">
        <v>2414</v>
      </c>
      <c r="I376" s="30" t="s">
        <v>2415</v>
      </c>
      <c r="J376" s="31"/>
      <c r="K376" s="32"/>
      <c r="L376" s="76" t="str">
        <f t="shared" si="13"/>
        <v/>
      </c>
    </row>
    <row r="377" spans="1:12" x14ac:dyDescent="0.25">
      <c r="A377" s="36" t="s">
        <v>508</v>
      </c>
      <c r="B377" s="54">
        <v>78</v>
      </c>
      <c r="C377" s="53">
        <v>10</v>
      </c>
      <c r="D377" s="36" t="s">
        <v>2395</v>
      </c>
      <c r="E377" s="27"/>
      <c r="F377" s="61">
        <v>6.3</v>
      </c>
      <c r="G377" s="29">
        <f t="shared" si="12"/>
        <v>0.63</v>
      </c>
      <c r="H377" s="56" t="s">
        <v>3522</v>
      </c>
      <c r="I377" s="56" t="s">
        <v>3100</v>
      </c>
      <c r="J377" s="31">
        <v>120</v>
      </c>
      <c r="K377" s="32">
        <v>20</v>
      </c>
      <c r="L377" s="76" t="str">
        <f t="shared" si="13"/>
        <v/>
      </c>
    </row>
    <row r="378" spans="1:12" x14ac:dyDescent="0.25">
      <c r="A378" s="25" t="s">
        <v>319</v>
      </c>
      <c r="B378" s="26">
        <v>142</v>
      </c>
      <c r="C378" s="26">
        <v>10</v>
      </c>
      <c r="D378" s="25" t="s">
        <v>2363</v>
      </c>
      <c r="E378" s="27"/>
      <c r="F378" s="28">
        <v>6.3</v>
      </c>
      <c r="G378" s="29">
        <f t="shared" si="12"/>
        <v>0.63</v>
      </c>
      <c r="H378" s="30" t="s">
        <v>2367</v>
      </c>
      <c r="I378" s="30" t="s">
        <v>2368</v>
      </c>
      <c r="J378" s="31">
        <v>120</v>
      </c>
      <c r="K378" s="32">
        <v>20</v>
      </c>
      <c r="L378" s="76" t="str">
        <f t="shared" si="13"/>
        <v/>
      </c>
    </row>
    <row r="379" spans="1:12" x14ac:dyDescent="0.25">
      <c r="A379" s="25" t="s">
        <v>1462</v>
      </c>
      <c r="B379" s="26">
        <v>192</v>
      </c>
      <c r="C379" s="26">
        <v>6</v>
      </c>
      <c r="D379" s="25" t="s">
        <v>1463</v>
      </c>
      <c r="E379" s="27"/>
      <c r="F379" s="28">
        <v>3.84</v>
      </c>
      <c r="G379" s="28">
        <f t="shared" si="12"/>
        <v>0.64</v>
      </c>
      <c r="H379" s="30" t="s">
        <v>1464</v>
      </c>
      <c r="I379" s="30" t="s">
        <v>1466</v>
      </c>
      <c r="J379" s="31">
        <v>480</v>
      </c>
      <c r="K379" s="32">
        <v>80</v>
      </c>
      <c r="L379" s="76" t="str">
        <f t="shared" si="13"/>
        <v/>
      </c>
    </row>
    <row r="380" spans="1:12" x14ac:dyDescent="0.25">
      <c r="A380" s="25" t="s">
        <v>1629</v>
      </c>
      <c r="B380" s="26">
        <v>197</v>
      </c>
      <c r="C380" s="26">
        <v>6</v>
      </c>
      <c r="D380" s="25" t="s">
        <v>1636</v>
      </c>
      <c r="E380" s="27"/>
      <c r="F380" s="28">
        <v>4.2</v>
      </c>
      <c r="G380" s="28">
        <f t="shared" si="12"/>
        <v>0.70000000000000007</v>
      </c>
      <c r="H380" s="30" t="s">
        <v>1643</v>
      </c>
      <c r="I380" s="30" t="s">
        <v>1650</v>
      </c>
      <c r="J380" s="31">
        <v>352</v>
      </c>
      <c r="K380" s="32">
        <v>44</v>
      </c>
      <c r="L380" s="76" t="str">
        <f t="shared" si="13"/>
        <v/>
      </c>
    </row>
    <row r="381" spans="1:12" x14ac:dyDescent="0.25">
      <c r="A381" s="25" t="s">
        <v>1630</v>
      </c>
      <c r="B381" s="26">
        <v>249</v>
      </c>
      <c r="C381" s="26">
        <v>6</v>
      </c>
      <c r="D381" s="25" t="s">
        <v>1637</v>
      </c>
      <c r="E381" s="27"/>
      <c r="F381" s="28">
        <v>4.2</v>
      </c>
      <c r="G381" s="28">
        <f t="shared" si="12"/>
        <v>0.70000000000000007</v>
      </c>
      <c r="H381" s="30" t="s">
        <v>1644</v>
      </c>
      <c r="I381" s="30" t="s">
        <v>1651</v>
      </c>
      <c r="J381" s="31">
        <v>352</v>
      </c>
      <c r="K381" s="32">
        <v>44</v>
      </c>
      <c r="L381" s="76" t="str">
        <f t="shared" si="13"/>
        <v/>
      </c>
    </row>
    <row r="382" spans="1:12" x14ac:dyDescent="0.25">
      <c r="A382" s="25" t="s">
        <v>1631</v>
      </c>
      <c r="B382" s="26">
        <v>416</v>
      </c>
      <c r="C382" s="26">
        <v>6</v>
      </c>
      <c r="D382" s="25" t="s">
        <v>1638</v>
      </c>
      <c r="E382" s="27"/>
      <c r="F382" s="28">
        <v>4.2</v>
      </c>
      <c r="G382" s="28">
        <f t="shared" si="12"/>
        <v>0.70000000000000007</v>
      </c>
      <c r="H382" s="30" t="s">
        <v>1645</v>
      </c>
      <c r="I382" s="30" t="s">
        <v>1652</v>
      </c>
      <c r="J382" s="31">
        <v>352</v>
      </c>
      <c r="K382" s="32">
        <v>44</v>
      </c>
      <c r="L382" s="76" t="str">
        <f t="shared" si="13"/>
        <v/>
      </c>
    </row>
    <row r="383" spans="1:12" x14ac:dyDescent="0.25">
      <c r="A383" s="25" t="s">
        <v>1632</v>
      </c>
      <c r="B383" s="26">
        <v>409</v>
      </c>
      <c r="C383" s="26">
        <v>6</v>
      </c>
      <c r="D383" s="25" t="s">
        <v>1639</v>
      </c>
      <c r="E383" s="27"/>
      <c r="F383" s="28">
        <v>4.2</v>
      </c>
      <c r="G383" s="28">
        <f t="shared" si="12"/>
        <v>0.70000000000000007</v>
      </c>
      <c r="H383" s="30" t="s">
        <v>1646</v>
      </c>
      <c r="I383" s="30" t="s">
        <v>1653</v>
      </c>
      <c r="J383" s="31">
        <v>352</v>
      </c>
      <c r="K383" s="32">
        <v>44</v>
      </c>
      <c r="L383" s="76" t="str">
        <f t="shared" si="13"/>
        <v/>
      </c>
    </row>
    <row r="384" spans="1:12" x14ac:dyDescent="0.25">
      <c r="A384" s="25" t="s">
        <v>1633</v>
      </c>
      <c r="B384" s="26">
        <v>123</v>
      </c>
      <c r="C384" s="26">
        <v>6</v>
      </c>
      <c r="D384" s="25" t="s">
        <v>1640</v>
      </c>
      <c r="E384" s="27"/>
      <c r="F384" s="28">
        <v>4.2</v>
      </c>
      <c r="G384" s="28">
        <f t="shared" si="12"/>
        <v>0.70000000000000007</v>
      </c>
      <c r="H384" s="30" t="s">
        <v>1647</v>
      </c>
      <c r="I384" s="30" t="s">
        <v>1654</v>
      </c>
      <c r="J384" s="31">
        <v>352</v>
      </c>
      <c r="K384" s="32">
        <v>44</v>
      </c>
      <c r="L384" s="76" t="str">
        <f t="shared" si="13"/>
        <v/>
      </c>
    </row>
    <row r="385" spans="1:12" x14ac:dyDescent="0.25">
      <c r="A385" s="25" t="s">
        <v>1634</v>
      </c>
      <c r="B385" s="26">
        <v>372</v>
      </c>
      <c r="C385" s="26">
        <v>6</v>
      </c>
      <c r="D385" s="25" t="s">
        <v>1641</v>
      </c>
      <c r="E385" s="27"/>
      <c r="F385" s="28">
        <v>4.2</v>
      </c>
      <c r="G385" s="28">
        <f t="shared" si="12"/>
        <v>0.70000000000000007</v>
      </c>
      <c r="H385" s="30" t="s">
        <v>1648</v>
      </c>
      <c r="I385" s="30" t="s">
        <v>1655</v>
      </c>
      <c r="J385" s="31">
        <v>352</v>
      </c>
      <c r="K385" s="32">
        <v>44</v>
      </c>
      <c r="L385" s="76" t="str">
        <f t="shared" si="13"/>
        <v/>
      </c>
    </row>
    <row r="386" spans="1:12" x14ac:dyDescent="0.25">
      <c r="A386" s="25" t="s">
        <v>1635</v>
      </c>
      <c r="B386" s="26">
        <v>59</v>
      </c>
      <c r="C386" s="26">
        <v>6</v>
      </c>
      <c r="D386" s="25" t="s">
        <v>1642</v>
      </c>
      <c r="E386" s="27"/>
      <c r="F386" s="28">
        <v>4.2</v>
      </c>
      <c r="G386" s="28">
        <f t="shared" si="12"/>
        <v>0.70000000000000007</v>
      </c>
      <c r="H386" s="30" t="s">
        <v>1649</v>
      </c>
      <c r="I386" s="30" t="s">
        <v>1656</v>
      </c>
      <c r="J386" s="31">
        <v>352</v>
      </c>
      <c r="K386" s="32">
        <v>44</v>
      </c>
      <c r="L386" s="76" t="str">
        <f t="shared" si="13"/>
        <v/>
      </c>
    </row>
    <row r="387" spans="1:12" x14ac:dyDescent="0.25">
      <c r="A387" s="25" t="s">
        <v>2106</v>
      </c>
      <c r="B387" s="26">
        <v>404</v>
      </c>
      <c r="C387" s="26">
        <v>9</v>
      </c>
      <c r="D387" s="25" t="s">
        <v>2107</v>
      </c>
      <c r="E387" s="27"/>
      <c r="F387" s="28">
        <v>7.25</v>
      </c>
      <c r="G387" s="28">
        <f t="shared" si="12"/>
        <v>0.80555555555555558</v>
      </c>
      <c r="H387" s="30" t="s">
        <v>2120</v>
      </c>
      <c r="I387" s="30" t="s">
        <v>2121</v>
      </c>
      <c r="J387" s="31">
        <v>315</v>
      </c>
      <c r="K387" s="32">
        <v>35</v>
      </c>
      <c r="L387" s="76" t="str">
        <f t="shared" si="13"/>
        <v/>
      </c>
    </row>
    <row r="388" spans="1:12" x14ac:dyDescent="0.25">
      <c r="A388" s="25" t="s">
        <v>1465</v>
      </c>
      <c r="B388" s="35">
        <v>78</v>
      </c>
      <c r="C388" s="26">
        <v>8</v>
      </c>
      <c r="D388" s="25" t="s">
        <v>3156</v>
      </c>
      <c r="E388" s="27"/>
      <c r="F388" s="28">
        <v>12</v>
      </c>
      <c r="G388" s="29">
        <f t="shared" si="12"/>
        <v>1.5</v>
      </c>
      <c r="H388" s="65">
        <v>5000101513893</v>
      </c>
      <c r="I388" s="65">
        <v>5000101513886</v>
      </c>
      <c r="J388" s="35">
        <v>208</v>
      </c>
      <c r="K388" s="53">
        <v>26</v>
      </c>
      <c r="L388" s="76" t="str">
        <f t="shared" si="13"/>
        <v/>
      </c>
    </row>
    <row r="389" spans="1:12" x14ac:dyDescent="0.25">
      <c r="A389" s="25" t="s">
        <v>1342</v>
      </c>
      <c r="B389" s="26">
        <v>4</v>
      </c>
      <c r="C389" s="26">
        <v>18</v>
      </c>
      <c r="D389" s="25" t="s">
        <v>2574</v>
      </c>
      <c r="E389" s="27"/>
      <c r="F389" s="28">
        <v>26.4</v>
      </c>
      <c r="G389" s="28">
        <f t="shared" si="12"/>
        <v>1.4666666666666666</v>
      </c>
      <c r="H389" s="30" t="s">
        <v>1343</v>
      </c>
      <c r="I389" s="30" t="s">
        <v>243</v>
      </c>
      <c r="J389" s="31">
        <v>85</v>
      </c>
      <c r="K389" s="32">
        <v>17</v>
      </c>
      <c r="L389" s="76" t="str">
        <f t="shared" si="13"/>
        <v/>
      </c>
    </row>
    <row r="390" spans="1:12" x14ac:dyDescent="0.25">
      <c r="A390" s="25" t="s">
        <v>1436</v>
      </c>
      <c r="B390" s="26">
        <v>219</v>
      </c>
      <c r="C390" s="26">
        <v>12</v>
      </c>
      <c r="D390" s="25" t="s">
        <v>1435</v>
      </c>
      <c r="E390" s="27"/>
      <c r="F390" s="28">
        <v>41</v>
      </c>
      <c r="G390" s="28">
        <f t="shared" si="12"/>
        <v>3.4166666666666665</v>
      </c>
      <c r="H390" s="30" t="s">
        <v>1437</v>
      </c>
      <c r="I390" s="30" t="s">
        <v>1624</v>
      </c>
      <c r="J390" s="31">
        <v>50</v>
      </c>
      <c r="K390" s="32">
        <v>10</v>
      </c>
      <c r="L390" s="76" t="str">
        <f t="shared" si="13"/>
        <v/>
      </c>
    </row>
    <row r="391" spans="1:12" x14ac:dyDescent="0.25">
      <c r="A391" s="25" t="s">
        <v>2139</v>
      </c>
      <c r="B391" s="26">
        <v>24</v>
      </c>
      <c r="C391" s="26">
        <v>6</v>
      </c>
      <c r="D391" s="25" t="s">
        <v>2141</v>
      </c>
      <c r="E391" s="27"/>
      <c r="F391" s="28">
        <v>3.9</v>
      </c>
      <c r="G391" s="28">
        <f t="shared" si="12"/>
        <v>0.65</v>
      </c>
      <c r="H391" s="30" t="s">
        <v>2142</v>
      </c>
      <c r="I391" s="30" t="s">
        <v>2145</v>
      </c>
      <c r="J391" s="31"/>
      <c r="K391" s="32"/>
      <c r="L391" s="76" t="str">
        <f t="shared" si="13"/>
        <v/>
      </c>
    </row>
    <row r="392" spans="1:12" x14ac:dyDescent="0.25">
      <c r="A392" s="25" t="s">
        <v>2138</v>
      </c>
      <c r="B392" s="26">
        <v>0</v>
      </c>
      <c r="C392" s="26">
        <v>6</v>
      </c>
      <c r="D392" s="25" t="s">
        <v>2140</v>
      </c>
      <c r="E392" s="27"/>
      <c r="F392" s="28">
        <v>3.9</v>
      </c>
      <c r="G392" s="28">
        <f t="shared" si="12"/>
        <v>0.65</v>
      </c>
      <c r="H392" s="30" t="s">
        <v>2143</v>
      </c>
      <c r="I392" s="30" t="s">
        <v>2144</v>
      </c>
      <c r="J392" s="31"/>
      <c r="K392" s="32"/>
      <c r="L392" s="76" t="str">
        <f t="shared" si="13"/>
        <v/>
      </c>
    </row>
    <row r="393" spans="1:12" x14ac:dyDescent="0.25">
      <c r="A393" s="25" t="s">
        <v>2931</v>
      </c>
      <c r="B393" s="26">
        <v>129</v>
      </c>
      <c r="C393" s="26">
        <v>6</v>
      </c>
      <c r="D393" s="25" t="s">
        <v>3092</v>
      </c>
      <c r="E393" s="27"/>
      <c r="F393" s="28">
        <v>8.4</v>
      </c>
      <c r="G393" s="28">
        <f t="shared" si="12"/>
        <v>1.4000000000000001</v>
      </c>
      <c r="H393" s="30" t="s">
        <v>2935</v>
      </c>
      <c r="I393" s="30" t="s">
        <v>2940</v>
      </c>
      <c r="J393" s="31">
        <v>280</v>
      </c>
      <c r="K393" s="32">
        <v>56</v>
      </c>
      <c r="L393" s="76" t="str">
        <f t="shared" si="13"/>
        <v/>
      </c>
    </row>
    <row r="394" spans="1:12" x14ac:dyDescent="0.25">
      <c r="A394" s="25" t="s">
        <v>2930</v>
      </c>
      <c r="B394" s="26">
        <v>194</v>
      </c>
      <c r="C394" s="26">
        <v>6</v>
      </c>
      <c r="D394" s="25" t="s">
        <v>3094</v>
      </c>
      <c r="E394" s="27"/>
      <c r="F394" s="28">
        <v>8.4</v>
      </c>
      <c r="G394" s="28">
        <f t="shared" si="12"/>
        <v>1.4000000000000001</v>
      </c>
      <c r="H394" s="30" t="s">
        <v>2936</v>
      </c>
      <c r="I394" s="30" t="s">
        <v>2941</v>
      </c>
      <c r="J394" s="31">
        <v>280</v>
      </c>
      <c r="K394" s="32">
        <v>56</v>
      </c>
      <c r="L394" s="76" t="str">
        <f t="shared" si="13"/>
        <v/>
      </c>
    </row>
    <row r="395" spans="1:12" x14ac:dyDescent="0.25">
      <c r="A395" s="25" t="s">
        <v>3518</v>
      </c>
      <c r="B395" s="26">
        <v>69</v>
      </c>
      <c r="C395" s="26">
        <v>6</v>
      </c>
      <c r="D395" s="25" t="s">
        <v>3519</v>
      </c>
      <c r="E395" s="27"/>
      <c r="F395" s="28">
        <v>8.4</v>
      </c>
      <c r="G395" s="28">
        <f t="shared" si="12"/>
        <v>1.4000000000000001</v>
      </c>
      <c r="H395" s="30" t="s">
        <v>3521</v>
      </c>
      <c r="I395" s="30" t="s">
        <v>3520</v>
      </c>
      <c r="J395" s="31">
        <v>280</v>
      </c>
      <c r="K395" s="32">
        <v>56</v>
      </c>
      <c r="L395" s="76" t="str">
        <f t="shared" si="13"/>
        <v/>
      </c>
    </row>
    <row r="396" spans="1:12" x14ac:dyDescent="0.25">
      <c r="A396" s="25" t="s">
        <v>2932</v>
      </c>
      <c r="B396" s="26">
        <v>179</v>
      </c>
      <c r="C396" s="26">
        <v>6</v>
      </c>
      <c r="D396" s="25" t="s">
        <v>2929</v>
      </c>
      <c r="E396" s="27"/>
      <c r="F396" s="28">
        <v>8.4</v>
      </c>
      <c r="G396" s="28">
        <f t="shared" si="12"/>
        <v>1.4000000000000001</v>
      </c>
      <c r="H396" s="30" t="s">
        <v>2937</v>
      </c>
      <c r="I396" s="30" t="s">
        <v>2942</v>
      </c>
      <c r="J396" s="31">
        <v>280</v>
      </c>
      <c r="K396" s="32">
        <v>56</v>
      </c>
      <c r="L396" s="76" t="str">
        <f t="shared" si="13"/>
        <v/>
      </c>
    </row>
    <row r="397" spans="1:12" x14ac:dyDescent="0.25">
      <c r="A397" s="25" t="s">
        <v>2933</v>
      </c>
      <c r="B397" s="26">
        <v>216</v>
      </c>
      <c r="C397" s="26">
        <v>6</v>
      </c>
      <c r="D397" s="25" t="s">
        <v>3093</v>
      </c>
      <c r="E397" s="27"/>
      <c r="F397" s="28">
        <v>8.4</v>
      </c>
      <c r="G397" s="28">
        <f t="shared" si="12"/>
        <v>1.4000000000000001</v>
      </c>
      <c r="H397" s="30" t="s">
        <v>2938</v>
      </c>
      <c r="I397" s="30" t="s">
        <v>2943</v>
      </c>
      <c r="J397" s="31">
        <v>280</v>
      </c>
      <c r="K397" s="32">
        <v>56</v>
      </c>
      <c r="L397" s="76" t="str">
        <f t="shared" si="13"/>
        <v/>
      </c>
    </row>
    <row r="398" spans="1:12" x14ac:dyDescent="0.25">
      <c r="A398" s="25" t="s">
        <v>2934</v>
      </c>
      <c r="B398" s="26">
        <v>195</v>
      </c>
      <c r="C398" s="26">
        <v>6</v>
      </c>
      <c r="D398" s="25" t="s">
        <v>3095</v>
      </c>
      <c r="E398" s="27"/>
      <c r="F398" s="28">
        <v>8.4</v>
      </c>
      <c r="G398" s="28">
        <f t="shared" si="12"/>
        <v>1.4000000000000001</v>
      </c>
      <c r="H398" s="30" t="s">
        <v>2939</v>
      </c>
      <c r="I398" s="30" t="s">
        <v>2944</v>
      </c>
      <c r="J398" s="31">
        <v>280</v>
      </c>
      <c r="K398" s="32">
        <v>56</v>
      </c>
      <c r="L398" s="76" t="str">
        <f t="shared" si="13"/>
        <v/>
      </c>
    </row>
    <row r="399" spans="1:12" x14ac:dyDescent="0.25">
      <c r="A399" s="25" t="s">
        <v>1256</v>
      </c>
      <c r="B399" s="26">
        <v>83</v>
      </c>
      <c r="C399" s="26">
        <v>6</v>
      </c>
      <c r="D399" s="25" t="s">
        <v>1257</v>
      </c>
      <c r="E399" s="31"/>
      <c r="F399" s="28">
        <v>5.4</v>
      </c>
      <c r="G399" s="29">
        <f t="shared" si="12"/>
        <v>0.9</v>
      </c>
      <c r="H399" s="30" t="s">
        <v>1258</v>
      </c>
      <c r="I399" s="30" t="s">
        <v>1259</v>
      </c>
      <c r="J399" s="31">
        <v>720</v>
      </c>
      <c r="K399" s="32">
        <v>120</v>
      </c>
      <c r="L399" s="76" t="str">
        <f t="shared" si="13"/>
        <v/>
      </c>
    </row>
    <row r="400" spans="1:12" x14ac:dyDescent="0.25">
      <c r="A400" s="25" t="s">
        <v>1260</v>
      </c>
      <c r="B400" s="26">
        <v>95</v>
      </c>
      <c r="C400" s="26">
        <v>6</v>
      </c>
      <c r="D400" s="25" t="s">
        <v>1261</v>
      </c>
      <c r="E400" s="31"/>
      <c r="F400" s="28">
        <v>5.4</v>
      </c>
      <c r="G400" s="29">
        <f t="shared" si="12"/>
        <v>0.9</v>
      </c>
      <c r="H400" s="30" t="s">
        <v>1262</v>
      </c>
      <c r="I400" s="65" t="s">
        <v>1263</v>
      </c>
      <c r="J400" s="31">
        <v>720</v>
      </c>
      <c r="K400" s="32">
        <v>120</v>
      </c>
      <c r="L400" s="76" t="str">
        <f t="shared" si="13"/>
        <v/>
      </c>
    </row>
    <row r="401" spans="1:12" x14ac:dyDescent="0.25">
      <c r="A401" s="25" t="s">
        <v>783</v>
      </c>
      <c r="B401" s="26">
        <v>533</v>
      </c>
      <c r="C401" s="26">
        <v>6</v>
      </c>
      <c r="D401" s="25" t="s">
        <v>784</v>
      </c>
      <c r="E401" s="31"/>
      <c r="F401" s="28">
        <v>5.4</v>
      </c>
      <c r="G401" s="29">
        <f t="shared" si="12"/>
        <v>0.9</v>
      </c>
      <c r="H401" s="30" t="s">
        <v>785</v>
      </c>
      <c r="I401" s="65" t="s">
        <v>786</v>
      </c>
      <c r="J401" s="31">
        <v>720</v>
      </c>
      <c r="K401" s="32">
        <v>120</v>
      </c>
      <c r="L401" s="76" t="str">
        <f t="shared" si="13"/>
        <v/>
      </c>
    </row>
    <row r="402" spans="1:12" x14ac:dyDescent="0.25">
      <c r="A402" s="25" t="s">
        <v>601</v>
      </c>
      <c r="B402" s="26">
        <v>215</v>
      </c>
      <c r="C402" s="26">
        <v>6</v>
      </c>
      <c r="D402" s="25" t="s">
        <v>602</v>
      </c>
      <c r="E402" s="27"/>
      <c r="F402" s="28">
        <v>5.4</v>
      </c>
      <c r="G402" s="28">
        <f t="shared" si="12"/>
        <v>0.9</v>
      </c>
      <c r="H402" s="30" t="s">
        <v>603</v>
      </c>
      <c r="I402" s="30" t="s">
        <v>604</v>
      </c>
      <c r="J402" s="31">
        <v>720</v>
      </c>
      <c r="K402" s="32">
        <v>120</v>
      </c>
      <c r="L402" s="76" t="str">
        <f t="shared" si="13"/>
        <v/>
      </c>
    </row>
    <row r="403" spans="1:12" x14ac:dyDescent="0.25">
      <c r="A403" s="25" t="s">
        <v>597</v>
      </c>
      <c r="B403" s="26">
        <v>250</v>
      </c>
      <c r="C403" s="26">
        <v>6</v>
      </c>
      <c r="D403" s="25" t="s">
        <v>598</v>
      </c>
      <c r="E403" s="27"/>
      <c r="F403" s="28">
        <v>5.4</v>
      </c>
      <c r="G403" s="29">
        <f t="shared" si="12"/>
        <v>0.9</v>
      </c>
      <c r="H403" s="30" t="s">
        <v>599</v>
      </c>
      <c r="I403" s="30" t="s">
        <v>600</v>
      </c>
      <c r="J403" s="31">
        <v>720</v>
      </c>
      <c r="K403" s="32">
        <v>120</v>
      </c>
      <c r="L403" s="76" t="str">
        <f t="shared" si="13"/>
        <v/>
      </c>
    </row>
    <row r="404" spans="1:12" x14ac:dyDescent="0.25">
      <c r="A404" s="25" t="s">
        <v>1252</v>
      </c>
      <c r="B404" s="26">
        <v>5</v>
      </c>
      <c r="C404" s="26">
        <v>6</v>
      </c>
      <c r="D404" s="25" t="s">
        <v>1253</v>
      </c>
      <c r="E404" s="27"/>
      <c r="F404" s="28">
        <v>5.4</v>
      </c>
      <c r="G404" s="29">
        <f t="shared" si="12"/>
        <v>0.9</v>
      </c>
      <c r="H404" s="30" t="s">
        <v>1254</v>
      </c>
      <c r="I404" s="30" t="s">
        <v>1255</v>
      </c>
      <c r="J404" s="31">
        <v>720</v>
      </c>
      <c r="K404" s="32">
        <v>120</v>
      </c>
      <c r="L404" s="76" t="str">
        <f t="shared" si="13"/>
        <v/>
      </c>
    </row>
    <row r="405" spans="1:12" x14ac:dyDescent="0.25">
      <c r="A405" s="25" t="s">
        <v>513</v>
      </c>
      <c r="B405" s="26">
        <v>143</v>
      </c>
      <c r="C405" s="26">
        <v>6</v>
      </c>
      <c r="D405" s="25" t="s">
        <v>514</v>
      </c>
      <c r="E405" s="27"/>
      <c r="F405" s="28">
        <v>5.4</v>
      </c>
      <c r="G405" s="29">
        <f t="shared" si="12"/>
        <v>0.9</v>
      </c>
      <c r="H405" s="30" t="s">
        <v>816</v>
      </c>
      <c r="I405" s="30" t="s">
        <v>817</v>
      </c>
      <c r="J405" s="31">
        <v>720</v>
      </c>
      <c r="K405" s="32">
        <v>120</v>
      </c>
      <c r="L405" s="76" t="str">
        <f t="shared" si="13"/>
        <v/>
      </c>
    </row>
    <row r="406" spans="1:12" x14ac:dyDescent="0.25">
      <c r="A406" s="25" t="s">
        <v>2862</v>
      </c>
      <c r="B406" s="26">
        <v>27</v>
      </c>
      <c r="C406" s="26">
        <v>6</v>
      </c>
      <c r="D406" s="25" t="s">
        <v>2863</v>
      </c>
      <c r="E406" s="27"/>
      <c r="F406" s="28">
        <v>3.6</v>
      </c>
      <c r="G406" s="29">
        <f t="shared" si="12"/>
        <v>0.6</v>
      </c>
      <c r="H406" s="30" t="s">
        <v>2864</v>
      </c>
      <c r="I406" s="30" t="s">
        <v>2865</v>
      </c>
      <c r="J406" s="31"/>
      <c r="K406" s="32"/>
      <c r="L406" s="76" t="str">
        <f t="shared" si="13"/>
        <v/>
      </c>
    </row>
    <row r="407" spans="1:12" x14ac:dyDescent="0.25">
      <c r="A407" s="25" t="s">
        <v>842</v>
      </c>
      <c r="B407" s="26">
        <v>628</v>
      </c>
      <c r="C407" s="26">
        <v>12</v>
      </c>
      <c r="D407" s="25" t="s">
        <v>841</v>
      </c>
      <c r="E407" s="27"/>
      <c r="F407" s="28">
        <v>6.48</v>
      </c>
      <c r="G407" s="29">
        <f t="shared" si="12"/>
        <v>0.54</v>
      </c>
      <c r="H407" s="30" t="s">
        <v>844</v>
      </c>
      <c r="I407" s="65" t="s">
        <v>843</v>
      </c>
      <c r="J407" s="31">
        <v>720</v>
      </c>
      <c r="K407" s="32">
        <v>90</v>
      </c>
      <c r="L407" s="76" t="str">
        <f t="shared" si="13"/>
        <v/>
      </c>
    </row>
    <row r="408" spans="1:12" x14ac:dyDescent="0.25">
      <c r="A408" s="25" t="s">
        <v>2668</v>
      </c>
      <c r="B408" s="26">
        <v>119</v>
      </c>
      <c r="C408" s="53">
        <v>6</v>
      </c>
      <c r="D408" s="25" t="s">
        <v>2669</v>
      </c>
      <c r="E408" s="27"/>
      <c r="F408" s="28">
        <v>5.7</v>
      </c>
      <c r="G408" s="29">
        <f t="shared" si="12"/>
        <v>0.95000000000000007</v>
      </c>
      <c r="H408" s="30" t="s">
        <v>2683</v>
      </c>
      <c r="I408" s="65" t="s">
        <v>2684</v>
      </c>
      <c r="J408" s="31">
        <v>144</v>
      </c>
      <c r="K408" s="32">
        <v>48</v>
      </c>
      <c r="L408" s="76" t="str">
        <f t="shared" si="13"/>
        <v/>
      </c>
    </row>
    <row r="409" spans="1:12" x14ac:dyDescent="0.25">
      <c r="A409" s="25" t="s">
        <v>3462</v>
      </c>
      <c r="B409" s="26">
        <v>79</v>
      </c>
      <c r="C409" s="26">
        <v>12</v>
      </c>
      <c r="D409" s="25" t="s">
        <v>3463</v>
      </c>
      <c r="E409" s="31"/>
      <c r="F409" s="33">
        <v>8.8000000000000007</v>
      </c>
      <c r="G409" s="34">
        <f t="shared" si="12"/>
        <v>0.73333333333333339</v>
      </c>
      <c r="H409" s="30" t="s">
        <v>3512</v>
      </c>
      <c r="I409" s="30" t="s">
        <v>3513</v>
      </c>
      <c r="J409" s="31">
        <v>175</v>
      </c>
      <c r="K409" s="53">
        <v>35</v>
      </c>
      <c r="L409" s="76" t="str">
        <f t="shared" si="13"/>
        <v/>
      </c>
    </row>
    <row r="410" spans="1:12" x14ac:dyDescent="0.25">
      <c r="A410" s="25" t="s">
        <v>2253</v>
      </c>
      <c r="B410" s="26">
        <v>858</v>
      </c>
      <c r="C410" s="26">
        <v>12</v>
      </c>
      <c r="D410" s="25" t="s">
        <v>2254</v>
      </c>
      <c r="E410" s="27"/>
      <c r="F410" s="28">
        <v>7.4</v>
      </c>
      <c r="G410" s="29">
        <f t="shared" si="12"/>
        <v>0.6166666666666667</v>
      </c>
      <c r="H410" s="30" t="s">
        <v>2266</v>
      </c>
      <c r="I410" s="30" t="s">
        <v>2267</v>
      </c>
      <c r="J410" s="31">
        <v>250</v>
      </c>
      <c r="K410" s="53">
        <v>25</v>
      </c>
      <c r="L410" s="76" t="str">
        <f t="shared" si="13"/>
        <v/>
      </c>
    </row>
    <row r="411" spans="1:12" x14ac:dyDescent="0.25">
      <c r="A411" s="25" t="s">
        <v>515</v>
      </c>
      <c r="B411" s="26">
        <v>1633</v>
      </c>
      <c r="C411" s="26">
        <v>6</v>
      </c>
      <c r="D411" s="25" t="s">
        <v>516</v>
      </c>
      <c r="E411" s="27"/>
      <c r="F411" s="28">
        <v>5.4</v>
      </c>
      <c r="G411" s="29">
        <f t="shared" si="12"/>
        <v>0.9</v>
      </c>
      <c r="H411" s="30" t="s">
        <v>517</v>
      </c>
      <c r="I411" s="30" t="s">
        <v>518</v>
      </c>
      <c r="J411" s="31">
        <v>250</v>
      </c>
      <c r="K411" s="32">
        <v>25</v>
      </c>
      <c r="L411" s="76" t="str">
        <f t="shared" si="13"/>
        <v/>
      </c>
    </row>
    <row r="412" spans="1:12" x14ac:dyDescent="0.25">
      <c r="A412" s="25" t="s">
        <v>866</v>
      </c>
      <c r="B412" s="26">
        <v>2145</v>
      </c>
      <c r="C412" s="26">
        <v>6</v>
      </c>
      <c r="D412" s="25" t="s">
        <v>867</v>
      </c>
      <c r="E412" s="31"/>
      <c r="F412" s="28">
        <v>6</v>
      </c>
      <c r="G412" s="28">
        <f t="shared" si="12"/>
        <v>1</v>
      </c>
      <c r="H412" s="30" t="s">
        <v>882</v>
      </c>
      <c r="I412" s="30" t="s">
        <v>868</v>
      </c>
      <c r="J412" s="31">
        <v>414</v>
      </c>
      <c r="K412" s="32">
        <v>69</v>
      </c>
      <c r="L412" s="76" t="str">
        <f t="shared" si="13"/>
        <v/>
      </c>
    </row>
    <row r="413" spans="1:12" x14ac:dyDescent="0.25">
      <c r="A413" s="25" t="s">
        <v>1222</v>
      </c>
      <c r="B413" s="26">
        <v>2471</v>
      </c>
      <c r="C413" s="26">
        <v>6</v>
      </c>
      <c r="D413" s="25" t="s">
        <v>1223</v>
      </c>
      <c r="E413" s="31"/>
      <c r="F413" s="28">
        <v>9.25</v>
      </c>
      <c r="G413" s="28">
        <f t="shared" si="12"/>
        <v>1.5416666666666667</v>
      </c>
      <c r="H413" s="30" t="s">
        <v>1224</v>
      </c>
      <c r="I413" s="30" t="s">
        <v>1225</v>
      </c>
      <c r="J413" s="31">
        <v>288</v>
      </c>
      <c r="K413" s="32">
        <v>72</v>
      </c>
      <c r="L413" s="77" t="str">
        <f t="shared" si="13"/>
        <v/>
      </c>
    </row>
    <row r="414" spans="1:12" x14ac:dyDescent="0.25">
      <c r="A414" s="25" t="s">
        <v>2152</v>
      </c>
      <c r="B414" s="26">
        <v>86</v>
      </c>
      <c r="C414" s="26">
        <v>6</v>
      </c>
      <c r="D414" s="25" t="s">
        <v>2153</v>
      </c>
      <c r="E414" s="31"/>
      <c r="F414" s="28">
        <v>9.25</v>
      </c>
      <c r="G414" s="28">
        <f t="shared" si="12"/>
        <v>1.5416666666666667</v>
      </c>
      <c r="H414" s="30" t="s">
        <v>2154</v>
      </c>
      <c r="I414" s="30" t="s">
        <v>2227</v>
      </c>
      <c r="J414" s="31">
        <v>240</v>
      </c>
      <c r="K414" s="32">
        <v>48</v>
      </c>
      <c r="L414" s="77" t="str">
        <f t="shared" si="13"/>
        <v/>
      </c>
    </row>
    <row r="415" spans="1:12" x14ac:dyDescent="0.25">
      <c r="A415" s="25" t="s">
        <v>864</v>
      </c>
      <c r="B415" s="26">
        <v>641</v>
      </c>
      <c r="C415" s="26">
        <v>6</v>
      </c>
      <c r="D415" s="25" t="s">
        <v>865</v>
      </c>
      <c r="E415" s="27"/>
      <c r="F415" s="28">
        <v>12.8</v>
      </c>
      <c r="G415" s="29">
        <f t="shared" si="12"/>
        <v>2.1333333333333333</v>
      </c>
      <c r="H415" s="30" t="s">
        <v>870</v>
      </c>
      <c r="I415" s="30" t="s">
        <v>881</v>
      </c>
      <c r="J415" s="31">
        <v>180</v>
      </c>
      <c r="K415" s="32">
        <v>36</v>
      </c>
      <c r="L415" s="76" t="str">
        <f t="shared" si="13"/>
        <v/>
      </c>
    </row>
    <row r="416" spans="1:12" x14ac:dyDescent="0.25">
      <c r="A416" s="25" t="s">
        <v>176</v>
      </c>
      <c r="B416" s="26">
        <v>4884</v>
      </c>
      <c r="C416" s="26">
        <v>6</v>
      </c>
      <c r="D416" s="25" t="s">
        <v>343</v>
      </c>
      <c r="E416" s="27"/>
      <c r="F416" s="28">
        <v>13.5</v>
      </c>
      <c r="G416" s="29">
        <f t="shared" si="12"/>
        <v>2.25</v>
      </c>
      <c r="H416" s="30" t="s">
        <v>252</v>
      </c>
      <c r="I416" s="30" t="s">
        <v>253</v>
      </c>
      <c r="J416" s="31">
        <v>180</v>
      </c>
      <c r="K416" s="32">
        <v>36</v>
      </c>
      <c r="L416" s="76" t="str">
        <f t="shared" si="13"/>
        <v/>
      </c>
    </row>
    <row r="417" spans="1:14" x14ac:dyDescent="0.25">
      <c r="A417" s="25" t="s">
        <v>175</v>
      </c>
      <c r="B417" s="26">
        <v>290</v>
      </c>
      <c r="C417" s="26">
        <v>6</v>
      </c>
      <c r="D417" s="25" t="s">
        <v>342</v>
      </c>
      <c r="E417" s="27"/>
      <c r="F417" s="28">
        <v>10.199999999999999</v>
      </c>
      <c r="G417" s="29">
        <f t="shared" si="12"/>
        <v>1.7</v>
      </c>
      <c r="H417" s="30" t="s">
        <v>235</v>
      </c>
      <c r="I417" s="30" t="s">
        <v>248</v>
      </c>
      <c r="J417" s="31">
        <v>120</v>
      </c>
      <c r="K417" s="32">
        <v>30</v>
      </c>
      <c r="L417" s="76" t="str">
        <f t="shared" si="13"/>
        <v/>
      </c>
    </row>
    <row r="418" spans="1:14" x14ac:dyDescent="0.25">
      <c r="A418" s="25" t="s">
        <v>3148</v>
      </c>
      <c r="B418" s="26">
        <v>36</v>
      </c>
      <c r="C418" s="26">
        <v>12</v>
      </c>
      <c r="D418" s="25" t="s">
        <v>3149</v>
      </c>
      <c r="E418" s="27"/>
      <c r="F418" s="28">
        <v>23.8</v>
      </c>
      <c r="G418" s="29">
        <f t="shared" si="12"/>
        <v>1.9833333333333334</v>
      </c>
      <c r="H418" s="30" t="s">
        <v>3158</v>
      </c>
      <c r="I418" s="30" t="s">
        <v>3157</v>
      </c>
      <c r="J418" s="31">
        <v>72</v>
      </c>
      <c r="K418" s="32">
        <v>12</v>
      </c>
      <c r="L418" s="76" t="str">
        <f t="shared" si="13"/>
        <v/>
      </c>
    </row>
    <row r="419" spans="1:14" x14ac:dyDescent="0.25">
      <c r="A419" s="36" t="s">
        <v>1490</v>
      </c>
      <c r="B419" s="54">
        <v>2213</v>
      </c>
      <c r="C419" s="53">
        <v>6</v>
      </c>
      <c r="D419" s="36" t="s">
        <v>1491</v>
      </c>
      <c r="E419" s="27"/>
      <c r="F419" s="61">
        <v>8.08</v>
      </c>
      <c r="G419" s="29">
        <f t="shared" si="12"/>
        <v>1.3466666666666667</v>
      </c>
      <c r="H419" s="30" t="s">
        <v>1492</v>
      </c>
      <c r="I419" s="56" t="s">
        <v>1493</v>
      </c>
      <c r="J419" s="54">
        <v>360</v>
      </c>
      <c r="K419" s="53">
        <v>120</v>
      </c>
      <c r="L419" s="76" t="str">
        <f t="shared" si="13"/>
        <v/>
      </c>
    </row>
    <row r="420" spans="1:14" x14ac:dyDescent="0.25">
      <c r="A420" s="36" t="s">
        <v>1715</v>
      </c>
      <c r="B420" s="54">
        <v>427</v>
      </c>
      <c r="C420" s="53">
        <v>6</v>
      </c>
      <c r="D420" s="36" t="s">
        <v>1716</v>
      </c>
      <c r="E420" s="27"/>
      <c r="F420" s="68">
        <v>13.8</v>
      </c>
      <c r="G420" s="69">
        <f t="shared" si="12"/>
        <v>2.3000000000000003</v>
      </c>
      <c r="H420" s="30" t="s">
        <v>1717</v>
      </c>
      <c r="I420" s="56" t="s">
        <v>1718</v>
      </c>
      <c r="J420" s="54">
        <v>128</v>
      </c>
      <c r="K420" s="32">
        <v>32</v>
      </c>
      <c r="L420" s="76" t="str">
        <f t="shared" si="13"/>
        <v/>
      </c>
    </row>
    <row r="421" spans="1:14" x14ac:dyDescent="0.25">
      <c r="A421" s="36" t="s">
        <v>1617</v>
      </c>
      <c r="B421" s="54">
        <v>311</v>
      </c>
      <c r="C421" s="53">
        <v>6</v>
      </c>
      <c r="D421" s="36" t="s">
        <v>1618</v>
      </c>
      <c r="E421" s="27"/>
      <c r="F421" s="61">
        <v>6.75</v>
      </c>
      <c r="G421" s="29">
        <f t="shared" si="12"/>
        <v>1.125</v>
      </c>
      <c r="H421" s="30" t="s">
        <v>1619</v>
      </c>
      <c r="I421" s="56" t="s">
        <v>1620</v>
      </c>
      <c r="J421" s="54">
        <v>220</v>
      </c>
      <c r="K421" s="53">
        <v>44</v>
      </c>
      <c r="L421" s="76" t="str">
        <f t="shared" si="13"/>
        <v/>
      </c>
    </row>
    <row r="422" spans="1:14" x14ac:dyDescent="0.25">
      <c r="A422" s="25" t="s">
        <v>1189</v>
      </c>
      <c r="B422" s="26">
        <v>16</v>
      </c>
      <c r="C422" s="26">
        <v>6</v>
      </c>
      <c r="D422" s="25" t="s">
        <v>1190</v>
      </c>
      <c r="E422" s="27"/>
      <c r="F422" s="28">
        <v>10.199999999999999</v>
      </c>
      <c r="G422" s="29">
        <f t="shared" si="12"/>
        <v>1.7</v>
      </c>
      <c r="H422" s="30" t="s">
        <v>1191</v>
      </c>
      <c r="I422" s="30" t="s">
        <v>1192</v>
      </c>
      <c r="J422" s="31">
        <v>120</v>
      </c>
      <c r="K422" s="32">
        <v>30</v>
      </c>
      <c r="L422" s="76" t="str">
        <f t="shared" si="13"/>
        <v/>
      </c>
    </row>
    <row r="423" spans="1:14" x14ac:dyDescent="0.25">
      <c r="A423" s="25" t="s">
        <v>1087</v>
      </c>
      <c r="B423" s="26">
        <v>413</v>
      </c>
      <c r="C423" s="26">
        <v>6</v>
      </c>
      <c r="D423" s="25" t="s">
        <v>1745</v>
      </c>
      <c r="E423" s="27"/>
      <c r="F423" s="28">
        <v>6.9</v>
      </c>
      <c r="G423" s="29">
        <f t="shared" si="12"/>
        <v>1.1500000000000001</v>
      </c>
      <c r="H423" s="30" t="s">
        <v>1806</v>
      </c>
      <c r="I423" s="30" t="s">
        <v>1807</v>
      </c>
      <c r="J423" s="31">
        <v>200</v>
      </c>
      <c r="K423" s="32">
        <v>40</v>
      </c>
      <c r="L423" s="76" t="str">
        <f t="shared" si="13"/>
        <v/>
      </c>
    </row>
    <row r="424" spans="1:14" x14ac:dyDescent="0.25">
      <c r="A424" s="25" t="s">
        <v>177</v>
      </c>
      <c r="B424" s="26">
        <v>150</v>
      </c>
      <c r="C424" s="26">
        <v>6</v>
      </c>
      <c r="D424" s="25" t="s">
        <v>47</v>
      </c>
      <c r="E424" s="27"/>
      <c r="F424" s="28">
        <v>10.199999999999999</v>
      </c>
      <c r="G424" s="29">
        <f t="shared" si="12"/>
        <v>1.7</v>
      </c>
      <c r="H424" s="30" t="s">
        <v>321</v>
      </c>
      <c r="I424" s="30" t="s">
        <v>322</v>
      </c>
      <c r="J424" s="31">
        <v>128</v>
      </c>
      <c r="K424" s="32">
        <v>32</v>
      </c>
      <c r="L424" s="76" t="str">
        <f t="shared" si="13"/>
        <v/>
      </c>
    </row>
    <row r="425" spans="1:14" x14ac:dyDescent="0.25">
      <c r="A425" s="36" t="s">
        <v>2831</v>
      </c>
      <c r="B425" s="54">
        <v>58</v>
      </c>
      <c r="C425" s="53">
        <v>12</v>
      </c>
      <c r="D425" s="36" t="s">
        <v>2832</v>
      </c>
      <c r="E425" s="32"/>
      <c r="F425" s="58">
        <v>23.8</v>
      </c>
      <c r="G425" s="58">
        <f t="shared" si="12"/>
        <v>1.9833333333333334</v>
      </c>
      <c r="H425" s="56" t="s">
        <v>2837</v>
      </c>
      <c r="I425" s="56" t="s">
        <v>2838</v>
      </c>
      <c r="J425" s="54">
        <v>72</v>
      </c>
      <c r="K425" s="54">
        <v>12</v>
      </c>
      <c r="L425" s="79" t="str">
        <f t="shared" si="13"/>
        <v/>
      </c>
    </row>
    <row r="426" spans="1:14" x14ac:dyDescent="0.25">
      <c r="A426" s="25" t="s">
        <v>917</v>
      </c>
      <c r="B426" s="26">
        <v>116</v>
      </c>
      <c r="C426" s="26">
        <v>6</v>
      </c>
      <c r="D426" s="25" t="s">
        <v>918</v>
      </c>
      <c r="E426" s="31"/>
      <c r="F426" s="28">
        <v>10.8</v>
      </c>
      <c r="G426" s="29">
        <f t="shared" si="12"/>
        <v>1.8</v>
      </c>
      <c r="H426" s="30" t="s">
        <v>919</v>
      </c>
      <c r="I426" s="30" t="s">
        <v>920</v>
      </c>
      <c r="J426" s="26">
        <v>128</v>
      </c>
      <c r="K426" s="32">
        <v>32</v>
      </c>
      <c r="L426" s="76" t="str">
        <f t="shared" si="13"/>
        <v/>
      </c>
    </row>
    <row r="427" spans="1:14" x14ac:dyDescent="0.25">
      <c r="A427" s="25" t="s">
        <v>3052</v>
      </c>
      <c r="B427" s="26">
        <v>0</v>
      </c>
      <c r="C427" s="26">
        <v>12</v>
      </c>
      <c r="D427" s="25" t="s">
        <v>3053</v>
      </c>
      <c r="E427" s="31"/>
      <c r="F427" s="33">
        <v>28.8</v>
      </c>
      <c r="G427" s="33">
        <f t="shared" si="12"/>
        <v>2.4</v>
      </c>
      <c r="H427" s="30" t="s">
        <v>3054</v>
      </c>
      <c r="I427" s="30" t="s">
        <v>3055</v>
      </c>
      <c r="J427" s="31"/>
      <c r="K427" s="37"/>
      <c r="L427" s="77" t="str">
        <f t="shared" si="13"/>
        <v/>
      </c>
    </row>
    <row r="428" spans="1:14" x14ac:dyDescent="0.25">
      <c r="A428" s="25" t="s">
        <v>178</v>
      </c>
      <c r="B428" s="26">
        <v>429</v>
      </c>
      <c r="C428" s="26">
        <v>12</v>
      </c>
      <c r="D428" s="25" t="s">
        <v>11</v>
      </c>
      <c r="E428" s="27"/>
      <c r="F428" s="28">
        <v>6.99</v>
      </c>
      <c r="G428" s="29">
        <f t="shared" si="12"/>
        <v>0.58250000000000002</v>
      </c>
      <c r="H428" s="30" t="s">
        <v>1478</v>
      </c>
      <c r="I428" s="30" t="s">
        <v>1479</v>
      </c>
      <c r="J428" s="31">
        <v>972</v>
      </c>
      <c r="K428" s="32">
        <v>81</v>
      </c>
      <c r="L428" s="76" t="str">
        <f t="shared" si="13"/>
        <v/>
      </c>
    </row>
    <row r="429" spans="1:14" x14ac:dyDescent="0.25">
      <c r="A429" s="25" t="s">
        <v>180</v>
      </c>
      <c r="B429" s="26">
        <v>28</v>
      </c>
      <c r="C429" s="26">
        <v>6</v>
      </c>
      <c r="D429" s="25" t="s">
        <v>12</v>
      </c>
      <c r="E429" s="27"/>
      <c r="F429" s="28">
        <v>11.25</v>
      </c>
      <c r="G429" s="29">
        <f t="shared" si="12"/>
        <v>1.875</v>
      </c>
      <c r="H429" s="30" t="s">
        <v>540</v>
      </c>
      <c r="I429" s="30" t="s">
        <v>541</v>
      </c>
      <c r="J429" s="31">
        <v>750</v>
      </c>
      <c r="K429" s="32">
        <v>50</v>
      </c>
      <c r="L429" s="76" t="str">
        <f t="shared" si="13"/>
        <v/>
      </c>
    </row>
    <row r="430" spans="1:14" x14ac:dyDescent="0.25">
      <c r="A430" s="25" t="s">
        <v>182</v>
      </c>
      <c r="B430" s="26">
        <v>41</v>
      </c>
      <c r="C430" s="26">
        <v>6</v>
      </c>
      <c r="D430" s="25" t="s">
        <v>13</v>
      </c>
      <c r="E430" s="27"/>
      <c r="F430" s="28">
        <v>11.25</v>
      </c>
      <c r="G430" s="29">
        <f t="shared" si="12"/>
        <v>1.875</v>
      </c>
      <c r="H430" s="30" t="s">
        <v>542</v>
      </c>
      <c r="I430" s="30" t="s">
        <v>543</v>
      </c>
      <c r="J430" s="31">
        <v>750</v>
      </c>
      <c r="K430" s="32">
        <v>50</v>
      </c>
      <c r="L430" s="76" t="str">
        <f t="shared" si="13"/>
        <v/>
      </c>
      <c r="N430" s="40"/>
    </row>
    <row r="431" spans="1:14" x14ac:dyDescent="0.25">
      <c r="A431" s="25" t="s">
        <v>179</v>
      </c>
      <c r="B431" s="26">
        <v>443</v>
      </c>
      <c r="C431" s="26">
        <v>6</v>
      </c>
      <c r="D431" s="25" t="s">
        <v>2024</v>
      </c>
      <c r="E431" s="27"/>
      <c r="F431" s="28">
        <v>24</v>
      </c>
      <c r="G431" s="29">
        <f t="shared" si="12"/>
        <v>4</v>
      </c>
      <c r="H431" s="30" t="s">
        <v>536</v>
      </c>
      <c r="I431" s="30" t="s">
        <v>537</v>
      </c>
      <c r="J431" s="31">
        <v>360</v>
      </c>
      <c r="K431" s="32">
        <v>20</v>
      </c>
      <c r="L431" s="79" t="str">
        <f t="shared" si="13"/>
        <v/>
      </c>
      <c r="N431" s="40"/>
    </row>
    <row r="432" spans="1:14" x14ac:dyDescent="0.25">
      <c r="A432" s="25" t="s">
        <v>181</v>
      </c>
      <c r="B432" s="26">
        <v>840</v>
      </c>
      <c r="C432" s="26">
        <v>6</v>
      </c>
      <c r="D432" s="25" t="s">
        <v>128</v>
      </c>
      <c r="E432" s="27"/>
      <c r="F432" s="28">
        <v>24</v>
      </c>
      <c r="G432" s="29">
        <f t="shared" si="12"/>
        <v>4</v>
      </c>
      <c r="H432" s="30" t="s">
        <v>538</v>
      </c>
      <c r="I432" s="30" t="s">
        <v>539</v>
      </c>
      <c r="J432" s="31">
        <v>360</v>
      </c>
      <c r="K432" s="32">
        <v>20</v>
      </c>
      <c r="L432" s="79" t="str">
        <f t="shared" si="13"/>
        <v/>
      </c>
      <c r="N432" s="40"/>
    </row>
    <row r="433" spans="1:12" x14ac:dyDescent="0.25">
      <c r="A433" s="25" t="s">
        <v>1091</v>
      </c>
      <c r="B433" s="35">
        <v>503</v>
      </c>
      <c r="C433" s="26">
        <v>6</v>
      </c>
      <c r="D433" s="25" t="s">
        <v>1092</v>
      </c>
      <c r="E433" s="27"/>
      <c r="F433" s="28">
        <v>29.45</v>
      </c>
      <c r="G433" s="28">
        <f t="shared" si="12"/>
        <v>4.9083333333333332</v>
      </c>
      <c r="H433" s="55" t="s">
        <v>1093</v>
      </c>
      <c r="I433" s="55" t="s">
        <v>1094</v>
      </c>
      <c r="J433" s="35">
        <v>288</v>
      </c>
      <c r="K433" s="53">
        <v>48</v>
      </c>
      <c r="L433" s="79" t="str">
        <f t="shared" si="13"/>
        <v/>
      </c>
    </row>
    <row r="434" spans="1:12" x14ac:dyDescent="0.25">
      <c r="A434" s="25" t="s">
        <v>2007</v>
      </c>
      <c r="B434" s="35">
        <v>335</v>
      </c>
      <c r="C434" s="26">
        <v>6</v>
      </c>
      <c r="D434" s="25" t="s">
        <v>2008</v>
      </c>
      <c r="E434" s="27"/>
      <c r="F434" s="28">
        <v>29.45</v>
      </c>
      <c r="G434" s="28">
        <f t="shared" si="12"/>
        <v>4.9083333333333332</v>
      </c>
      <c r="H434" s="55" t="s">
        <v>2009</v>
      </c>
      <c r="I434" s="55" t="s">
        <v>2010</v>
      </c>
      <c r="J434" s="35">
        <v>288</v>
      </c>
      <c r="K434" s="53">
        <v>48</v>
      </c>
      <c r="L434" s="79" t="str">
        <f t="shared" si="13"/>
        <v/>
      </c>
    </row>
    <row r="435" spans="1:12" x14ac:dyDescent="0.25">
      <c r="A435" s="25" t="s">
        <v>2447</v>
      </c>
      <c r="B435" s="26">
        <v>536</v>
      </c>
      <c r="C435" s="26">
        <v>6</v>
      </c>
      <c r="D435" s="25" t="s">
        <v>2448</v>
      </c>
      <c r="E435" s="27"/>
      <c r="F435" s="28">
        <v>29.45</v>
      </c>
      <c r="G435" s="28">
        <f t="shared" ref="G435:G497" si="14">F435/C435</f>
        <v>4.9083333333333332</v>
      </c>
      <c r="H435" s="30" t="s">
        <v>2449</v>
      </c>
      <c r="I435" s="30" t="s">
        <v>2450</v>
      </c>
      <c r="J435" s="31">
        <v>288</v>
      </c>
      <c r="K435" s="53">
        <v>48</v>
      </c>
      <c r="L435" s="77" t="str">
        <f t="shared" ref="L435:L497" si="15">IF(E435,E435*F435,"")</f>
        <v/>
      </c>
    </row>
    <row r="436" spans="1:12" x14ac:dyDescent="0.25">
      <c r="A436" s="25" t="s">
        <v>420</v>
      </c>
      <c r="B436" s="35">
        <v>404</v>
      </c>
      <c r="C436" s="26">
        <v>6</v>
      </c>
      <c r="D436" s="25" t="s">
        <v>421</v>
      </c>
      <c r="E436" s="27"/>
      <c r="F436" s="28">
        <v>26.95</v>
      </c>
      <c r="G436" s="29">
        <f t="shared" si="14"/>
        <v>4.4916666666666663</v>
      </c>
      <c r="H436" s="30" t="s">
        <v>422</v>
      </c>
      <c r="I436" s="30" t="s">
        <v>423</v>
      </c>
      <c r="J436" s="35">
        <v>288</v>
      </c>
      <c r="K436" s="53">
        <v>48</v>
      </c>
      <c r="L436" s="76" t="str">
        <f t="shared" si="15"/>
        <v/>
      </c>
    </row>
    <row r="437" spans="1:12" x14ac:dyDescent="0.25">
      <c r="A437" s="25" t="s">
        <v>223</v>
      </c>
      <c r="B437" s="35">
        <v>494</v>
      </c>
      <c r="C437" s="26">
        <v>6</v>
      </c>
      <c r="D437" s="25" t="s">
        <v>234</v>
      </c>
      <c r="E437" s="27"/>
      <c r="F437" s="28">
        <v>26.95</v>
      </c>
      <c r="G437" s="29">
        <f t="shared" si="14"/>
        <v>4.4916666666666663</v>
      </c>
      <c r="H437" s="30" t="s">
        <v>46</v>
      </c>
      <c r="I437" s="30" t="s">
        <v>236</v>
      </c>
      <c r="J437" s="35">
        <v>288</v>
      </c>
      <c r="K437" s="53">
        <v>48</v>
      </c>
      <c r="L437" s="76" t="str">
        <f t="shared" si="15"/>
        <v/>
      </c>
    </row>
    <row r="438" spans="1:12" x14ac:dyDescent="0.25">
      <c r="A438" s="25" t="s">
        <v>3160</v>
      </c>
      <c r="B438" s="35">
        <v>432</v>
      </c>
      <c r="C438" s="26">
        <v>6</v>
      </c>
      <c r="D438" s="25" t="s">
        <v>3159</v>
      </c>
      <c r="E438" s="27"/>
      <c r="F438" s="28">
        <v>26.95</v>
      </c>
      <c r="G438" s="29">
        <f t="shared" si="14"/>
        <v>4.4916666666666663</v>
      </c>
      <c r="H438" s="30" t="s">
        <v>3161</v>
      </c>
      <c r="I438" s="30" t="s">
        <v>3162</v>
      </c>
      <c r="J438" s="35">
        <v>288</v>
      </c>
      <c r="K438" s="53">
        <v>48</v>
      </c>
      <c r="L438" s="76" t="str">
        <f t="shared" si="15"/>
        <v/>
      </c>
    </row>
    <row r="439" spans="1:12" x14ac:dyDescent="0.25">
      <c r="A439" s="25" t="s">
        <v>1523</v>
      </c>
      <c r="B439" s="26">
        <v>310</v>
      </c>
      <c r="C439" s="26">
        <v>6</v>
      </c>
      <c r="D439" s="25" t="s">
        <v>1524</v>
      </c>
      <c r="E439" s="27"/>
      <c r="F439" s="28">
        <v>7.4</v>
      </c>
      <c r="G439" s="29">
        <f t="shared" si="14"/>
        <v>1.2333333333333334</v>
      </c>
      <c r="H439" s="30" t="s">
        <v>1525</v>
      </c>
      <c r="I439" s="30" t="s">
        <v>1526</v>
      </c>
      <c r="J439" s="31">
        <v>156</v>
      </c>
      <c r="K439" s="32">
        <v>26</v>
      </c>
      <c r="L439" s="76" t="str">
        <f t="shared" si="15"/>
        <v/>
      </c>
    </row>
    <row r="440" spans="1:12" x14ac:dyDescent="0.25">
      <c r="A440" s="25" t="s">
        <v>2052</v>
      </c>
      <c r="B440" s="26">
        <v>564</v>
      </c>
      <c r="C440" s="26">
        <v>8</v>
      </c>
      <c r="D440" s="25" t="s">
        <v>2051</v>
      </c>
      <c r="E440" s="27"/>
      <c r="F440" s="28">
        <v>10.8</v>
      </c>
      <c r="G440" s="29">
        <f t="shared" si="14"/>
        <v>1.35</v>
      </c>
      <c r="H440" s="30" t="s">
        <v>2053</v>
      </c>
      <c r="I440" s="30" t="s">
        <v>2054</v>
      </c>
      <c r="J440" s="31">
        <v>64</v>
      </c>
      <c r="K440" s="32">
        <v>16</v>
      </c>
      <c r="L440" s="76" t="str">
        <f t="shared" si="15"/>
        <v/>
      </c>
    </row>
    <row r="441" spans="1:12" x14ac:dyDescent="0.25">
      <c r="A441" s="25" t="s">
        <v>2055</v>
      </c>
      <c r="B441" s="26">
        <v>739</v>
      </c>
      <c r="C441" s="26">
        <v>5</v>
      </c>
      <c r="D441" s="25" t="s">
        <v>2056</v>
      </c>
      <c r="E441" s="27"/>
      <c r="F441" s="28">
        <v>6.72</v>
      </c>
      <c r="G441" s="29">
        <f t="shared" si="14"/>
        <v>1.3439999999999999</v>
      </c>
      <c r="H441" s="30" t="s">
        <v>2059</v>
      </c>
      <c r="I441" s="30" t="s">
        <v>2060</v>
      </c>
      <c r="J441" s="31">
        <v>100</v>
      </c>
      <c r="K441" s="32">
        <v>20</v>
      </c>
      <c r="L441" s="76" t="str">
        <f t="shared" si="15"/>
        <v/>
      </c>
    </row>
    <row r="442" spans="1:12" x14ac:dyDescent="0.25">
      <c r="A442" s="25" t="s">
        <v>2057</v>
      </c>
      <c r="B442" s="26">
        <v>430</v>
      </c>
      <c r="C442" s="26">
        <v>6</v>
      </c>
      <c r="D442" s="25" t="s">
        <v>2058</v>
      </c>
      <c r="E442" s="27"/>
      <c r="F442" s="28">
        <v>10.75</v>
      </c>
      <c r="G442" s="29">
        <f t="shared" si="14"/>
        <v>1.7916666666666667</v>
      </c>
      <c r="H442" s="30" t="s">
        <v>2061</v>
      </c>
      <c r="I442" s="30" t="s">
        <v>2062</v>
      </c>
      <c r="J442" s="31">
        <v>96</v>
      </c>
      <c r="K442" s="32">
        <v>16</v>
      </c>
      <c r="L442" s="76" t="str">
        <f t="shared" si="15"/>
        <v/>
      </c>
    </row>
    <row r="443" spans="1:12" x14ac:dyDescent="0.25">
      <c r="A443" s="25" t="s">
        <v>2482</v>
      </c>
      <c r="B443" s="26">
        <v>43</v>
      </c>
      <c r="C443" s="26">
        <v>20</v>
      </c>
      <c r="D443" s="25" t="s">
        <v>2483</v>
      </c>
      <c r="E443" s="31"/>
      <c r="F443" s="28">
        <v>3.9</v>
      </c>
      <c r="G443" s="29">
        <f t="shared" si="14"/>
        <v>0.19500000000000001</v>
      </c>
      <c r="H443" s="30" t="s">
        <v>2484</v>
      </c>
      <c r="I443" s="30" t="s">
        <v>2484</v>
      </c>
      <c r="J443" s="31"/>
      <c r="K443" s="37"/>
      <c r="L443" s="76" t="str">
        <f t="shared" si="15"/>
        <v/>
      </c>
    </row>
    <row r="444" spans="1:12" x14ac:dyDescent="0.25">
      <c r="A444" s="25" t="s">
        <v>3452</v>
      </c>
      <c r="B444" s="26">
        <v>13</v>
      </c>
      <c r="C444" s="26">
        <v>8</v>
      </c>
      <c r="D444" s="25" t="s">
        <v>3450</v>
      </c>
      <c r="E444" s="31"/>
      <c r="F444" s="28">
        <v>6.64</v>
      </c>
      <c r="G444" s="29">
        <f t="shared" si="14"/>
        <v>0.83</v>
      </c>
      <c r="H444" s="66" t="s">
        <v>3454</v>
      </c>
      <c r="I444" s="30" t="s">
        <v>3456</v>
      </c>
      <c r="J444" s="31"/>
      <c r="K444" s="37"/>
      <c r="L444" s="76" t="str">
        <f t="shared" si="15"/>
        <v/>
      </c>
    </row>
    <row r="445" spans="1:12" x14ac:dyDescent="0.25">
      <c r="A445" s="25" t="s">
        <v>3453</v>
      </c>
      <c r="B445" s="26">
        <v>13</v>
      </c>
      <c r="C445" s="26">
        <v>8</v>
      </c>
      <c r="D445" s="25" t="s">
        <v>3451</v>
      </c>
      <c r="E445" s="31"/>
      <c r="F445" s="28">
        <v>6.64</v>
      </c>
      <c r="G445" s="29">
        <f t="shared" si="14"/>
        <v>0.83</v>
      </c>
      <c r="H445" s="66" t="s">
        <v>3455</v>
      </c>
      <c r="I445" s="30" t="s">
        <v>3457</v>
      </c>
      <c r="J445" s="31"/>
      <c r="K445" s="37"/>
      <c r="L445" s="76" t="str">
        <f t="shared" si="15"/>
        <v/>
      </c>
    </row>
    <row r="446" spans="1:12" x14ac:dyDescent="0.25">
      <c r="A446" s="25" t="s">
        <v>1511</v>
      </c>
      <c r="B446" s="26">
        <v>293</v>
      </c>
      <c r="C446" s="26">
        <v>16</v>
      </c>
      <c r="D446" s="25" t="s">
        <v>1512</v>
      </c>
      <c r="E446" s="27"/>
      <c r="F446" s="28">
        <v>11.4</v>
      </c>
      <c r="G446" s="29">
        <f t="shared" si="14"/>
        <v>0.71250000000000002</v>
      </c>
      <c r="H446" s="30" t="s">
        <v>1513</v>
      </c>
      <c r="I446" s="30" t="s">
        <v>1514</v>
      </c>
      <c r="J446" s="31">
        <v>216</v>
      </c>
      <c r="K446" s="32">
        <v>27</v>
      </c>
      <c r="L446" s="76" t="str">
        <f t="shared" si="15"/>
        <v/>
      </c>
    </row>
    <row r="447" spans="1:12" x14ac:dyDescent="0.25">
      <c r="A447" s="25" t="s">
        <v>1515</v>
      </c>
      <c r="B447" s="26">
        <v>94</v>
      </c>
      <c r="C447" s="26">
        <v>16</v>
      </c>
      <c r="D447" s="25" t="s">
        <v>1516</v>
      </c>
      <c r="E447" s="27"/>
      <c r="F447" s="28">
        <v>11.4</v>
      </c>
      <c r="G447" s="29">
        <f t="shared" si="14"/>
        <v>0.71250000000000002</v>
      </c>
      <c r="H447" s="30" t="s">
        <v>1517</v>
      </c>
      <c r="I447" s="30" t="s">
        <v>1518</v>
      </c>
      <c r="J447" s="31">
        <v>216</v>
      </c>
      <c r="K447" s="32">
        <v>27</v>
      </c>
      <c r="L447" s="76" t="str">
        <f t="shared" si="15"/>
        <v/>
      </c>
    </row>
    <row r="448" spans="1:12" x14ac:dyDescent="0.25">
      <c r="A448" s="25" t="s">
        <v>1519</v>
      </c>
      <c r="B448" s="26">
        <v>170</v>
      </c>
      <c r="C448" s="26">
        <v>16</v>
      </c>
      <c r="D448" s="25" t="s">
        <v>1520</v>
      </c>
      <c r="E448" s="27"/>
      <c r="F448" s="28">
        <v>11.4</v>
      </c>
      <c r="G448" s="29">
        <f t="shared" si="14"/>
        <v>0.71250000000000002</v>
      </c>
      <c r="H448" s="30" t="s">
        <v>1521</v>
      </c>
      <c r="I448" s="30" t="s">
        <v>1522</v>
      </c>
      <c r="J448" s="31">
        <v>216</v>
      </c>
      <c r="K448" s="32">
        <v>27</v>
      </c>
      <c r="L448" s="76" t="str">
        <f t="shared" si="15"/>
        <v/>
      </c>
    </row>
    <row r="449" spans="1:14" x14ac:dyDescent="0.25">
      <c r="A449" s="25" t="s">
        <v>1858</v>
      </c>
      <c r="B449" s="26">
        <v>112</v>
      </c>
      <c r="C449" s="26">
        <v>16</v>
      </c>
      <c r="D449" s="25" t="s">
        <v>1860</v>
      </c>
      <c r="E449" s="27"/>
      <c r="F449" s="28">
        <v>11.4</v>
      </c>
      <c r="G449" s="29">
        <f t="shared" si="14"/>
        <v>0.71250000000000002</v>
      </c>
      <c r="H449" s="30" t="s">
        <v>1881</v>
      </c>
      <c r="I449" s="30" t="s">
        <v>1882</v>
      </c>
      <c r="J449" s="31">
        <v>216</v>
      </c>
      <c r="K449" s="32">
        <v>27</v>
      </c>
      <c r="L449" s="76" t="str">
        <f t="shared" si="15"/>
        <v/>
      </c>
    </row>
    <row r="450" spans="1:14" x14ac:dyDescent="0.25">
      <c r="A450" s="25" t="s">
        <v>1859</v>
      </c>
      <c r="B450" s="26">
        <v>133</v>
      </c>
      <c r="C450" s="26">
        <v>16</v>
      </c>
      <c r="D450" s="25" t="s">
        <v>1861</v>
      </c>
      <c r="E450" s="27"/>
      <c r="F450" s="28">
        <v>11.4</v>
      </c>
      <c r="G450" s="29">
        <f t="shared" si="14"/>
        <v>0.71250000000000002</v>
      </c>
      <c r="H450" s="30" t="s">
        <v>1879</v>
      </c>
      <c r="I450" s="30" t="s">
        <v>1880</v>
      </c>
      <c r="J450" s="31">
        <v>216</v>
      </c>
      <c r="K450" s="32">
        <v>27</v>
      </c>
      <c r="L450" s="76" t="str">
        <f t="shared" si="15"/>
        <v/>
      </c>
    </row>
    <row r="451" spans="1:14" x14ac:dyDescent="0.25">
      <c r="A451" s="25" t="s">
        <v>1930</v>
      </c>
      <c r="B451" s="26">
        <v>1033</v>
      </c>
      <c r="C451" s="26">
        <v>6</v>
      </c>
      <c r="D451" s="25" t="s">
        <v>1931</v>
      </c>
      <c r="E451" s="27"/>
      <c r="F451" s="28">
        <v>5.7</v>
      </c>
      <c r="G451" s="29">
        <f t="shared" si="14"/>
        <v>0.95000000000000007</v>
      </c>
      <c r="H451" s="30" t="s">
        <v>1950</v>
      </c>
      <c r="I451" s="30" t="s">
        <v>1951</v>
      </c>
      <c r="J451" s="31">
        <v>260</v>
      </c>
      <c r="K451" s="53">
        <v>52</v>
      </c>
      <c r="L451" s="76" t="str">
        <f t="shared" si="15"/>
        <v/>
      </c>
    </row>
    <row r="452" spans="1:14" x14ac:dyDescent="0.25">
      <c r="A452" s="25" t="s">
        <v>2148</v>
      </c>
      <c r="B452" s="26">
        <v>323</v>
      </c>
      <c r="C452" s="26">
        <v>6</v>
      </c>
      <c r="D452" s="25" t="s">
        <v>2149</v>
      </c>
      <c r="E452" s="31"/>
      <c r="F452" s="28">
        <v>5.7</v>
      </c>
      <c r="G452" s="29">
        <f t="shared" si="14"/>
        <v>0.95000000000000007</v>
      </c>
      <c r="H452" s="30" t="s">
        <v>2150</v>
      </c>
      <c r="I452" s="30" t="s">
        <v>2151</v>
      </c>
      <c r="J452" s="31">
        <v>260</v>
      </c>
      <c r="K452" s="53">
        <v>52</v>
      </c>
      <c r="L452" s="76" t="str">
        <f t="shared" si="15"/>
        <v/>
      </c>
    </row>
    <row r="453" spans="1:14" x14ac:dyDescent="0.25">
      <c r="A453" s="25" t="s">
        <v>1503</v>
      </c>
      <c r="B453" s="26">
        <v>522</v>
      </c>
      <c r="C453" s="26">
        <v>6</v>
      </c>
      <c r="D453" s="25" t="s">
        <v>1504</v>
      </c>
      <c r="E453" s="27"/>
      <c r="F453" s="28">
        <v>7.2</v>
      </c>
      <c r="G453" s="28">
        <f t="shared" si="14"/>
        <v>1.2</v>
      </c>
      <c r="H453" s="30" t="s">
        <v>1505</v>
      </c>
      <c r="I453" s="30" t="s">
        <v>1506</v>
      </c>
      <c r="J453" s="31">
        <v>260</v>
      </c>
      <c r="K453" s="32">
        <v>52</v>
      </c>
      <c r="L453" s="76" t="str">
        <f t="shared" si="15"/>
        <v/>
      </c>
    </row>
    <row r="454" spans="1:14" x14ac:dyDescent="0.25">
      <c r="A454" s="25" t="s">
        <v>1507</v>
      </c>
      <c r="B454" s="26">
        <v>515</v>
      </c>
      <c r="C454" s="26">
        <v>6</v>
      </c>
      <c r="D454" s="25" t="s">
        <v>1508</v>
      </c>
      <c r="E454" s="27"/>
      <c r="F454" s="28">
        <v>7.2</v>
      </c>
      <c r="G454" s="29">
        <f t="shared" si="14"/>
        <v>1.2</v>
      </c>
      <c r="H454" s="30" t="s">
        <v>1509</v>
      </c>
      <c r="I454" s="30" t="s">
        <v>1510</v>
      </c>
      <c r="J454" s="31">
        <v>260</v>
      </c>
      <c r="K454" s="32">
        <v>52</v>
      </c>
      <c r="L454" s="76" t="str">
        <f t="shared" si="15"/>
        <v/>
      </c>
    </row>
    <row r="455" spans="1:14" x14ac:dyDescent="0.25">
      <c r="A455" s="25" t="s">
        <v>3179</v>
      </c>
      <c r="B455" s="26">
        <v>120</v>
      </c>
      <c r="C455" s="26">
        <v>6</v>
      </c>
      <c r="D455" s="25" t="s">
        <v>3180</v>
      </c>
      <c r="E455" s="31"/>
      <c r="F455" s="33">
        <v>8.8000000000000007</v>
      </c>
      <c r="G455" s="34">
        <f t="shared" si="14"/>
        <v>1.4666666666666668</v>
      </c>
      <c r="H455" s="30" t="s">
        <v>3181</v>
      </c>
      <c r="I455" s="30" t="s">
        <v>3182</v>
      </c>
      <c r="J455" s="31">
        <v>260</v>
      </c>
      <c r="K455" s="32">
        <v>52</v>
      </c>
      <c r="L455" s="76" t="str">
        <f t="shared" si="15"/>
        <v/>
      </c>
      <c r="N455" s="40"/>
    </row>
    <row r="456" spans="1:14" x14ac:dyDescent="0.25">
      <c r="A456" s="25" t="s">
        <v>1047</v>
      </c>
      <c r="B456" s="26">
        <v>246</v>
      </c>
      <c r="C456" s="26">
        <v>6</v>
      </c>
      <c r="D456" s="25" t="s">
        <v>1048</v>
      </c>
      <c r="E456" s="31"/>
      <c r="F456" s="28">
        <v>9.4</v>
      </c>
      <c r="G456" s="29">
        <f t="shared" si="14"/>
        <v>1.5666666666666667</v>
      </c>
      <c r="H456" s="30" t="s">
        <v>1049</v>
      </c>
      <c r="I456" s="30" t="s">
        <v>1050</v>
      </c>
      <c r="J456" s="31">
        <v>260</v>
      </c>
      <c r="K456" s="32">
        <v>52</v>
      </c>
      <c r="L456" s="76" t="str">
        <f t="shared" si="15"/>
        <v/>
      </c>
    </row>
    <row r="457" spans="1:14" x14ac:dyDescent="0.25">
      <c r="A457" s="25" t="s">
        <v>1104</v>
      </c>
      <c r="B457" s="26">
        <v>300</v>
      </c>
      <c r="C457" s="26">
        <v>6</v>
      </c>
      <c r="D457" s="25" t="s">
        <v>1105</v>
      </c>
      <c r="E457" s="27"/>
      <c r="F457" s="28">
        <v>9.6</v>
      </c>
      <c r="G457" s="29">
        <f t="shared" si="14"/>
        <v>1.5999999999999999</v>
      </c>
      <c r="H457" s="30" t="s">
        <v>1108</v>
      </c>
      <c r="I457" s="30" t="s">
        <v>1109</v>
      </c>
      <c r="J457" s="31">
        <v>144</v>
      </c>
      <c r="K457" s="32">
        <v>36</v>
      </c>
      <c r="L457" s="76" t="str">
        <f t="shared" si="15"/>
        <v/>
      </c>
      <c r="N457" s="40"/>
    </row>
    <row r="458" spans="1:14" x14ac:dyDescent="0.25">
      <c r="A458" s="25" t="s">
        <v>1532</v>
      </c>
      <c r="B458" s="26">
        <v>229</v>
      </c>
      <c r="C458" s="26">
        <v>6</v>
      </c>
      <c r="D458" s="25" t="s">
        <v>1533</v>
      </c>
      <c r="E458" s="27"/>
      <c r="F458" s="28">
        <v>9.6</v>
      </c>
      <c r="G458" s="29">
        <f t="shared" si="14"/>
        <v>1.5999999999999999</v>
      </c>
      <c r="H458" s="30" t="s">
        <v>1534</v>
      </c>
      <c r="I458" s="30" t="s">
        <v>1535</v>
      </c>
      <c r="J458" s="31">
        <v>144</v>
      </c>
      <c r="K458" s="53">
        <v>36</v>
      </c>
      <c r="L458" s="76" t="str">
        <f t="shared" si="15"/>
        <v/>
      </c>
    </row>
    <row r="459" spans="1:14" x14ac:dyDescent="0.25">
      <c r="A459" s="25" t="s">
        <v>2396</v>
      </c>
      <c r="B459" s="26">
        <v>65</v>
      </c>
      <c r="C459" s="26">
        <v>6</v>
      </c>
      <c r="D459" s="25" t="s">
        <v>2397</v>
      </c>
      <c r="E459" s="27"/>
      <c r="F459" s="28">
        <v>9.6</v>
      </c>
      <c r="G459" s="29">
        <f t="shared" si="14"/>
        <v>1.5999999999999999</v>
      </c>
      <c r="H459" s="30" t="s">
        <v>2398</v>
      </c>
      <c r="I459" s="30" t="s">
        <v>2399</v>
      </c>
      <c r="J459" s="31">
        <v>144</v>
      </c>
      <c r="K459" s="32">
        <v>36</v>
      </c>
      <c r="L459" s="76" t="str">
        <f t="shared" si="15"/>
        <v/>
      </c>
      <c r="N459" s="40"/>
    </row>
    <row r="460" spans="1:14" x14ac:dyDescent="0.25">
      <c r="A460" s="25" t="s">
        <v>3781</v>
      </c>
      <c r="B460" s="26">
        <v>101</v>
      </c>
      <c r="C460" s="26">
        <v>6</v>
      </c>
      <c r="D460" s="25" t="s">
        <v>3782</v>
      </c>
      <c r="E460" s="31"/>
      <c r="F460" s="28">
        <v>10.4</v>
      </c>
      <c r="G460" s="29">
        <f t="shared" si="14"/>
        <v>1.7333333333333334</v>
      </c>
      <c r="H460" s="30" t="s">
        <v>3783</v>
      </c>
      <c r="I460" s="30" t="s">
        <v>3811</v>
      </c>
      <c r="J460" s="31">
        <v>144</v>
      </c>
      <c r="K460" s="32">
        <v>36</v>
      </c>
      <c r="L460" s="76" t="str">
        <f t="shared" si="15"/>
        <v/>
      </c>
      <c r="N460" s="40"/>
    </row>
    <row r="461" spans="1:14" x14ac:dyDescent="0.25">
      <c r="A461" s="25" t="s">
        <v>2263</v>
      </c>
      <c r="B461" s="26">
        <v>57</v>
      </c>
      <c r="C461" s="26">
        <v>6</v>
      </c>
      <c r="D461" s="25" t="s">
        <v>2264</v>
      </c>
      <c r="E461" s="27"/>
      <c r="F461" s="28">
        <v>10.4</v>
      </c>
      <c r="G461" s="29">
        <f t="shared" si="14"/>
        <v>1.7333333333333334</v>
      </c>
      <c r="H461" s="30" t="s">
        <v>2265</v>
      </c>
      <c r="I461" s="30" t="s">
        <v>3812</v>
      </c>
      <c r="J461" s="31">
        <v>144</v>
      </c>
      <c r="K461" s="53">
        <v>36</v>
      </c>
      <c r="L461" s="76" t="str">
        <f t="shared" si="15"/>
        <v/>
      </c>
    </row>
    <row r="462" spans="1:14" x14ac:dyDescent="0.25">
      <c r="A462" s="25" t="s">
        <v>3786</v>
      </c>
      <c r="B462" s="26">
        <v>139</v>
      </c>
      <c r="C462" s="26">
        <v>6</v>
      </c>
      <c r="D462" s="25" t="s">
        <v>3787</v>
      </c>
      <c r="E462" s="31"/>
      <c r="F462" s="33">
        <v>10.4</v>
      </c>
      <c r="G462" s="34">
        <f t="shared" si="14"/>
        <v>1.7333333333333334</v>
      </c>
      <c r="H462" s="30" t="s">
        <v>3788</v>
      </c>
      <c r="I462" s="30" t="s">
        <v>3789</v>
      </c>
      <c r="J462" s="31">
        <v>144</v>
      </c>
      <c r="K462" s="37">
        <v>36</v>
      </c>
      <c r="L462" s="76" t="str">
        <f t="shared" si="15"/>
        <v/>
      </c>
    </row>
    <row r="463" spans="1:14" x14ac:dyDescent="0.25">
      <c r="A463" s="25" t="s">
        <v>1338</v>
      </c>
      <c r="B463" s="35">
        <v>59</v>
      </c>
      <c r="C463" s="26">
        <v>6</v>
      </c>
      <c r="D463" s="25" t="s">
        <v>1339</v>
      </c>
      <c r="E463" s="27"/>
      <c r="F463" s="28">
        <v>10.8</v>
      </c>
      <c r="G463" s="29">
        <f t="shared" si="14"/>
        <v>1.8</v>
      </c>
      <c r="H463" s="55" t="s">
        <v>1340</v>
      </c>
      <c r="I463" s="55" t="s">
        <v>1341</v>
      </c>
      <c r="J463" s="35">
        <v>144</v>
      </c>
      <c r="K463" s="53">
        <v>36</v>
      </c>
      <c r="L463" s="76" t="str">
        <f t="shared" si="15"/>
        <v/>
      </c>
    </row>
    <row r="464" spans="1:14" x14ac:dyDescent="0.25">
      <c r="A464" s="25" t="s">
        <v>3191</v>
      </c>
      <c r="B464" s="35">
        <v>14</v>
      </c>
      <c r="C464" s="26">
        <v>6</v>
      </c>
      <c r="D464" s="25" t="s">
        <v>3192</v>
      </c>
      <c r="E464" s="27"/>
      <c r="F464" s="33">
        <v>12.4</v>
      </c>
      <c r="G464" s="34">
        <f t="shared" si="14"/>
        <v>2.0666666666666669</v>
      </c>
      <c r="H464" s="55" t="s">
        <v>3193</v>
      </c>
      <c r="I464" s="55" t="s">
        <v>3350</v>
      </c>
      <c r="J464" s="35">
        <v>144</v>
      </c>
      <c r="K464" s="53">
        <v>36</v>
      </c>
      <c r="L464" s="76" t="str">
        <f t="shared" si="15"/>
        <v/>
      </c>
      <c r="N464" s="40"/>
    </row>
    <row r="465" spans="1:12" x14ac:dyDescent="0.25">
      <c r="A465" s="25" t="s">
        <v>3194</v>
      </c>
      <c r="B465" s="35">
        <v>190</v>
      </c>
      <c r="C465" s="26">
        <v>6</v>
      </c>
      <c r="D465" s="25" t="s">
        <v>3195</v>
      </c>
      <c r="E465" s="31"/>
      <c r="F465" s="33">
        <v>12.4</v>
      </c>
      <c r="G465" s="34">
        <f t="shared" si="14"/>
        <v>2.0666666666666669</v>
      </c>
      <c r="H465" s="55" t="s">
        <v>3196</v>
      </c>
      <c r="I465" s="55" t="s">
        <v>3197</v>
      </c>
      <c r="J465" s="35">
        <v>144</v>
      </c>
      <c r="K465" s="53">
        <v>36</v>
      </c>
      <c r="L465" s="76" t="str">
        <f t="shared" si="15"/>
        <v/>
      </c>
    </row>
    <row r="466" spans="1:12" x14ac:dyDescent="0.25">
      <c r="A466" s="25" t="s">
        <v>3848</v>
      </c>
      <c r="B466" s="26">
        <v>1504</v>
      </c>
      <c r="C466" s="26">
        <v>6</v>
      </c>
      <c r="D466" s="25" t="s">
        <v>3849</v>
      </c>
      <c r="E466" s="27"/>
      <c r="F466" s="33">
        <v>11.4</v>
      </c>
      <c r="G466" s="34">
        <f t="shared" si="14"/>
        <v>1.9000000000000001</v>
      </c>
      <c r="H466" s="30" t="s">
        <v>3850</v>
      </c>
      <c r="I466" s="30" t="s">
        <v>3851</v>
      </c>
      <c r="J466" s="31">
        <v>528</v>
      </c>
      <c r="K466" s="32">
        <v>66</v>
      </c>
      <c r="L466" s="76" t="str">
        <f t="shared" si="15"/>
        <v/>
      </c>
    </row>
    <row r="467" spans="1:12" x14ac:dyDescent="0.25">
      <c r="A467" s="25" t="s">
        <v>3865</v>
      </c>
      <c r="B467" s="26">
        <v>949</v>
      </c>
      <c r="C467" s="26">
        <v>6</v>
      </c>
      <c r="D467" s="25" t="s">
        <v>3864</v>
      </c>
      <c r="E467" s="27"/>
      <c r="F467" s="28">
        <v>11.4</v>
      </c>
      <c r="G467" s="29">
        <f t="shared" si="14"/>
        <v>1.9000000000000001</v>
      </c>
      <c r="H467" s="30" t="s">
        <v>3866</v>
      </c>
      <c r="I467" s="30" t="s">
        <v>3867</v>
      </c>
      <c r="J467" s="31">
        <v>528</v>
      </c>
      <c r="K467" s="32">
        <v>66</v>
      </c>
      <c r="L467" s="76" t="str">
        <f t="shared" si="15"/>
        <v/>
      </c>
    </row>
    <row r="468" spans="1:12" x14ac:dyDescent="0.25">
      <c r="A468" s="25" t="s">
        <v>3852</v>
      </c>
      <c r="B468" s="26">
        <v>811</v>
      </c>
      <c r="C468" s="26">
        <v>6</v>
      </c>
      <c r="D468" s="25" t="s">
        <v>3853</v>
      </c>
      <c r="E468" s="27"/>
      <c r="F468" s="33">
        <v>11.4</v>
      </c>
      <c r="G468" s="34">
        <f t="shared" si="14"/>
        <v>1.9000000000000001</v>
      </c>
      <c r="H468" s="30" t="s">
        <v>3854</v>
      </c>
      <c r="I468" s="30" t="s">
        <v>3855</v>
      </c>
      <c r="J468" s="31">
        <v>528</v>
      </c>
      <c r="K468" s="32">
        <v>66</v>
      </c>
      <c r="L468" s="76" t="str">
        <f t="shared" si="15"/>
        <v/>
      </c>
    </row>
    <row r="469" spans="1:12" x14ac:dyDescent="0.25">
      <c r="A469" s="25" t="s">
        <v>3938</v>
      </c>
      <c r="B469" s="26">
        <v>184</v>
      </c>
      <c r="C469" s="26">
        <v>6</v>
      </c>
      <c r="D469" s="25" t="s">
        <v>3939</v>
      </c>
      <c r="E469" s="31"/>
      <c r="F469" s="28">
        <v>11.4</v>
      </c>
      <c r="G469" s="29">
        <f t="shared" si="14"/>
        <v>1.9000000000000001</v>
      </c>
      <c r="H469" s="30" t="s">
        <v>3940</v>
      </c>
      <c r="I469" s="30" t="s">
        <v>3941</v>
      </c>
      <c r="J469" s="31">
        <v>528</v>
      </c>
      <c r="K469" s="53">
        <v>66</v>
      </c>
      <c r="L469" s="76" t="str">
        <f t="shared" si="15"/>
        <v/>
      </c>
    </row>
    <row r="470" spans="1:12" x14ac:dyDescent="0.25">
      <c r="A470" s="25" t="s">
        <v>3856</v>
      </c>
      <c r="B470" s="26">
        <v>977</v>
      </c>
      <c r="C470" s="26">
        <v>6</v>
      </c>
      <c r="D470" s="25" t="s">
        <v>3857</v>
      </c>
      <c r="E470" s="31"/>
      <c r="F470" s="33">
        <v>11.4</v>
      </c>
      <c r="G470" s="34">
        <f t="shared" si="14"/>
        <v>1.9000000000000001</v>
      </c>
      <c r="H470" s="30" t="s">
        <v>3858</v>
      </c>
      <c r="I470" s="30" t="s">
        <v>3859</v>
      </c>
      <c r="J470" s="31">
        <v>528</v>
      </c>
      <c r="K470" s="32">
        <v>66</v>
      </c>
      <c r="L470" s="76" t="str">
        <f t="shared" si="15"/>
        <v/>
      </c>
    </row>
    <row r="471" spans="1:12" x14ac:dyDescent="0.25">
      <c r="A471" s="25" t="s">
        <v>3860</v>
      </c>
      <c r="B471" s="26">
        <v>959</v>
      </c>
      <c r="C471" s="26">
        <v>6</v>
      </c>
      <c r="D471" s="25" t="s">
        <v>3861</v>
      </c>
      <c r="E471" s="27"/>
      <c r="F471" s="33">
        <v>11.4</v>
      </c>
      <c r="G471" s="34">
        <f t="shared" si="14"/>
        <v>1.9000000000000001</v>
      </c>
      <c r="H471" s="30" t="s">
        <v>3862</v>
      </c>
      <c r="I471" s="30" t="s">
        <v>3863</v>
      </c>
      <c r="J471" s="31">
        <v>528</v>
      </c>
      <c r="K471" s="53">
        <v>66</v>
      </c>
      <c r="L471" s="76" t="str">
        <f t="shared" si="15"/>
        <v/>
      </c>
    </row>
    <row r="472" spans="1:12" x14ac:dyDescent="0.25">
      <c r="A472" s="25" t="s">
        <v>3516</v>
      </c>
      <c r="B472" s="26">
        <v>435</v>
      </c>
      <c r="C472" s="26">
        <v>6</v>
      </c>
      <c r="D472" s="25" t="s">
        <v>3517</v>
      </c>
      <c r="E472" s="31"/>
      <c r="F472" s="28">
        <v>13.2</v>
      </c>
      <c r="G472" s="29">
        <f t="shared" si="14"/>
        <v>2.1999999999999997</v>
      </c>
      <c r="H472" s="30" t="s">
        <v>3524</v>
      </c>
      <c r="I472" s="30" t="s">
        <v>3523</v>
      </c>
      <c r="J472" s="31">
        <v>396</v>
      </c>
      <c r="K472" s="32">
        <v>66</v>
      </c>
      <c r="L472" s="76" t="str">
        <f t="shared" si="15"/>
        <v/>
      </c>
    </row>
    <row r="473" spans="1:12" x14ac:dyDescent="0.25">
      <c r="A473" s="25" t="s">
        <v>2529</v>
      </c>
      <c r="B473" s="26">
        <v>1</v>
      </c>
      <c r="C473" s="26">
        <v>6</v>
      </c>
      <c r="D473" s="25" t="s">
        <v>2528</v>
      </c>
      <c r="E473" s="27"/>
      <c r="F473" s="28">
        <v>14.4</v>
      </c>
      <c r="G473" s="29">
        <f t="shared" si="14"/>
        <v>2.4</v>
      </c>
      <c r="H473" s="56" t="s">
        <v>2530</v>
      </c>
      <c r="I473" s="30" t="s">
        <v>2531</v>
      </c>
      <c r="J473" s="31">
        <v>396</v>
      </c>
      <c r="K473" s="32">
        <v>66</v>
      </c>
      <c r="L473" s="76" t="str">
        <f t="shared" si="15"/>
        <v/>
      </c>
    </row>
    <row r="474" spans="1:12" x14ac:dyDescent="0.25">
      <c r="A474" s="25" t="s">
        <v>1168</v>
      </c>
      <c r="B474" s="26">
        <v>38</v>
      </c>
      <c r="C474" s="26">
        <v>6</v>
      </c>
      <c r="D474" s="25" t="s">
        <v>1165</v>
      </c>
      <c r="E474" s="31"/>
      <c r="F474" s="28">
        <v>6.3</v>
      </c>
      <c r="G474" s="29">
        <f t="shared" si="14"/>
        <v>1.05</v>
      </c>
      <c r="H474" s="30" t="s">
        <v>1176</v>
      </c>
      <c r="I474" s="30" t="s">
        <v>1175</v>
      </c>
      <c r="J474" s="31">
        <v>360</v>
      </c>
      <c r="K474" s="32">
        <v>60</v>
      </c>
      <c r="L474" s="76" t="str">
        <f t="shared" si="15"/>
        <v/>
      </c>
    </row>
    <row r="475" spans="1:12" x14ac:dyDescent="0.25">
      <c r="A475" s="25" t="s">
        <v>1169</v>
      </c>
      <c r="B475" s="26">
        <v>95</v>
      </c>
      <c r="C475" s="26">
        <v>6</v>
      </c>
      <c r="D475" s="25" t="s">
        <v>1166</v>
      </c>
      <c r="E475" s="31"/>
      <c r="F475" s="28">
        <v>6.3</v>
      </c>
      <c r="G475" s="29">
        <f t="shared" si="14"/>
        <v>1.05</v>
      </c>
      <c r="H475" s="30" t="s">
        <v>1173</v>
      </c>
      <c r="I475" s="30" t="s">
        <v>1174</v>
      </c>
      <c r="J475" s="31">
        <v>360</v>
      </c>
      <c r="K475" s="32">
        <v>60</v>
      </c>
      <c r="L475" s="76" t="str">
        <f t="shared" si="15"/>
        <v/>
      </c>
    </row>
    <row r="476" spans="1:12" x14ac:dyDescent="0.25">
      <c r="A476" s="25" t="s">
        <v>2305</v>
      </c>
      <c r="B476" s="26">
        <v>52</v>
      </c>
      <c r="C476" s="26">
        <v>6</v>
      </c>
      <c r="D476" s="25" t="s">
        <v>2306</v>
      </c>
      <c r="E476" s="31"/>
      <c r="F476" s="28">
        <v>6.3</v>
      </c>
      <c r="G476" s="29">
        <f t="shared" si="14"/>
        <v>1.05</v>
      </c>
      <c r="H476" s="30" t="s">
        <v>2307</v>
      </c>
      <c r="I476" s="30" t="s">
        <v>2308</v>
      </c>
      <c r="J476" s="31">
        <v>360</v>
      </c>
      <c r="K476" s="32">
        <v>60</v>
      </c>
      <c r="L476" s="76" t="str">
        <f t="shared" si="15"/>
        <v/>
      </c>
    </row>
    <row r="477" spans="1:12" x14ac:dyDescent="0.25">
      <c r="A477" s="25" t="s">
        <v>800</v>
      </c>
      <c r="B477" s="26">
        <v>216</v>
      </c>
      <c r="C477" s="26">
        <v>6</v>
      </c>
      <c r="D477" s="36" t="s">
        <v>799</v>
      </c>
      <c r="E477" s="27"/>
      <c r="F477" s="28">
        <v>6.3</v>
      </c>
      <c r="G477" s="29">
        <f t="shared" si="14"/>
        <v>1.05</v>
      </c>
      <c r="H477" s="30" t="s">
        <v>798</v>
      </c>
      <c r="I477" s="30" t="s">
        <v>826</v>
      </c>
      <c r="J477" s="31">
        <v>360</v>
      </c>
      <c r="K477" s="32">
        <v>60</v>
      </c>
      <c r="L477" s="76" t="str">
        <f t="shared" si="15"/>
        <v/>
      </c>
    </row>
    <row r="478" spans="1:12" x14ac:dyDescent="0.25">
      <c r="A478" s="25" t="s">
        <v>1906</v>
      </c>
      <c r="B478" s="26">
        <v>221</v>
      </c>
      <c r="C478" s="26">
        <v>6</v>
      </c>
      <c r="D478" s="36" t="s">
        <v>1907</v>
      </c>
      <c r="E478" s="27"/>
      <c r="F478" s="28">
        <v>6.3</v>
      </c>
      <c r="G478" s="29">
        <f t="shared" si="14"/>
        <v>1.05</v>
      </c>
      <c r="H478" s="30" t="s">
        <v>1908</v>
      </c>
      <c r="I478" s="30" t="s">
        <v>1909</v>
      </c>
      <c r="J478" s="31">
        <v>360</v>
      </c>
      <c r="K478" s="32">
        <v>60</v>
      </c>
      <c r="L478" s="76" t="str">
        <f t="shared" si="15"/>
        <v/>
      </c>
    </row>
    <row r="479" spans="1:12" x14ac:dyDescent="0.25">
      <c r="A479" s="25" t="s">
        <v>1170</v>
      </c>
      <c r="B479" s="26">
        <v>20</v>
      </c>
      <c r="C479" s="26">
        <v>6</v>
      </c>
      <c r="D479" s="36" t="s">
        <v>1167</v>
      </c>
      <c r="E479" s="27"/>
      <c r="F479" s="28">
        <v>6.3</v>
      </c>
      <c r="G479" s="29">
        <f t="shared" si="14"/>
        <v>1.05</v>
      </c>
      <c r="H479" s="30" t="s">
        <v>1172</v>
      </c>
      <c r="I479" s="30" t="s">
        <v>1171</v>
      </c>
      <c r="J479" s="31">
        <v>360</v>
      </c>
      <c r="K479" s="32">
        <v>60</v>
      </c>
      <c r="L479" s="76" t="str">
        <f t="shared" si="15"/>
        <v/>
      </c>
    </row>
    <row r="480" spans="1:12" x14ac:dyDescent="0.25">
      <c r="A480" s="25" t="s">
        <v>2309</v>
      </c>
      <c r="B480" s="26">
        <v>266</v>
      </c>
      <c r="C480" s="26">
        <v>6</v>
      </c>
      <c r="D480" s="36" t="s">
        <v>2310</v>
      </c>
      <c r="E480" s="27"/>
      <c r="F480" s="28">
        <v>6.3</v>
      </c>
      <c r="G480" s="29">
        <f t="shared" si="14"/>
        <v>1.05</v>
      </c>
      <c r="H480" s="30" t="s">
        <v>2311</v>
      </c>
      <c r="I480" s="30" t="s">
        <v>2312</v>
      </c>
      <c r="J480" s="31">
        <v>360</v>
      </c>
      <c r="K480" s="32">
        <v>60</v>
      </c>
      <c r="L480" s="76" t="str">
        <f t="shared" si="15"/>
        <v/>
      </c>
    </row>
    <row r="481" spans="1:12" x14ac:dyDescent="0.25">
      <c r="A481" s="25" t="s">
        <v>1233</v>
      </c>
      <c r="B481" s="26">
        <v>599</v>
      </c>
      <c r="C481" s="26">
        <v>6</v>
      </c>
      <c r="D481" s="36" t="s">
        <v>1234</v>
      </c>
      <c r="E481" s="27"/>
      <c r="F481" s="28">
        <v>6.3</v>
      </c>
      <c r="G481" s="29">
        <f t="shared" si="14"/>
        <v>1.05</v>
      </c>
      <c r="H481" s="30" t="s">
        <v>1235</v>
      </c>
      <c r="I481" s="30" t="s">
        <v>1236</v>
      </c>
      <c r="J481" s="31">
        <v>360</v>
      </c>
      <c r="K481" s="32">
        <v>60</v>
      </c>
      <c r="L481" s="76" t="str">
        <f t="shared" si="15"/>
        <v/>
      </c>
    </row>
    <row r="482" spans="1:12" x14ac:dyDescent="0.25">
      <c r="A482" s="25" t="s">
        <v>2296</v>
      </c>
      <c r="B482" s="26">
        <v>94</v>
      </c>
      <c r="C482" s="26">
        <v>6</v>
      </c>
      <c r="D482" s="25" t="s">
        <v>2297</v>
      </c>
      <c r="E482" s="27"/>
      <c r="F482" s="28">
        <v>6.3</v>
      </c>
      <c r="G482" s="29">
        <f t="shared" si="14"/>
        <v>1.05</v>
      </c>
      <c r="H482" s="30" t="s">
        <v>2298</v>
      </c>
      <c r="I482" s="30" t="s">
        <v>2299</v>
      </c>
      <c r="J482" s="31">
        <v>360</v>
      </c>
      <c r="K482" s="53">
        <v>60</v>
      </c>
      <c r="L482" s="76" t="str">
        <f t="shared" si="15"/>
        <v/>
      </c>
    </row>
    <row r="483" spans="1:12" x14ac:dyDescent="0.25">
      <c r="A483" s="25" t="s">
        <v>3198</v>
      </c>
      <c r="B483" s="26">
        <v>192</v>
      </c>
      <c r="C483" s="26">
        <v>6</v>
      </c>
      <c r="D483" s="36" t="s">
        <v>3199</v>
      </c>
      <c r="E483" s="27"/>
      <c r="F483" s="33">
        <v>7.5</v>
      </c>
      <c r="G483" s="34">
        <f t="shared" si="14"/>
        <v>1.25</v>
      </c>
      <c r="H483" s="30" t="s">
        <v>3200</v>
      </c>
      <c r="I483" s="30" t="s">
        <v>3276</v>
      </c>
      <c r="J483" s="31">
        <v>180</v>
      </c>
      <c r="K483" s="32">
        <v>36</v>
      </c>
      <c r="L483" s="76" t="str">
        <f t="shared" si="15"/>
        <v/>
      </c>
    </row>
    <row r="484" spans="1:12" x14ac:dyDescent="0.25">
      <c r="A484" s="25" t="s">
        <v>2764</v>
      </c>
      <c r="B484" s="26">
        <v>106</v>
      </c>
      <c r="C484" s="26">
        <v>30</v>
      </c>
      <c r="D484" s="36" t="s">
        <v>2765</v>
      </c>
      <c r="E484" s="27"/>
      <c r="F484" s="33">
        <v>19.399999999999999</v>
      </c>
      <c r="G484" s="34">
        <f t="shared" si="14"/>
        <v>0.64666666666666661</v>
      </c>
      <c r="H484" s="30" t="s">
        <v>2766</v>
      </c>
      <c r="I484" s="30" t="s">
        <v>2819</v>
      </c>
      <c r="J484" s="31"/>
      <c r="K484" s="32"/>
      <c r="L484" s="76" t="str">
        <f t="shared" si="15"/>
        <v/>
      </c>
    </row>
    <row r="485" spans="1:12" x14ac:dyDescent="0.25">
      <c r="A485" s="25" t="s">
        <v>1605</v>
      </c>
      <c r="B485" s="26">
        <v>10</v>
      </c>
      <c r="C485" s="26">
        <v>9</v>
      </c>
      <c r="D485" s="36" t="s">
        <v>1741</v>
      </c>
      <c r="E485" s="27"/>
      <c r="F485" s="28">
        <v>6.4</v>
      </c>
      <c r="G485" s="29">
        <f t="shared" si="14"/>
        <v>0.71111111111111114</v>
      </c>
      <c r="H485" s="30" t="s">
        <v>1608</v>
      </c>
      <c r="I485" s="30" t="s">
        <v>1614</v>
      </c>
      <c r="J485" s="31">
        <v>405</v>
      </c>
      <c r="K485" s="32">
        <v>135</v>
      </c>
      <c r="L485" s="76" t="str">
        <f t="shared" si="15"/>
        <v/>
      </c>
    </row>
    <row r="486" spans="1:12" x14ac:dyDescent="0.25">
      <c r="A486" s="25" t="s">
        <v>1606</v>
      </c>
      <c r="B486" s="26">
        <v>15</v>
      </c>
      <c r="C486" s="26">
        <v>9</v>
      </c>
      <c r="D486" s="36" t="s">
        <v>1742</v>
      </c>
      <c r="E486" s="27"/>
      <c r="F486" s="28">
        <v>6.4</v>
      </c>
      <c r="G486" s="29">
        <f t="shared" si="14"/>
        <v>0.71111111111111114</v>
      </c>
      <c r="H486" s="30" t="s">
        <v>1609</v>
      </c>
      <c r="I486" s="30" t="s">
        <v>1616</v>
      </c>
      <c r="J486" s="31">
        <v>405</v>
      </c>
      <c r="K486" s="32">
        <v>135</v>
      </c>
      <c r="L486" s="76" t="str">
        <f t="shared" si="15"/>
        <v/>
      </c>
    </row>
    <row r="487" spans="1:12" x14ac:dyDescent="0.25">
      <c r="A487" s="25" t="s">
        <v>1607</v>
      </c>
      <c r="B487" s="26">
        <v>16</v>
      </c>
      <c r="C487" s="26">
        <v>9</v>
      </c>
      <c r="D487" s="36" t="s">
        <v>1743</v>
      </c>
      <c r="E487" s="27"/>
      <c r="F487" s="28">
        <v>6.4</v>
      </c>
      <c r="G487" s="29">
        <f t="shared" si="14"/>
        <v>0.71111111111111114</v>
      </c>
      <c r="H487" s="30" t="s">
        <v>1610</v>
      </c>
      <c r="I487" s="30" t="s">
        <v>1615</v>
      </c>
      <c r="J487" s="31">
        <v>405</v>
      </c>
      <c r="K487" s="32">
        <v>135</v>
      </c>
      <c r="L487" s="76" t="str">
        <f t="shared" si="15"/>
        <v/>
      </c>
    </row>
    <row r="488" spans="1:12" x14ac:dyDescent="0.25">
      <c r="A488" s="25" t="s">
        <v>1657</v>
      </c>
      <c r="B488" s="26">
        <v>28</v>
      </c>
      <c r="C488" s="26">
        <v>10</v>
      </c>
      <c r="D488" s="36" t="s">
        <v>1744</v>
      </c>
      <c r="E488" s="27"/>
      <c r="F488" s="28">
        <v>6.5</v>
      </c>
      <c r="G488" s="29">
        <f t="shared" si="14"/>
        <v>0.65</v>
      </c>
      <c r="H488" s="30" t="s">
        <v>1658</v>
      </c>
      <c r="I488" s="30" t="s">
        <v>1659</v>
      </c>
      <c r="J488" s="31"/>
      <c r="K488" s="32"/>
      <c r="L488" s="76" t="str">
        <f t="shared" si="15"/>
        <v/>
      </c>
    </row>
    <row r="489" spans="1:12" x14ac:dyDescent="0.25">
      <c r="A489" s="25" t="s">
        <v>3779</v>
      </c>
      <c r="B489" s="26">
        <v>63</v>
      </c>
      <c r="C489" s="26">
        <v>12</v>
      </c>
      <c r="D489" s="36" t="s">
        <v>3780</v>
      </c>
      <c r="E489" s="27"/>
      <c r="F489" s="28">
        <v>9.4</v>
      </c>
      <c r="G489" s="29">
        <f t="shared" si="14"/>
        <v>0.78333333333333333</v>
      </c>
      <c r="H489" s="30" t="s">
        <v>3805</v>
      </c>
      <c r="I489" s="30" t="s">
        <v>3806</v>
      </c>
      <c r="J489" s="31">
        <v>360</v>
      </c>
      <c r="K489" s="32">
        <v>72</v>
      </c>
      <c r="L489" s="76" t="str">
        <f t="shared" si="15"/>
        <v/>
      </c>
    </row>
    <row r="490" spans="1:12" x14ac:dyDescent="0.25">
      <c r="A490" s="25" t="s">
        <v>1551</v>
      </c>
      <c r="B490" s="26">
        <v>28</v>
      </c>
      <c r="C490" s="26">
        <v>24</v>
      </c>
      <c r="D490" s="25" t="s">
        <v>1540</v>
      </c>
      <c r="E490" s="27"/>
      <c r="F490" s="28">
        <v>15</v>
      </c>
      <c r="G490" s="29">
        <f t="shared" si="14"/>
        <v>0.625</v>
      </c>
      <c r="H490" s="30" t="s">
        <v>1543</v>
      </c>
      <c r="I490" s="30" t="s">
        <v>1546</v>
      </c>
      <c r="J490" s="31">
        <v>384</v>
      </c>
      <c r="K490" s="32">
        <v>64</v>
      </c>
      <c r="L490" s="76" t="str">
        <f t="shared" si="15"/>
        <v/>
      </c>
    </row>
    <row r="491" spans="1:12" x14ac:dyDescent="0.25">
      <c r="A491" s="25" t="s">
        <v>1550</v>
      </c>
      <c r="B491" s="26">
        <v>109</v>
      </c>
      <c r="C491" s="26">
        <v>24</v>
      </c>
      <c r="D491" s="25" t="s">
        <v>1541</v>
      </c>
      <c r="E491" s="27"/>
      <c r="F491" s="28">
        <v>15</v>
      </c>
      <c r="G491" s="29">
        <f t="shared" si="14"/>
        <v>0.625</v>
      </c>
      <c r="H491" s="30" t="s">
        <v>1544</v>
      </c>
      <c r="I491" s="30" t="s">
        <v>1547</v>
      </c>
      <c r="J491" s="31">
        <v>384</v>
      </c>
      <c r="K491" s="32">
        <v>64</v>
      </c>
      <c r="L491" s="76" t="str">
        <f t="shared" si="15"/>
        <v/>
      </c>
    </row>
    <row r="492" spans="1:12" x14ac:dyDescent="0.25">
      <c r="A492" s="25" t="s">
        <v>1549</v>
      </c>
      <c r="B492" s="26">
        <v>67</v>
      </c>
      <c r="C492" s="26">
        <v>24</v>
      </c>
      <c r="D492" s="25" t="s">
        <v>1542</v>
      </c>
      <c r="E492" s="27"/>
      <c r="F492" s="28">
        <v>15</v>
      </c>
      <c r="G492" s="29">
        <f t="shared" si="14"/>
        <v>0.625</v>
      </c>
      <c r="H492" s="30" t="s">
        <v>1545</v>
      </c>
      <c r="I492" s="30" t="s">
        <v>1548</v>
      </c>
      <c r="J492" s="31">
        <v>384</v>
      </c>
      <c r="K492" s="32">
        <v>64</v>
      </c>
      <c r="L492" s="76" t="str">
        <f t="shared" si="15"/>
        <v/>
      </c>
    </row>
    <row r="493" spans="1:12" x14ac:dyDescent="0.25">
      <c r="A493" s="25" t="s">
        <v>2319</v>
      </c>
      <c r="B493" s="26">
        <v>171</v>
      </c>
      <c r="C493" s="26">
        <v>6</v>
      </c>
      <c r="D493" s="25" t="s">
        <v>2320</v>
      </c>
      <c r="E493" s="31"/>
      <c r="F493" s="28">
        <v>22</v>
      </c>
      <c r="G493" s="28">
        <f t="shared" si="14"/>
        <v>3.6666666666666665</v>
      </c>
      <c r="H493" s="30" t="s">
        <v>2321</v>
      </c>
      <c r="I493" s="30" t="s">
        <v>2322</v>
      </c>
      <c r="J493" s="31">
        <v>360</v>
      </c>
      <c r="K493" s="32">
        <v>60</v>
      </c>
      <c r="L493" s="76" t="str">
        <f t="shared" si="15"/>
        <v/>
      </c>
    </row>
    <row r="494" spans="1:12" x14ac:dyDescent="0.25">
      <c r="A494" s="25" t="s">
        <v>523</v>
      </c>
      <c r="B494" s="26">
        <v>286</v>
      </c>
      <c r="C494" s="26">
        <v>6</v>
      </c>
      <c r="D494" s="25" t="s">
        <v>563</v>
      </c>
      <c r="E494" s="27"/>
      <c r="F494" s="28">
        <v>6.6</v>
      </c>
      <c r="G494" s="29">
        <f t="shared" si="14"/>
        <v>1.0999999999999999</v>
      </c>
      <c r="H494" s="30" t="s">
        <v>524</v>
      </c>
      <c r="I494" s="30" t="s">
        <v>552</v>
      </c>
      <c r="J494" s="31">
        <v>504</v>
      </c>
      <c r="K494" s="32">
        <v>72</v>
      </c>
      <c r="L494" s="76" t="str">
        <f t="shared" si="15"/>
        <v/>
      </c>
    </row>
    <row r="495" spans="1:12" x14ac:dyDescent="0.25">
      <c r="A495" s="25" t="s">
        <v>478</v>
      </c>
      <c r="B495" s="26">
        <v>1456</v>
      </c>
      <c r="C495" s="26">
        <v>6</v>
      </c>
      <c r="D495" s="25" t="s">
        <v>564</v>
      </c>
      <c r="E495" s="27"/>
      <c r="F495" s="28">
        <v>6.6</v>
      </c>
      <c r="G495" s="29">
        <f t="shared" si="14"/>
        <v>1.0999999999999999</v>
      </c>
      <c r="H495" s="30" t="s">
        <v>479</v>
      </c>
      <c r="I495" s="30" t="s">
        <v>480</v>
      </c>
      <c r="J495" s="31">
        <v>504</v>
      </c>
      <c r="K495" s="32">
        <v>72</v>
      </c>
      <c r="L495" s="76" t="str">
        <f t="shared" si="15"/>
        <v/>
      </c>
    </row>
    <row r="496" spans="1:12" x14ac:dyDescent="0.25">
      <c r="A496" s="25" t="s">
        <v>550</v>
      </c>
      <c r="B496" s="26">
        <v>9</v>
      </c>
      <c r="C496" s="26">
        <v>6</v>
      </c>
      <c r="D496" s="25" t="s">
        <v>565</v>
      </c>
      <c r="E496" s="27"/>
      <c r="F496" s="28">
        <v>6.6</v>
      </c>
      <c r="G496" s="29">
        <f t="shared" si="14"/>
        <v>1.0999999999999999</v>
      </c>
      <c r="H496" s="30" t="s">
        <v>553</v>
      </c>
      <c r="I496" s="30" t="s">
        <v>554</v>
      </c>
      <c r="J496" s="31">
        <v>504</v>
      </c>
      <c r="K496" s="32">
        <v>72</v>
      </c>
      <c r="L496" s="77" t="str">
        <f t="shared" si="15"/>
        <v/>
      </c>
    </row>
    <row r="497" spans="1:12" x14ac:dyDescent="0.25">
      <c r="A497" s="25" t="s">
        <v>3458</v>
      </c>
      <c r="B497" s="26">
        <v>27</v>
      </c>
      <c r="C497" s="26">
        <v>6</v>
      </c>
      <c r="D497" s="25" t="s">
        <v>3459</v>
      </c>
      <c r="E497" s="31"/>
      <c r="F497" s="33">
        <v>9.6</v>
      </c>
      <c r="G497" s="34">
        <f t="shared" si="14"/>
        <v>1.5999999999999999</v>
      </c>
      <c r="H497" s="30" t="s">
        <v>3460</v>
      </c>
      <c r="I497" s="30" t="s">
        <v>3461</v>
      </c>
      <c r="J497" s="31">
        <v>60</v>
      </c>
      <c r="K497" s="32">
        <v>20</v>
      </c>
      <c r="L497" s="76" t="str">
        <f t="shared" si="15"/>
        <v/>
      </c>
    </row>
    <row r="498" spans="1:12" x14ac:dyDescent="0.25">
      <c r="A498" s="25" t="s">
        <v>1494</v>
      </c>
      <c r="B498" s="26">
        <v>17</v>
      </c>
      <c r="C498" s="26">
        <v>6</v>
      </c>
      <c r="D498" s="25" t="s">
        <v>1495</v>
      </c>
      <c r="E498" s="31"/>
      <c r="F498" s="28">
        <v>9.6</v>
      </c>
      <c r="G498" s="28">
        <f t="shared" ref="G498:G558" si="16">F498/C498</f>
        <v>1.5999999999999999</v>
      </c>
      <c r="H498" s="30" t="s">
        <v>1530</v>
      </c>
      <c r="I498" s="30" t="s">
        <v>1531</v>
      </c>
      <c r="J498" s="31">
        <v>60</v>
      </c>
      <c r="K498" s="53">
        <v>20</v>
      </c>
      <c r="L498" s="77" t="str">
        <f t="shared" ref="L498:L558" si="17">IF(E498,E498*F498,"")</f>
        <v/>
      </c>
    </row>
    <row r="499" spans="1:12" x14ac:dyDescent="0.25">
      <c r="A499" s="25" t="s">
        <v>2549</v>
      </c>
      <c r="B499" s="26">
        <v>167</v>
      </c>
      <c r="C499" s="26">
        <v>12</v>
      </c>
      <c r="D499" s="25" t="s">
        <v>1595</v>
      </c>
      <c r="E499" s="31"/>
      <c r="F499" s="28">
        <v>21.6</v>
      </c>
      <c r="G499" s="29">
        <f t="shared" si="16"/>
        <v>1.8</v>
      </c>
      <c r="H499" s="30" t="s">
        <v>1596</v>
      </c>
      <c r="I499" s="30" t="s">
        <v>2550</v>
      </c>
      <c r="J499" s="31">
        <v>132</v>
      </c>
      <c r="K499" s="32">
        <v>33</v>
      </c>
      <c r="L499" s="76" t="str">
        <f t="shared" si="17"/>
        <v/>
      </c>
    </row>
    <row r="500" spans="1:12" x14ac:dyDescent="0.25">
      <c r="A500" s="25" t="s">
        <v>1237</v>
      </c>
      <c r="B500" s="26">
        <v>11</v>
      </c>
      <c r="C500" s="26">
        <v>6</v>
      </c>
      <c r="D500" s="25" t="s">
        <v>1240</v>
      </c>
      <c r="E500" s="31"/>
      <c r="F500" s="28">
        <v>3.96</v>
      </c>
      <c r="G500" s="29">
        <f t="shared" si="16"/>
        <v>0.66</v>
      </c>
      <c r="H500" s="30" t="s">
        <v>1241</v>
      </c>
      <c r="I500" s="30" t="s">
        <v>1242</v>
      </c>
      <c r="J500" s="31">
        <v>360</v>
      </c>
      <c r="K500" s="32">
        <v>72</v>
      </c>
      <c r="L500" s="76" t="str">
        <f t="shared" si="17"/>
        <v/>
      </c>
    </row>
    <row r="501" spans="1:12" x14ac:dyDescent="0.25">
      <c r="A501" s="25" t="s">
        <v>1754</v>
      </c>
      <c r="B501" s="26">
        <v>18</v>
      </c>
      <c r="C501" s="26">
        <v>12</v>
      </c>
      <c r="D501" s="25" t="s">
        <v>2147</v>
      </c>
      <c r="E501" s="31"/>
      <c r="F501" s="28">
        <v>7.2</v>
      </c>
      <c r="G501" s="29">
        <f t="shared" si="16"/>
        <v>0.6</v>
      </c>
      <c r="H501" s="30" t="s">
        <v>1757</v>
      </c>
      <c r="I501" s="30" t="s">
        <v>1759</v>
      </c>
      <c r="J501" s="31">
        <v>224</v>
      </c>
      <c r="K501" s="32">
        <v>32</v>
      </c>
      <c r="L501" s="76" t="str">
        <f t="shared" si="17"/>
        <v/>
      </c>
    </row>
    <row r="502" spans="1:12" x14ac:dyDescent="0.25">
      <c r="A502" s="25" t="s">
        <v>1755</v>
      </c>
      <c r="B502" s="26">
        <v>28</v>
      </c>
      <c r="C502" s="26">
        <v>12</v>
      </c>
      <c r="D502" s="25" t="s">
        <v>1756</v>
      </c>
      <c r="E502" s="31"/>
      <c r="F502" s="28">
        <v>7.2</v>
      </c>
      <c r="G502" s="29">
        <f t="shared" si="16"/>
        <v>0.6</v>
      </c>
      <c r="H502" s="30" t="s">
        <v>1758</v>
      </c>
      <c r="I502" s="30" t="s">
        <v>1760</v>
      </c>
      <c r="J502" s="31">
        <v>224</v>
      </c>
      <c r="K502" s="32">
        <v>32</v>
      </c>
      <c r="L502" s="76" t="str">
        <f t="shared" si="17"/>
        <v/>
      </c>
    </row>
    <row r="503" spans="1:12" x14ac:dyDescent="0.25">
      <c r="A503" s="25" t="s">
        <v>1057</v>
      </c>
      <c r="B503" s="26">
        <v>63</v>
      </c>
      <c r="C503" s="26">
        <v>20</v>
      </c>
      <c r="D503" s="25" t="s">
        <v>1056</v>
      </c>
      <c r="E503" s="27"/>
      <c r="F503" s="28">
        <v>5.15</v>
      </c>
      <c r="G503" s="29">
        <f t="shared" si="16"/>
        <v>0.25750000000000001</v>
      </c>
      <c r="H503" s="30" t="s">
        <v>1058</v>
      </c>
      <c r="I503" s="30" t="s">
        <v>1059</v>
      </c>
      <c r="J503" s="31"/>
      <c r="K503" s="32"/>
      <c r="L503" s="76" t="str">
        <f t="shared" si="17"/>
        <v/>
      </c>
    </row>
    <row r="504" spans="1:12" x14ac:dyDescent="0.25">
      <c r="A504" s="25" t="s">
        <v>185</v>
      </c>
      <c r="B504" s="26">
        <v>481</v>
      </c>
      <c r="C504" s="26">
        <v>12</v>
      </c>
      <c r="D504" s="25" t="s">
        <v>41</v>
      </c>
      <c r="E504" s="27"/>
      <c r="F504" s="28">
        <v>9.6</v>
      </c>
      <c r="G504" s="29">
        <f t="shared" si="16"/>
        <v>0.79999999999999993</v>
      </c>
      <c r="H504" s="30" t="s">
        <v>42</v>
      </c>
      <c r="I504" s="30" t="s">
        <v>43</v>
      </c>
      <c r="J504" s="31">
        <v>210</v>
      </c>
      <c r="K504" s="32">
        <v>30</v>
      </c>
      <c r="L504" s="76" t="str">
        <f t="shared" si="17"/>
        <v/>
      </c>
    </row>
    <row r="505" spans="1:12" x14ac:dyDescent="0.25">
      <c r="A505" s="25" t="s">
        <v>722</v>
      </c>
      <c r="B505" s="35">
        <v>3</v>
      </c>
      <c r="C505" s="26">
        <v>12</v>
      </c>
      <c r="D505" s="25" t="s">
        <v>723</v>
      </c>
      <c r="E505" s="27"/>
      <c r="F505" s="28">
        <v>13.25</v>
      </c>
      <c r="G505" s="28">
        <f t="shared" si="16"/>
        <v>1.1041666666666667</v>
      </c>
      <c r="H505" s="30" t="s">
        <v>724</v>
      </c>
      <c r="I505" s="30" t="s">
        <v>725</v>
      </c>
      <c r="J505" s="35">
        <v>150</v>
      </c>
      <c r="K505" s="32">
        <v>30</v>
      </c>
      <c r="L505" s="76" t="str">
        <f t="shared" si="17"/>
        <v/>
      </c>
    </row>
    <row r="506" spans="1:12" x14ac:dyDescent="0.25">
      <c r="A506" s="25" t="s">
        <v>726</v>
      </c>
      <c r="B506" s="35">
        <v>2</v>
      </c>
      <c r="C506" s="26">
        <v>12</v>
      </c>
      <c r="D506" s="25" t="s">
        <v>727</v>
      </c>
      <c r="E506" s="27"/>
      <c r="F506" s="28">
        <v>11.75</v>
      </c>
      <c r="G506" s="28">
        <f t="shared" si="16"/>
        <v>0.97916666666666663</v>
      </c>
      <c r="H506" s="30" t="s">
        <v>728</v>
      </c>
      <c r="I506" s="30" t="s">
        <v>729</v>
      </c>
      <c r="J506" s="35">
        <v>210</v>
      </c>
      <c r="K506" s="32">
        <v>30</v>
      </c>
      <c r="L506" s="76" t="str">
        <f t="shared" si="17"/>
        <v/>
      </c>
    </row>
    <row r="507" spans="1:12" x14ac:dyDescent="0.25">
      <c r="A507" s="25" t="s">
        <v>183</v>
      </c>
      <c r="B507" s="26">
        <v>503</v>
      </c>
      <c r="C507" s="26">
        <v>12</v>
      </c>
      <c r="D507" s="25" t="s">
        <v>481</v>
      </c>
      <c r="E507" s="27"/>
      <c r="F507" s="28">
        <v>17.399999999999999</v>
      </c>
      <c r="G507" s="29">
        <f t="shared" si="16"/>
        <v>1.45</v>
      </c>
      <c r="H507" s="30" t="s">
        <v>1155</v>
      </c>
      <c r="I507" s="30" t="s">
        <v>483</v>
      </c>
      <c r="J507" s="31">
        <v>252</v>
      </c>
      <c r="K507" s="32">
        <v>63</v>
      </c>
      <c r="L507" s="76" t="str">
        <f t="shared" si="17"/>
        <v/>
      </c>
    </row>
    <row r="508" spans="1:12" x14ac:dyDescent="0.25">
      <c r="A508" s="25" t="s">
        <v>184</v>
      </c>
      <c r="B508" s="26">
        <v>338</v>
      </c>
      <c r="C508" s="26">
        <v>12</v>
      </c>
      <c r="D508" s="25" t="s">
        <v>482</v>
      </c>
      <c r="E508" s="27"/>
      <c r="F508" s="28">
        <v>17.399999999999999</v>
      </c>
      <c r="G508" s="29">
        <f t="shared" si="16"/>
        <v>1.45</v>
      </c>
      <c r="H508" s="30" t="s">
        <v>1156</v>
      </c>
      <c r="I508" s="30" t="s">
        <v>820</v>
      </c>
      <c r="J508" s="31">
        <v>252</v>
      </c>
      <c r="K508" s="32">
        <v>63</v>
      </c>
      <c r="L508" s="76" t="str">
        <f t="shared" si="17"/>
        <v/>
      </c>
    </row>
    <row r="509" spans="1:12" x14ac:dyDescent="0.25">
      <c r="A509" s="25" t="s">
        <v>690</v>
      </c>
      <c r="B509" s="26">
        <v>477</v>
      </c>
      <c r="C509" s="26">
        <v>12</v>
      </c>
      <c r="D509" s="25" t="s">
        <v>691</v>
      </c>
      <c r="E509" s="27"/>
      <c r="F509" s="28">
        <v>17.399999999999999</v>
      </c>
      <c r="G509" s="29">
        <f t="shared" si="16"/>
        <v>1.45</v>
      </c>
      <c r="H509" s="30" t="s">
        <v>692</v>
      </c>
      <c r="I509" s="30" t="s">
        <v>1157</v>
      </c>
      <c r="J509" s="31">
        <v>252</v>
      </c>
      <c r="K509" s="32">
        <v>63</v>
      </c>
      <c r="L509" s="76" t="str">
        <f t="shared" si="17"/>
        <v/>
      </c>
    </row>
    <row r="510" spans="1:12" x14ac:dyDescent="0.25">
      <c r="A510" s="25" t="s">
        <v>871</v>
      </c>
      <c r="B510" s="26">
        <v>18</v>
      </c>
      <c r="C510" s="26">
        <v>6</v>
      </c>
      <c r="D510" s="25" t="s">
        <v>872</v>
      </c>
      <c r="E510" s="27"/>
      <c r="F510" s="28">
        <v>8.4</v>
      </c>
      <c r="G510" s="29">
        <f t="shared" si="16"/>
        <v>1.4000000000000001</v>
      </c>
      <c r="H510" s="30" t="s">
        <v>879</v>
      </c>
      <c r="I510" s="30" t="s">
        <v>880</v>
      </c>
      <c r="J510" s="31"/>
      <c r="K510" s="32"/>
      <c r="L510" s="76" t="str">
        <f t="shared" si="17"/>
        <v/>
      </c>
    </row>
    <row r="511" spans="1:12" x14ac:dyDescent="0.25">
      <c r="A511" s="25" t="s">
        <v>302</v>
      </c>
      <c r="B511" s="26">
        <v>63</v>
      </c>
      <c r="C511" s="26">
        <v>12</v>
      </c>
      <c r="D511" s="25" t="s">
        <v>304</v>
      </c>
      <c r="E511" s="27"/>
      <c r="F511" s="28">
        <v>7.8</v>
      </c>
      <c r="G511" s="29">
        <f t="shared" si="16"/>
        <v>0.65</v>
      </c>
      <c r="H511" s="30" t="s">
        <v>309</v>
      </c>
      <c r="I511" s="30" t="s">
        <v>310</v>
      </c>
      <c r="J511" s="31">
        <v>336</v>
      </c>
      <c r="K511" s="32">
        <v>42</v>
      </c>
      <c r="L511" s="76" t="str">
        <f t="shared" si="17"/>
        <v/>
      </c>
    </row>
    <row r="512" spans="1:12" x14ac:dyDescent="0.25">
      <c r="A512" s="25" t="s">
        <v>301</v>
      </c>
      <c r="B512" s="26">
        <v>21</v>
      </c>
      <c r="C512" s="26">
        <v>12</v>
      </c>
      <c r="D512" s="25" t="s">
        <v>399</v>
      </c>
      <c r="E512" s="27"/>
      <c r="F512" s="28">
        <v>7.8</v>
      </c>
      <c r="G512" s="29">
        <f t="shared" si="16"/>
        <v>0.65</v>
      </c>
      <c r="H512" s="30" t="s">
        <v>307</v>
      </c>
      <c r="I512" s="30" t="s">
        <v>308</v>
      </c>
      <c r="J512" s="31">
        <v>336</v>
      </c>
      <c r="K512" s="32">
        <v>42</v>
      </c>
      <c r="L512" s="76" t="str">
        <f t="shared" si="17"/>
        <v/>
      </c>
    </row>
    <row r="513" spans="1:12" x14ac:dyDescent="0.25">
      <c r="A513" s="25" t="s">
        <v>303</v>
      </c>
      <c r="B513" s="26">
        <v>68</v>
      </c>
      <c r="C513" s="26">
        <v>12</v>
      </c>
      <c r="D513" s="25" t="s">
        <v>305</v>
      </c>
      <c r="E513" s="27"/>
      <c r="F513" s="28">
        <v>7.8</v>
      </c>
      <c r="G513" s="29">
        <f t="shared" si="16"/>
        <v>0.65</v>
      </c>
      <c r="H513" s="30" t="s">
        <v>311</v>
      </c>
      <c r="I513" s="30" t="s">
        <v>312</v>
      </c>
      <c r="J513" s="31">
        <v>336</v>
      </c>
      <c r="K513" s="32">
        <v>42</v>
      </c>
      <c r="L513" s="76" t="str">
        <f t="shared" si="17"/>
        <v/>
      </c>
    </row>
    <row r="514" spans="1:12" x14ac:dyDescent="0.25">
      <c r="A514" s="25" t="s">
        <v>331</v>
      </c>
      <c r="B514" s="26">
        <v>0</v>
      </c>
      <c r="C514" s="26">
        <v>12</v>
      </c>
      <c r="D514" s="25" t="s">
        <v>559</v>
      </c>
      <c r="E514" s="27"/>
      <c r="F514" s="28">
        <v>9.4</v>
      </c>
      <c r="G514" s="29">
        <f t="shared" si="16"/>
        <v>0.78333333333333333</v>
      </c>
      <c r="H514" s="30" t="s">
        <v>334</v>
      </c>
      <c r="I514" s="30" t="s">
        <v>335</v>
      </c>
      <c r="J514" s="31">
        <v>186</v>
      </c>
      <c r="K514" s="32">
        <v>31</v>
      </c>
      <c r="L514" s="76" t="str">
        <f t="shared" si="17"/>
        <v/>
      </c>
    </row>
    <row r="515" spans="1:12" x14ac:dyDescent="0.25">
      <c r="A515" s="25" t="s">
        <v>555</v>
      </c>
      <c r="B515" s="26">
        <v>30</v>
      </c>
      <c r="C515" s="26">
        <v>12</v>
      </c>
      <c r="D515" s="25" t="s">
        <v>560</v>
      </c>
      <c r="E515" s="27"/>
      <c r="F515" s="28">
        <v>9.4</v>
      </c>
      <c r="G515" s="29">
        <f t="shared" si="16"/>
        <v>0.78333333333333333</v>
      </c>
      <c r="H515" s="30" t="s">
        <v>556</v>
      </c>
      <c r="I515" s="30" t="s">
        <v>557</v>
      </c>
      <c r="J515" s="31">
        <v>186</v>
      </c>
      <c r="K515" s="32">
        <v>31</v>
      </c>
      <c r="L515" s="76" t="str">
        <f t="shared" si="17"/>
        <v/>
      </c>
    </row>
    <row r="516" spans="1:12" x14ac:dyDescent="0.25">
      <c r="A516" s="25" t="s">
        <v>558</v>
      </c>
      <c r="B516" s="26">
        <v>27</v>
      </c>
      <c r="C516" s="26">
        <v>12</v>
      </c>
      <c r="D516" s="25" t="s">
        <v>561</v>
      </c>
      <c r="E516" s="27"/>
      <c r="F516" s="28">
        <v>9.4</v>
      </c>
      <c r="G516" s="29">
        <f t="shared" si="16"/>
        <v>0.78333333333333333</v>
      </c>
      <c r="H516" s="30" t="s">
        <v>1106</v>
      </c>
      <c r="I516" s="30" t="s">
        <v>1107</v>
      </c>
      <c r="J516" s="31">
        <v>186</v>
      </c>
      <c r="K516" s="32">
        <v>31</v>
      </c>
      <c r="L516" s="76" t="str">
        <f t="shared" si="17"/>
        <v/>
      </c>
    </row>
    <row r="517" spans="1:12" x14ac:dyDescent="0.25">
      <c r="A517" s="25" t="s">
        <v>1041</v>
      </c>
      <c r="B517" s="26">
        <v>181</v>
      </c>
      <c r="C517" s="26">
        <v>6</v>
      </c>
      <c r="D517" s="25" t="s">
        <v>1042</v>
      </c>
      <c r="E517" s="27"/>
      <c r="F517" s="28">
        <v>14.8</v>
      </c>
      <c r="G517" s="29">
        <f t="shared" si="16"/>
        <v>2.4666666666666668</v>
      </c>
      <c r="H517" s="30" t="s">
        <v>1045</v>
      </c>
      <c r="I517" s="30" t="s">
        <v>1051</v>
      </c>
      <c r="J517" s="31">
        <v>384</v>
      </c>
      <c r="K517" s="32">
        <v>64</v>
      </c>
      <c r="L517" s="76" t="str">
        <f t="shared" si="17"/>
        <v/>
      </c>
    </row>
    <row r="518" spans="1:12" x14ac:dyDescent="0.25">
      <c r="A518" s="25" t="s">
        <v>1043</v>
      </c>
      <c r="B518" s="26">
        <v>302</v>
      </c>
      <c r="C518" s="26">
        <v>6</v>
      </c>
      <c r="D518" s="25" t="s">
        <v>1044</v>
      </c>
      <c r="E518" s="27"/>
      <c r="F518" s="28">
        <v>14.8</v>
      </c>
      <c r="G518" s="29">
        <f t="shared" si="16"/>
        <v>2.4666666666666668</v>
      </c>
      <c r="H518" s="30" t="s">
        <v>1046</v>
      </c>
      <c r="I518" s="30" t="s">
        <v>1052</v>
      </c>
      <c r="J518" s="31">
        <v>384</v>
      </c>
      <c r="K518" s="32">
        <v>64</v>
      </c>
      <c r="L518" s="76" t="str">
        <f t="shared" si="17"/>
        <v/>
      </c>
    </row>
    <row r="519" spans="1:12" x14ac:dyDescent="0.25">
      <c r="A519" s="36" t="s">
        <v>402</v>
      </c>
      <c r="B519" s="54">
        <v>144</v>
      </c>
      <c r="C519" s="53">
        <v>6</v>
      </c>
      <c r="D519" s="36" t="s">
        <v>403</v>
      </c>
      <c r="E519" s="27"/>
      <c r="F519" s="64">
        <v>8.4</v>
      </c>
      <c r="G519" s="29">
        <f t="shared" si="16"/>
        <v>1.4000000000000001</v>
      </c>
      <c r="H519" s="56" t="s">
        <v>1158</v>
      </c>
      <c r="I519" s="56" t="s">
        <v>821</v>
      </c>
      <c r="J519" s="54">
        <v>648</v>
      </c>
      <c r="K519" s="32">
        <v>81</v>
      </c>
      <c r="L519" s="76" t="str">
        <f t="shared" si="17"/>
        <v/>
      </c>
    </row>
    <row r="520" spans="1:12" x14ac:dyDescent="0.25">
      <c r="A520" s="36" t="s">
        <v>3535</v>
      </c>
      <c r="B520" s="54">
        <v>220</v>
      </c>
      <c r="C520" s="53">
        <v>6</v>
      </c>
      <c r="D520" s="36" t="s">
        <v>3536</v>
      </c>
      <c r="E520" s="27"/>
      <c r="F520" s="70">
        <v>8.4</v>
      </c>
      <c r="G520" s="34">
        <f t="shared" si="16"/>
        <v>1.4000000000000001</v>
      </c>
      <c r="H520" s="56" t="s">
        <v>3537</v>
      </c>
      <c r="I520" s="56" t="s">
        <v>3538</v>
      </c>
      <c r="J520" s="54">
        <v>648</v>
      </c>
      <c r="K520" s="32">
        <v>81</v>
      </c>
      <c r="L520" s="76" t="str">
        <f t="shared" si="17"/>
        <v/>
      </c>
    </row>
    <row r="521" spans="1:12" x14ac:dyDescent="0.25">
      <c r="A521" s="36" t="s">
        <v>2834</v>
      </c>
      <c r="B521" s="54">
        <v>324</v>
      </c>
      <c r="C521" s="53">
        <v>6</v>
      </c>
      <c r="D521" s="36" t="s">
        <v>2833</v>
      </c>
      <c r="E521" s="27"/>
      <c r="F521" s="64">
        <v>9.4</v>
      </c>
      <c r="G521" s="29">
        <f t="shared" si="16"/>
        <v>1.5666666666666667</v>
      </c>
      <c r="H521" s="56" t="s">
        <v>2835</v>
      </c>
      <c r="I521" s="56" t="s">
        <v>2836</v>
      </c>
      <c r="J521" s="54">
        <v>648</v>
      </c>
      <c r="K521" s="32">
        <v>81</v>
      </c>
      <c r="L521" s="76" t="str">
        <f t="shared" si="17"/>
        <v/>
      </c>
    </row>
    <row r="522" spans="1:12" x14ac:dyDescent="0.25">
      <c r="A522" s="36" t="s">
        <v>500</v>
      </c>
      <c r="B522" s="54">
        <v>80</v>
      </c>
      <c r="C522" s="53">
        <v>6</v>
      </c>
      <c r="D522" s="36" t="s">
        <v>501</v>
      </c>
      <c r="E522" s="27"/>
      <c r="F522" s="64">
        <v>8.8000000000000007</v>
      </c>
      <c r="G522" s="29">
        <f t="shared" si="16"/>
        <v>1.4666666666666668</v>
      </c>
      <c r="H522" s="56" t="s">
        <v>502</v>
      </c>
      <c r="I522" s="56" t="s">
        <v>503</v>
      </c>
      <c r="J522" s="54">
        <v>522</v>
      </c>
      <c r="K522" s="32">
        <v>87</v>
      </c>
      <c r="L522" s="76" t="str">
        <f t="shared" si="17"/>
        <v/>
      </c>
    </row>
    <row r="523" spans="1:12" x14ac:dyDescent="0.25">
      <c r="A523" s="25" t="s">
        <v>3832</v>
      </c>
      <c r="B523" s="26">
        <v>429</v>
      </c>
      <c r="C523" s="26">
        <v>6</v>
      </c>
      <c r="D523" s="25" t="s">
        <v>3833</v>
      </c>
      <c r="E523" s="27"/>
      <c r="F523" s="33">
        <v>12.4</v>
      </c>
      <c r="G523" s="34">
        <f t="shared" si="16"/>
        <v>2.0666666666666669</v>
      </c>
      <c r="H523" s="30" t="s">
        <v>3834</v>
      </c>
      <c r="I523" s="30" t="s">
        <v>3835</v>
      </c>
      <c r="J523" s="31">
        <v>432</v>
      </c>
      <c r="K523" s="32">
        <v>72</v>
      </c>
      <c r="L523" s="76" t="str">
        <f t="shared" si="17"/>
        <v/>
      </c>
    </row>
    <row r="524" spans="1:12" x14ac:dyDescent="0.25">
      <c r="A524" s="36" t="s">
        <v>3827</v>
      </c>
      <c r="B524" s="54">
        <v>375</v>
      </c>
      <c r="C524" s="53">
        <v>6</v>
      </c>
      <c r="D524" s="36" t="s">
        <v>3828</v>
      </c>
      <c r="E524" s="27"/>
      <c r="F524" s="64">
        <v>12.8</v>
      </c>
      <c r="G524" s="29">
        <f t="shared" si="16"/>
        <v>2.1333333333333333</v>
      </c>
      <c r="H524" s="56" t="s">
        <v>3830</v>
      </c>
      <c r="I524" s="56" t="s">
        <v>3831</v>
      </c>
      <c r="J524" s="54">
        <v>378</v>
      </c>
      <c r="K524" s="32">
        <v>63</v>
      </c>
      <c r="L524" s="76" t="str">
        <f t="shared" si="17"/>
        <v/>
      </c>
    </row>
    <row r="525" spans="1:12" x14ac:dyDescent="0.25">
      <c r="A525" s="36" t="s">
        <v>3824</v>
      </c>
      <c r="B525" s="54">
        <v>61</v>
      </c>
      <c r="C525" s="53">
        <v>6</v>
      </c>
      <c r="D525" s="36" t="s">
        <v>3829</v>
      </c>
      <c r="E525" s="27"/>
      <c r="F525" s="64">
        <v>13.5</v>
      </c>
      <c r="G525" s="29">
        <f t="shared" si="16"/>
        <v>2.25</v>
      </c>
      <c r="H525" s="56" t="s">
        <v>3825</v>
      </c>
      <c r="I525" s="56" t="s">
        <v>3826</v>
      </c>
      <c r="J525" s="54">
        <v>378</v>
      </c>
      <c r="K525" s="32">
        <v>63</v>
      </c>
      <c r="L525" s="76" t="str">
        <f t="shared" si="17"/>
        <v/>
      </c>
    </row>
    <row r="526" spans="1:12" x14ac:dyDescent="0.25">
      <c r="A526" s="25" t="s">
        <v>338</v>
      </c>
      <c r="B526" s="26">
        <v>253</v>
      </c>
      <c r="C526" s="26">
        <v>6</v>
      </c>
      <c r="D526" s="25" t="s">
        <v>339</v>
      </c>
      <c r="E526" s="27"/>
      <c r="F526" s="28">
        <v>13.2</v>
      </c>
      <c r="G526" s="29">
        <f t="shared" si="16"/>
        <v>2.1999999999999997</v>
      </c>
      <c r="H526" s="30" t="s">
        <v>340</v>
      </c>
      <c r="I526" s="30" t="s">
        <v>354</v>
      </c>
      <c r="J526" s="31">
        <v>355</v>
      </c>
      <c r="K526" s="32">
        <v>71</v>
      </c>
      <c r="L526" s="76" t="str">
        <f t="shared" si="17"/>
        <v/>
      </c>
    </row>
    <row r="527" spans="1:12" x14ac:dyDescent="0.25">
      <c r="A527" s="25" t="s">
        <v>2248</v>
      </c>
      <c r="B527" s="26">
        <v>516</v>
      </c>
      <c r="C527" s="26">
        <v>6</v>
      </c>
      <c r="D527" s="25" t="s">
        <v>2249</v>
      </c>
      <c r="E527" s="27"/>
      <c r="F527" s="28">
        <v>13.2</v>
      </c>
      <c r="G527" s="29">
        <f t="shared" si="16"/>
        <v>2.1999999999999997</v>
      </c>
      <c r="H527" s="65">
        <v>3574660569759</v>
      </c>
      <c r="I527" s="65">
        <v>3574661521152</v>
      </c>
      <c r="J527" s="31">
        <v>355</v>
      </c>
      <c r="K527" s="32">
        <v>71</v>
      </c>
      <c r="L527" s="76" t="str">
        <f t="shared" si="17"/>
        <v/>
      </c>
    </row>
    <row r="528" spans="1:12" x14ac:dyDescent="0.25">
      <c r="A528" s="25" t="s">
        <v>2471</v>
      </c>
      <c r="B528" s="26">
        <v>63</v>
      </c>
      <c r="C528" s="26">
        <v>6</v>
      </c>
      <c r="D528" s="25" t="s">
        <v>2472</v>
      </c>
      <c r="E528" s="31"/>
      <c r="F528" s="28">
        <v>11.4</v>
      </c>
      <c r="G528" s="28">
        <f t="shared" si="16"/>
        <v>1.9000000000000001</v>
      </c>
      <c r="H528" s="30" t="s">
        <v>2473</v>
      </c>
      <c r="I528" s="30" t="s">
        <v>2499</v>
      </c>
      <c r="J528" s="31">
        <v>355</v>
      </c>
      <c r="K528" s="53">
        <v>71</v>
      </c>
      <c r="L528" s="77" t="str">
        <f t="shared" si="17"/>
        <v/>
      </c>
    </row>
    <row r="529" spans="1:12" x14ac:dyDescent="0.25">
      <c r="A529" s="25" t="s">
        <v>1446</v>
      </c>
      <c r="B529" s="26">
        <v>220</v>
      </c>
      <c r="C529" s="26">
        <v>12</v>
      </c>
      <c r="D529" s="25" t="s">
        <v>1447</v>
      </c>
      <c r="E529" s="31"/>
      <c r="F529" s="28">
        <v>27.9</v>
      </c>
      <c r="G529" s="28">
        <f t="shared" si="16"/>
        <v>2.3249999999999997</v>
      </c>
      <c r="H529" s="30" t="s">
        <v>1448</v>
      </c>
      <c r="I529" s="30" t="s">
        <v>1449</v>
      </c>
      <c r="J529" s="31">
        <v>486</v>
      </c>
      <c r="K529" s="53">
        <v>81</v>
      </c>
      <c r="L529" s="77" t="str">
        <f t="shared" si="17"/>
        <v/>
      </c>
    </row>
    <row r="530" spans="1:12" x14ac:dyDescent="0.25">
      <c r="A530" s="25" t="s">
        <v>1452</v>
      </c>
      <c r="B530" s="26">
        <v>233</v>
      </c>
      <c r="C530" s="26">
        <v>6</v>
      </c>
      <c r="D530" s="25" t="s">
        <v>1453</v>
      </c>
      <c r="E530" s="31"/>
      <c r="F530" s="28">
        <v>13.95</v>
      </c>
      <c r="G530" s="28">
        <f t="shared" si="16"/>
        <v>2.3249999999999997</v>
      </c>
      <c r="H530" s="30" t="s">
        <v>1450</v>
      </c>
      <c r="I530" s="30" t="s">
        <v>1451</v>
      </c>
      <c r="J530" s="31">
        <v>486</v>
      </c>
      <c r="K530" s="53">
        <v>81</v>
      </c>
      <c r="L530" s="77" t="str">
        <f t="shared" si="17"/>
        <v/>
      </c>
    </row>
    <row r="531" spans="1:12" x14ac:dyDescent="0.25">
      <c r="A531" s="25" t="s">
        <v>3056</v>
      </c>
      <c r="B531" s="26">
        <v>31</v>
      </c>
      <c r="C531" s="26">
        <v>12</v>
      </c>
      <c r="D531" s="25" t="s">
        <v>3057</v>
      </c>
      <c r="E531" s="31"/>
      <c r="F531" s="28">
        <v>27.9</v>
      </c>
      <c r="G531" s="28">
        <f t="shared" si="16"/>
        <v>2.3249999999999997</v>
      </c>
      <c r="H531" s="30" t="s">
        <v>3058</v>
      </c>
      <c r="I531" s="30" t="s">
        <v>3102</v>
      </c>
      <c r="J531" s="31">
        <v>486</v>
      </c>
      <c r="K531" s="53">
        <v>81</v>
      </c>
      <c r="L531" s="77" t="str">
        <f t="shared" si="17"/>
        <v/>
      </c>
    </row>
    <row r="532" spans="1:12" x14ac:dyDescent="0.25">
      <c r="A532" s="25" t="s">
        <v>2256</v>
      </c>
      <c r="B532" s="26">
        <v>255</v>
      </c>
      <c r="C532" s="26">
        <v>6</v>
      </c>
      <c r="D532" s="25" t="s">
        <v>2259</v>
      </c>
      <c r="E532" s="31"/>
      <c r="F532" s="28">
        <v>13.2</v>
      </c>
      <c r="G532" s="28">
        <f t="shared" si="16"/>
        <v>2.1999999999999997</v>
      </c>
      <c r="H532" s="30" t="s">
        <v>2251</v>
      </c>
      <c r="I532" s="30" t="s">
        <v>2252</v>
      </c>
      <c r="J532" s="31">
        <v>320</v>
      </c>
      <c r="K532" s="53">
        <v>80</v>
      </c>
      <c r="L532" s="77" t="str">
        <f t="shared" si="17"/>
        <v/>
      </c>
    </row>
    <row r="533" spans="1:12" x14ac:dyDescent="0.25">
      <c r="A533" s="25" t="s">
        <v>1152</v>
      </c>
      <c r="B533" s="26">
        <v>263</v>
      </c>
      <c r="C533" s="26">
        <v>6</v>
      </c>
      <c r="D533" s="25" t="s">
        <v>1153</v>
      </c>
      <c r="E533" s="31"/>
      <c r="F533" s="28">
        <v>13.2</v>
      </c>
      <c r="G533" s="29">
        <f t="shared" si="16"/>
        <v>2.1999999999999997</v>
      </c>
      <c r="H533" s="30" t="s">
        <v>1161</v>
      </c>
      <c r="I533" s="30" t="s">
        <v>1162</v>
      </c>
      <c r="J533" s="31">
        <v>320</v>
      </c>
      <c r="K533" s="32">
        <v>80</v>
      </c>
      <c r="L533" s="77" t="str">
        <f t="shared" si="17"/>
        <v/>
      </c>
    </row>
    <row r="534" spans="1:12" x14ac:dyDescent="0.25">
      <c r="A534" s="25" t="s">
        <v>1699</v>
      </c>
      <c r="B534" s="26">
        <v>747</v>
      </c>
      <c r="C534" s="26">
        <v>6</v>
      </c>
      <c r="D534" s="25" t="s">
        <v>1700</v>
      </c>
      <c r="E534" s="31"/>
      <c r="F534" s="28">
        <v>13.2</v>
      </c>
      <c r="G534" s="29">
        <f t="shared" si="16"/>
        <v>2.1999999999999997</v>
      </c>
      <c r="H534" s="30" t="s">
        <v>1701</v>
      </c>
      <c r="I534" s="30" t="s">
        <v>1736</v>
      </c>
      <c r="J534" s="31">
        <v>320</v>
      </c>
      <c r="K534" s="32">
        <v>80</v>
      </c>
      <c r="L534" s="77" t="str">
        <f t="shared" si="17"/>
        <v/>
      </c>
    </row>
    <row r="535" spans="1:12" x14ac:dyDescent="0.25">
      <c r="A535" s="25" t="s">
        <v>1854</v>
      </c>
      <c r="B535" s="26">
        <v>55</v>
      </c>
      <c r="C535" s="26">
        <v>6</v>
      </c>
      <c r="D535" s="25" t="s">
        <v>1855</v>
      </c>
      <c r="E535" s="31"/>
      <c r="F535" s="28">
        <v>21.25</v>
      </c>
      <c r="G535" s="28">
        <f t="shared" si="16"/>
        <v>3.5416666666666665</v>
      </c>
      <c r="H535" s="30" t="s">
        <v>1856</v>
      </c>
      <c r="I535" s="30" t="s">
        <v>1857</v>
      </c>
      <c r="J535" s="31">
        <v>288</v>
      </c>
      <c r="K535" s="53">
        <v>48</v>
      </c>
      <c r="L535" s="77" t="str">
        <f t="shared" si="17"/>
        <v/>
      </c>
    </row>
    <row r="536" spans="1:12" x14ac:dyDescent="0.25">
      <c r="A536" s="25" t="s">
        <v>1385</v>
      </c>
      <c r="B536" s="26">
        <v>29</v>
      </c>
      <c r="C536" s="26">
        <v>6</v>
      </c>
      <c r="D536" s="25" t="s">
        <v>2776</v>
      </c>
      <c r="E536" s="31"/>
      <c r="F536" s="28">
        <v>21.25</v>
      </c>
      <c r="G536" s="28">
        <f t="shared" si="16"/>
        <v>3.5416666666666665</v>
      </c>
      <c r="H536" s="30" t="s">
        <v>2778</v>
      </c>
      <c r="I536" s="30" t="s">
        <v>2779</v>
      </c>
      <c r="J536" s="31">
        <v>288</v>
      </c>
      <c r="K536" s="32">
        <v>48</v>
      </c>
      <c r="L536" s="76" t="str">
        <f t="shared" si="17"/>
        <v/>
      </c>
    </row>
    <row r="537" spans="1:12" x14ac:dyDescent="0.25">
      <c r="A537" s="25" t="s">
        <v>2540</v>
      </c>
      <c r="B537" s="26">
        <v>52</v>
      </c>
      <c r="C537" s="26">
        <v>6</v>
      </c>
      <c r="D537" s="25" t="s">
        <v>2541</v>
      </c>
      <c r="E537" s="31"/>
      <c r="F537" s="28">
        <v>21.25</v>
      </c>
      <c r="G537" s="28">
        <f t="shared" si="16"/>
        <v>3.5416666666666665</v>
      </c>
      <c r="H537" s="30" t="s">
        <v>2542</v>
      </c>
      <c r="I537" s="30" t="s">
        <v>2580</v>
      </c>
      <c r="J537" s="31">
        <v>288</v>
      </c>
      <c r="K537" s="32">
        <v>48</v>
      </c>
      <c r="L537" s="76" t="str">
        <f t="shared" si="17"/>
        <v/>
      </c>
    </row>
    <row r="538" spans="1:12" x14ac:dyDescent="0.25">
      <c r="A538" s="25" t="s">
        <v>3541</v>
      </c>
      <c r="B538" s="26">
        <v>104</v>
      </c>
      <c r="C538" s="26">
        <v>6</v>
      </c>
      <c r="D538" s="25" t="s">
        <v>3542</v>
      </c>
      <c r="E538" s="31"/>
      <c r="F538" s="28">
        <v>21.25</v>
      </c>
      <c r="G538" s="28">
        <f t="shared" si="16"/>
        <v>3.5416666666666665</v>
      </c>
      <c r="H538" s="30" t="s">
        <v>3543</v>
      </c>
      <c r="I538" s="30" t="s">
        <v>3544</v>
      </c>
      <c r="J538" s="31">
        <v>288</v>
      </c>
      <c r="K538" s="32">
        <v>48</v>
      </c>
      <c r="L538" s="76" t="str">
        <f t="shared" si="17"/>
        <v/>
      </c>
    </row>
    <row r="539" spans="1:12" x14ac:dyDescent="0.25">
      <c r="A539" s="25" t="s">
        <v>2587</v>
      </c>
      <c r="B539" s="26">
        <v>95</v>
      </c>
      <c r="C539" s="26">
        <v>6</v>
      </c>
      <c r="D539" s="25" t="s">
        <v>2588</v>
      </c>
      <c r="E539" s="31"/>
      <c r="F539" s="28">
        <v>21.25</v>
      </c>
      <c r="G539" s="28">
        <f t="shared" si="16"/>
        <v>3.5416666666666665</v>
      </c>
      <c r="H539" s="30" t="s">
        <v>2589</v>
      </c>
      <c r="I539" s="30" t="s">
        <v>2590</v>
      </c>
      <c r="J539" s="31">
        <v>288</v>
      </c>
      <c r="K539" s="32">
        <v>48</v>
      </c>
      <c r="L539" s="76" t="str">
        <f t="shared" si="17"/>
        <v/>
      </c>
    </row>
    <row r="540" spans="1:12" x14ac:dyDescent="0.25">
      <c r="A540" s="25" t="s">
        <v>2167</v>
      </c>
      <c r="B540" s="26">
        <v>70</v>
      </c>
      <c r="C540" s="26">
        <v>6</v>
      </c>
      <c r="D540" s="25" t="s">
        <v>2170</v>
      </c>
      <c r="E540" s="31"/>
      <c r="F540" s="28">
        <v>21.25</v>
      </c>
      <c r="G540" s="28">
        <f t="shared" si="16"/>
        <v>3.5416666666666665</v>
      </c>
      <c r="H540" s="30" t="s">
        <v>2171</v>
      </c>
      <c r="I540" s="30" t="s">
        <v>2250</v>
      </c>
      <c r="J540" s="31">
        <v>288</v>
      </c>
      <c r="K540" s="32">
        <v>48</v>
      </c>
      <c r="L540" s="76" t="str">
        <f t="shared" si="17"/>
        <v/>
      </c>
    </row>
    <row r="541" spans="1:12" x14ac:dyDescent="0.25">
      <c r="A541" s="25" t="s">
        <v>2461</v>
      </c>
      <c r="B541" s="26">
        <v>111</v>
      </c>
      <c r="C541" s="26">
        <v>6</v>
      </c>
      <c r="D541" s="25" t="s">
        <v>2462</v>
      </c>
      <c r="E541" s="31"/>
      <c r="F541" s="28">
        <v>21.25</v>
      </c>
      <c r="G541" s="28">
        <f t="shared" si="16"/>
        <v>3.5416666666666665</v>
      </c>
      <c r="H541" s="30" t="s">
        <v>2463</v>
      </c>
      <c r="I541" s="30" t="s">
        <v>2494</v>
      </c>
      <c r="J541" s="31">
        <v>288</v>
      </c>
      <c r="K541" s="32">
        <v>48</v>
      </c>
      <c r="L541" s="76" t="str">
        <f t="shared" si="17"/>
        <v/>
      </c>
    </row>
    <row r="542" spans="1:12" x14ac:dyDescent="0.25">
      <c r="A542" s="25" t="s">
        <v>2465</v>
      </c>
      <c r="B542" s="26">
        <v>31</v>
      </c>
      <c r="C542" s="26">
        <v>6</v>
      </c>
      <c r="D542" s="25" t="s">
        <v>2464</v>
      </c>
      <c r="E542" s="31"/>
      <c r="F542" s="28">
        <v>21.25</v>
      </c>
      <c r="G542" s="28">
        <f t="shared" si="16"/>
        <v>3.5416666666666665</v>
      </c>
      <c r="H542" s="30" t="s">
        <v>2466</v>
      </c>
      <c r="I542" s="30" t="s">
        <v>2495</v>
      </c>
      <c r="J542" s="31">
        <v>288</v>
      </c>
      <c r="K542" s="32">
        <v>48</v>
      </c>
      <c r="L542" s="76" t="str">
        <f t="shared" si="17"/>
        <v/>
      </c>
    </row>
    <row r="543" spans="1:12" x14ac:dyDescent="0.25">
      <c r="A543" s="25" t="s">
        <v>2168</v>
      </c>
      <c r="B543" s="26">
        <v>36</v>
      </c>
      <c r="C543" s="26">
        <v>6</v>
      </c>
      <c r="D543" s="25" t="s">
        <v>2172</v>
      </c>
      <c r="E543" s="31"/>
      <c r="F543" s="28">
        <v>22.25</v>
      </c>
      <c r="G543" s="28">
        <f t="shared" si="16"/>
        <v>3.7083333333333335</v>
      </c>
      <c r="H543" s="30" t="s">
        <v>2173</v>
      </c>
      <c r="I543" s="30" t="s">
        <v>2304</v>
      </c>
      <c r="J543" s="31">
        <v>288</v>
      </c>
      <c r="K543" s="32">
        <v>48</v>
      </c>
      <c r="L543" s="76" t="str">
        <f t="shared" si="17"/>
        <v/>
      </c>
    </row>
    <row r="544" spans="1:12" x14ac:dyDescent="0.25">
      <c r="A544" s="25" t="s">
        <v>2169</v>
      </c>
      <c r="B544" s="26">
        <v>6</v>
      </c>
      <c r="C544" s="26">
        <v>6</v>
      </c>
      <c r="D544" s="25" t="s">
        <v>2774</v>
      </c>
      <c r="E544" s="31"/>
      <c r="F544" s="28">
        <v>22.25</v>
      </c>
      <c r="G544" s="28">
        <f t="shared" si="16"/>
        <v>3.7083333333333335</v>
      </c>
      <c r="H544" s="30" t="s">
        <v>2174</v>
      </c>
      <c r="I544" s="30" t="s">
        <v>2360</v>
      </c>
      <c r="J544" s="31">
        <v>288</v>
      </c>
      <c r="K544" s="32">
        <v>48</v>
      </c>
      <c r="L544" s="76" t="str">
        <f t="shared" si="17"/>
        <v/>
      </c>
    </row>
    <row r="545" spans="1:12" x14ac:dyDescent="0.25">
      <c r="A545" s="25" t="s">
        <v>3571</v>
      </c>
      <c r="B545" s="26">
        <v>9</v>
      </c>
      <c r="C545" s="26">
        <v>6</v>
      </c>
      <c r="D545" s="25" t="s">
        <v>3572</v>
      </c>
      <c r="E545" s="31"/>
      <c r="F545" s="28">
        <v>22.25</v>
      </c>
      <c r="G545" s="28">
        <f t="shared" si="16"/>
        <v>3.7083333333333335</v>
      </c>
      <c r="H545" s="30" t="s">
        <v>3573</v>
      </c>
      <c r="I545" s="30" t="s">
        <v>3574</v>
      </c>
      <c r="J545" s="31">
        <v>288</v>
      </c>
      <c r="K545" s="32">
        <v>48</v>
      </c>
      <c r="L545" s="76" t="str">
        <f t="shared" si="17"/>
        <v/>
      </c>
    </row>
    <row r="546" spans="1:12" x14ac:dyDescent="0.25">
      <c r="A546" s="25" t="s">
        <v>2534</v>
      </c>
      <c r="B546" s="26">
        <v>684</v>
      </c>
      <c r="C546" s="26">
        <v>6</v>
      </c>
      <c r="D546" s="25" t="s">
        <v>2712</v>
      </c>
      <c r="E546" s="31"/>
      <c r="F546" s="28">
        <v>21.25</v>
      </c>
      <c r="G546" s="28">
        <f t="shared" si="16"/>
        <v>3.5416666666666665</v>
      </c>
      <c r="H546" s="30" t="s">
        <v>2535</v>
      </c>
      <c r="I546" s="30" t="s">
        <v>2581</v>
      </c>
      <c r="J546" s="31">
        <v>288</v>
      </c>
      <c r="K546" s="32">
        <v>48</v>
      </c>
      <c r="L546" s="76" t="str">
        <f t="shared" si="17"/>
        <v/>
      </c>
    </row>
    <row r="547" spans="1:12" x14ac:dyDescent="0.25">
      <c r="A547" s="25" t="s">
        <v>2713</v>
      </c>
      <c r="B547" s="26">
        <v>14</v>
      </c>
      <c r="C547" s="26">
        <v>6</v>
      </c>
      <c r="D547" s="25" t="s">
        <v>2777</v>
      </c>
      <c r="E547" s="31"/>
      <c r="F547" s="28">
        <v>21.25</v>
      </c>
      <c r="G547" s="28">
        <f t="shared" si="16"/>
        <v>3.5416666666666665</v>
      </c>
      <c r="H547" s="30" t="s">
        <v>2714</v>
      </c>
      <c r="I547" s="30" t="s">
        <v>2775</v>
      </c>
      <c r="J547" s="31">
        <v>288</v>
      </c>
      <c r="K547" s="32">
        <v>48</v>
      </c>
      <c r="L547" s="76" t="str">
        <f t="shared" si="17"/>
        <v/>
      </c>
    </row>
    <row r="548" spans="1:12" x14ac:dyDescent="0.25">
      <c r="A548" s="25" t="s">
        <v>3914</v>
      </c>
      <c r="B548" s="26">
        <v>30</v>
      </c>
      <c r="C548" s="26">
        <v>6</v>
      </c>
      <c r="D548" s="25" t="s">
        <v>3912</v>
      </c>
      <c r="E548" s="31"/>
      <c r="F548" s="28">
        <v>22.8</v>
      </c>
      <c r="G548" s="28">
        <f t="shared" si="16"/>
        <v>3.8000000000000003</v>
      </c>
      <c r="H548" s="30" t="s">
        <v>3913</v>
      </c>
      <c r="I548" s="30" t="s">
        <v>3915</v>
      </c>
      <c r="J548" s="31">
        <v>180</v>
      </c>
      <c r="K548" s="32">
        <v>30</v>
      </c>
      <c r="L548" s="76" t="str">
        <f t="shared" si="17"/>
        <v/>
      </c>
    </row>
    <row r="549" spans="1:12" x14ac:dyDescent="0.25">
      <c r="A549" s="25" t="s">
        <v>3172</v>
      </c>
      <c r="B549" s="26">
        <v>32</v>
      </c>
      <c r="C549" s="26">
        <v>6</v>
      </c>
      <c r="D549" s="25" t="s">
        <v>3173</v>
      </c>
      <c r="E549" s="31"/>
      <c r="F549" s="33">
        <v>5.4</v>
      </c>
      <c r="G549" s="34">
        <f t="shared" si="16"/>
        <v>0.9</v>
      </c>
      <c r="H549" s="30" t="s">
        <v>3174</v>
      </c>
      <c r="I549" s="30" t="s">
        <v>3175</v>
      </c>
      <c r="J549" s="31">
        <v>576</v>
      </c>
      <c r="K549" s="53">
        <v>96</v>
      </c>
      <c r="L549" s="76" t="str">
        <f t="shared" si="17"/>
        <v/>
      </c>
    </row>
    <row r="550" spans="1:12" x14ac:dyDescent="0.25">
      <c r="A550" s="25" t="s">
        <v>3683</v>
      </c>
      <c r="B550" s="26">
        <v>1782</v>
      </c>
      <c r="C550" s="26">
        <v>4</v>
      </c>
      <c r="D550" s="25" t="s">
        <v>3684</v>
      </c>
      <c r="E550" s="27"/>
      <c r="F550" s="33">
        <v>3</v>
      </c>
      <c r="G550" s="34">
        <f t="shared" si="16"/>
        <v>0.75</v>
      </c>
      <c r="H550" s="30" t="s">
        <v>3685</v>
      </c>
      <c r="I550" s="65" t="s">
        <v>237</v>
      </c>
      <c r="J550" s="31"/>
      <c r="K550" s="37"/>
      <c r="L550" s="76" t="str">
        <f t="shared" si="17"/>
        <v/>
      </c>
    </row>
    <row r="551" spans="1:12" x14ac:dyDescent="0.25">
      <c r="A551" s="25" t="s">
        <v>239</v>
      </c>
      <c r="B551" s="26">
        <v>877</v>
      </c>
      <c r="C551" s="26">
        <v>6</v>
      </c>
      <c r="D551" s="25" t="s">
        <v>240</v>
      </c>
      <c r="E551" s="27"/>
      <c r="F551" s="28">
        <v>7.2</v>
      </c>
      <c r="G551" s="29">
        <f t="shared" si="16"/>
        <v>1.2</v>
      </c>
      <c r="H551" s="30" t="s">
        <v>3506</v>
      </c>
      <c r="I551" s="30" t="s">
        <v>3507</v>
      </c>
      <c r="J551" s="31">
        <v>576</v>
      </c>
      <c r="K551" s="32">
        <v>96</v>
      </c>
      <c r="L551" s="76" t="str">
        <f t="shared" si="17"/>
        <v/>
      </c>
    </row>
    <row r="552" spans="1:12" x14ac:dyDescent="0.25">
      <c r="A552" s="25" t="s">
        <v>1163</v>
      </c>
      <c r="B552" s="26">
        <v>700</v>
      </c>
      <c r="C552" s="26">
        <v>3</v>
      </c>
      <c r="D552" s="25" t="s">
        <v>1164</v>
      </c>
      <c r="E552" s="27"/>
      <c r="F552" s="28">
        <v>6.6</v>
      </c>
      <c r="G552" s="28">
        <f t="shared" si="16"/>
        <v>2.1999999999999997</v>
      </c>
      <c r="H552" s="30" t="s">
        <v>2889</v>
      </c>
      <c r="I552" s="30" t="s">
        <v>2890</v>
      </c>
      <c r="J552" s="31">
        <v>840</v>
      </c>
      <c r="K552" s="32">
        <v>120</v>
      </c>
      <c r="L552" s="77" t="str">
        <f t="shared" si="17"/>
        <v/>
      </c>
    </row>
    <row r="553" spans="1:12" x14ac:dyDescent="0.25">
      <c r="A553" s="25" t="s">
        <v>1232</v>
      </c>
      <c r="B553" s="26">
        <v>560</v>
      </c>
      <c r="C553" s="26">
        <v>12</v>
      </c>
      <c r="D553" s="25" t="s">
        <v>2644</v>
      </c>
      <c r="E553" s="27"/>
      <c r="F553" s="28">
        <v>10.199999999999999</v>
      </c>
      <c r="G553" s="28">
        <f t="shared" si="16"/>
        <v>0.85</v>
      </c>
      <c r="H553" s="30" t="s">
        <v>1248</v>
      </c>
      <c r="I553" s="30" t="s">
        <v>1247</v>
      </c>
      <c r="J553" s="31">
        <v>840</v>
      </c>
      <c r="K553" s="32">
        <v>120</v>
      </c>
      <c r="L553" s="77" t="str">
        <f t="shared" si="17"/>
        <v/>
      </c>
    </row>
    <row r="554" spans="1:12" x14ac:dyDescent="0.25">
      <c r="A554" s="25" t="s">
        <v>935</v>
      </c>
      <c r="B554" s="26">
        <v>619</v>
      </c>
      <c r="C554" s="26">
        <v>4</v>
      </c>
      <c r="D554" s="25" t="s">
        <v>2645</v>
      </c>
      <c r="E554" s="27"/>
      <c r="F554" s="28">
        <v>7.68</v>
      </c>
      <c r="G554" s="28">
        <f t="shared" si="16"/>
        <v>1.92</v>
      </c>
      <c r="H554" s="30" t="s">
        <v>1364</v>
      </c>
      <c r="I554" s="30" t="s">
        <v>1365</v>
      </c>
      <c r="J554" s="31">
        <v>1152</v>
      </c>
      <c r="K554" s="32">
        <v>72</v>
      </c>
      <c r="L554" s="76" t="str">
        <f t="shared" si="17"/>
        <v/>
      </c>
    </row>
    <row r="555" spans="1:12" x14ac:dyDescent="0.25">
      <c r="A555" s="25" t="s">
        <v>2400</v>
      </c>
      <c r="B555" s="26">
        <v>161</v>
      </c>
      <c r="C555" s="26">
        <v>3</v>
      </c>
      <c r="D555" s="25" t="s">
        <v>2646</v>
      </c>
      <c r="E555" s="31"/>
      <c r="F555" s="28">
        <v>7.05</v>
      </c>
      <c r="G555" s="28">
        <f t="shared" si="16"/>
        <v>2.35</v>
      </c>
      <c r="H555" s="30" t="s">
        <v>2401</v>
      </c>
      <c r="I555" s="30" t="s">
        <v>2402</v>
      </c>
      <c r="J555" s="31">
        <v>840</v>
      </c>
      <c r="K555" s="53">
        <v>120</v>
      </c>
      <c r="L555" s="77" t="str">
        <f t="shared" si="17"/>
        <v/>
      </c>
    </row>
    <row r="556" spans="1:12" x14ac:dyDescent="0.25">
      <c r="A556" s="25" t="s">
        <v>2496</v>
      </c>
      <c r="B556" s="26">
        <v>12</v>
      </c>
      <c r="C556" s="26">
        <v>4</v>
      </c>
      <c r="D556" s="25" t="s">
        <v>2647</v>
      </c>
      <c r="E556" s="27"/>
      <c r="F556" s="28">
        <v>10.6</v>
      </c>
      <c r="G556" s="29">
        <f t="shared" si="16"/>
        <v>2.65</v>
      </c>
      <c r="H556" s="30" t="s">
        <v>2497</v>
      </c>
      <c r="I556" s="30" t="s">
        <v>2498</v>
      </c>
      <c r="J556" s="31">
        <v>720</v>
      </c>
      <c r="K556" s="32">
        <v>180</v>
      </c>
      <c r="L556" s="76" t="str">
        <f t="shared" si="17"/>
        <v/>
      </c>
    </row>
    <row r="557" spans="1:12" x14ac:dyDescent="0.25">
      <c r="A557" s="25" t="s">
        <v>2157</v>
      </c>
      <c r="B557" s="26">
        <v>680</v>
      </c>
      <c r="C557" s="26">
        <v>4</v>
      </c>
      <c r="D557" s="25" t="s">
        <v>2648</v>
      </c>
      <c r="E557" s="27"/>
      <c r="F557" s="28">
        <v>15.2</v>
      </c>
      <c r="G557" s="29">
        <f t="shared" si="16"/>
        <v>3.8</v>
      </c>
      <c r="H557" s="30" t="s">
        <v>2158</v>
      </c>
      <c r="I557" s="30" t="s">
        <v>2287</v>
      </c>
      <c r="J557" s="31">
        <v>65</v>
      </c>
      <c r="K557" s="32">
        <v>13</v>
      </c>
      <c r="L557" s="76" t="str">
        <f t="shared" si="17"/>
        <v/>
      </c>
    </row>
    <row r="558" spans="1:12" x14ac:dyDescent="0.25">
      <c r="A558" s="25" t="s">
        <v>1009</v>
      </c>
      <c r="B558" s="26">
        <v>87</v>
      </c>
      <c r="C558" s="26">
        <v>6</v>
      </c>
      <c r="D558" s="25" t="s">
        <v>2649</v>
      </c>
      <c r="E558" s="31"/>
      <c r="F558" s="28">
        <v>20.65</v>
      </c>
      <c r="G558" s="29">
        <f t="shared" si="16"/>
        <v>3.4416666666666664</v>
      </c>
      <c r="H558" s="30" t="s">
        <v>1010</v>
      </c>
      <c r="I558" s="30" t="s">
        <v>1011</v>
      </c>
      <c r="J558" s="31">
        <v>280</v>
      </c>
      <c r="K558" s="32">
        <v>35</v>
      </c>
      <c r="L558" s="76" t="str">
        <f t="shared" si="17"/>
        <v/>
      </c>
    </row>
    <row r="559" spans="1:12" x14ac:dyDescent="0.25">
      <c r="A559" s="25" t="s">
        <v>2897</v>
      </c>
      <c r="B559" s="53">
        <v>154</v>
      </c>
      <c r="C559" s="26">
        <v>6</v>
      </c>
      <c r="D559" s="25" t="s">
        <v>2898</v>
      </c>
      <c r="E559" s="31"/>
      <c r="F559" s="33">
        <v>20.65</v>
      </c>
      <c r="G559" s="34">
        <f t="shared" ref="G559:G620" si="18">F559/C559</f>
        <v>3.4416666666666664</v>
      </c>
      <c r="H559" s="30" t="s">
        <v>2918</v>
      </c>
      <c r="I559" s="30" t="s">
        <v>2919</v>
      </c>
      <c r="J559" s="31">
        <v>280</v>
      </c>
      <c r="K559" s="32">
        <v>35</v>
      </c>
      <c r="L559" s="76" t="str">
        <f t="shared" ref="L559:L620" si="19">IF(E559,E559*F559,"")</f>
        <v/>
      </c>
    </row>
    <row r="560" spans="1:12" x14ac:dyDescent="0.25">
      <c r="A560" s="25" t="s">
        <v>2475</v>
      </c>
      <c r="B560" s="26">
        <v>1</v>
      </c>
      <c r="C560" s="26">
        <v>6</v>
      </c>
      <c r="D560" s="25" t="s">
        <v>2650</v>
      </c>
      <c r="E560" s="31"/>
      <c r="F560" s="28">
        <v>20.65</v>
      </c>
      <c r="G560" s="28">
        <f t="shared" si="18"/>
        <v>3.4416666666666664</v>
      </c>
      <c r="H560" s="30" t="s">
        <v>2474</v>
      </c>
      <c r="I560" s="30" t="s">
        <v>2500</v>
      </c>
      <c r="J560" s="31">
        <v>280</v>
      </c>
      <c r="K560" s="53">
        <v>35</v>
      </c>
      <c r="L560" s="77" t="str">
        <f t="shared" si="19"/>
        <v/>
      </c>
    </row>
    <row r="561" spans="1:12" x14ac:dyDescent="0.25">
      <c r="A561" s="25" t="s">
        <v>2882</v>
      </c>
      <c r="B561" s="26">
        <v>7</v>
      </c>
      <c r="C561" s="26">
        <v>6</v>
      </c>
      <c r="D561" s="25" t="s">
        <v>2883</v>
      </c>
      <c r="E561" s="31"/>
      <c r="F561" s="33">
        <v>20.65</v>
      </c>
      <c r="G561" s="34">
        <f t="shared" si="18"/>
        <v>3.4416666666666664</v>
      </c>
      <c r="H561" s="30" t="s">
        <v>2884</v>
      </c>
      <c r="I561" s="30" t="s">
        <v>2885</v>
      </c>
      <c r="J561" s="31">
        <v>280</v>
      </c>
      <c r="K561" s="53">
        <v>35</v>
      </c>
      <c r="L561" s="76" t="str">
        <f t="shared" si="19"/>
        <v/>
      </c>
    </row>
    <row r="562" spans="1:12" x14ac:dyDescent="0.25">
      <c r="A562" s="25" t="s">
        <v>2820</v>
      </c>
      <c r="B562" s="26">
        <v>41</v>
      </c>
      <c r="C562" s="26">
        <v>6</v>
      </c>
      <c r="D562" s="25" t="s">
        <v>2821</v>
      </c>
      <c r="E562" s="31"/>
      <c r="F562" s="33">
        <v>20.65</v>
      </c>
      <c r="G562" s="33">
        <f t="shared" si="18"/>
        <v>3.4416666666666664</v>
      </c>
      <c r="H562" s="30" t="s">
        <v>2822</v>
      </c>
      <c r="I562" s="30" t="s">
        <v>2823</v>
      </c>
      <c r="J562" s="31">
        <v>280</v>
      </c>
      <c r="K562" s="53">
        <v>35</v>
      </c>
      <c r="L562" s="77" t="str">
        <f t="shared" si="19"/>
        <v/>
      </c>
    </row>
    <row r="563" spans="1:12" x14ac:dyDescent="0.25">
      <c r="A563" s="25" t="s">
        <v>2824</v>
      </c>
      <c r="B563" s="26">
        <v>46</v>
      </c>
      <c r="C563" s="26">
        <v>6</v>
      </c>
      <c r="D563" s="25" t="s">
        <v>2825</v>
      </c>
      <c r="E563" s="31"/>
      <c r="F563" s="33">
        <v>20.65</v>
      </c>
      <c r="G563" s="33">
        <f t="shared" si="18"/>
        <v>3.4416666666666664</v>
      </c>
      <c r="H563" s="30" t="s">
        <v>2826</v>
      </c>
      <c r="I563" s="30" t="s">
        <v>2827</v>
      </c>
      <c r="J563" s="31">
        <v>280</v>
      </c>
      <c r="K563" s="53">
        <v>35</v>
      </c>
      <c r="L563" s="77" t="str">
        <f t="shared" si="19"/>
        <v/>
      </c>
    </row>
    <row r="564" spans="1:12" x14ac:dyDescent="0.25">
      <c r="A564" s="25" t="s">
        <v>1883</v>
      </c>
      <c r="B564" s="26">
        <v>54</v>
      </c>
      <c r="C564" s="26">
        <v>6</v>
      </c>
      <c r="D564" s="25" t="s">
        <v>2651</v>
      </c>
      <c r="E564" s="31"/>
      <c r="F564" s="28">
        <v>20.65</v>
      </c>
      <c r="G564" s="28">
        <f t="shared" si="18"/>
        <v>3.4416666666666664</v>
      </c>
      <c r="H564" s="30" t="s">
        <v>1884</v>
      </c>
      <c r="I564" s="30" t="s">
        <v>1885</v>
      </c>
      <c r="J564" s="31">
        <v>280</v>
      </c>
      <c r="K564" s="53">
        <v>35</v>
      </c>
      <c r="L564" s="77" t="str">
        <f t="shared" si="19"/>
        <v/>
      </c>
    </row>
    <row r="565" spans="1:12" x14ac:dyDescent="0.25">
      <c r="A565" s="25" t="s">
        <v>2477</v>
      </c>
      <c r="B565" s="26">
        <v>0.5</v>
      </c>
      <c r="C565" s="26">
        <v>6</v>
      </c>
      <c r="D565" s="25" t="s">
        <v>2652</v>
      </c>
      <c r="E565" s="31"/>
      <c r="F565" s="28">
        <v>20.65</v>
      </c>
      <c r="G565" s="28">
        <f t="shared" si="18"/>
        <v>3.4416666666666664</v>
      </c>
      <c r="H565" s="30" t="s">
        <v>2476</v>
      </c>
      <c r="I565" s="30" t="s">
        <v>2501</v>
      </c>
      <c r="J565" s="31"/>
      <c r="K565" s="53"/>
      <c r="L565" s="77" t="str">
        <f t="shared" si="19"/>
        <v/>
      </c>
    </row>
    <row r="566" spans="1:12" x14ac:dyDescent="0.25">
      <c r="A566" s="25" t="s">
        <v>1868</v>
      </c>
      <c r="B566" s="26">
        <v>92</v>
      </c>
      <c r="C566" s="26">
        <v>6</v>
      </c>
      <c r="D566" s="25" t="s">
        <v>1869</v>
      </c>
      <c r="E566" s="31"/>
      <c r="F566" s="28">
        <v>8.6</v>
      </c>
      <c r="G566" s="29">
        <f t="shared" si="18"/>
        <v>1.4333333333333333</v>
      </c>
      <c r="H566" s="30" t="s">
        <v>1870</v>
      </c>
      <c r="I566" s="30" t="s">
        <v>1871</v>
      </c>
      <c r="J566" s="31">
        <v>492</v>
      </c>
      <c r="K566" s="32">
        <v>82</v>
      </c>
      <c r="L566" s="76" t="str">
        <f t="shared" si="19"/>
        <v/>
      </c>
    </row>
    <row r="567" spans="1:12" x14ac:dyDescent="0.25">
      <c r="A567" s="25" t="s">
        <v>2604</v>
      </c>
      <c r="B567" s="26">
        <v>16</v>
      </c>
      <c r="C567" s="26">
        <v>6</v>
      </c>
      <c r="D567" s="25" t="s">
        <v>2605</v>
      </c>
      <c r="E567" s="31"/>
      <c r="F567" s="28">
        <v>8.6</v>
      </c>
      <c r="G567" s="29">
        <f t="shared" si="18"/>
        <v>1.4333333333333333</v>
      </c>
      <c r="H567" s="30" t="s">
        <v>2606</v>
      </c>
      <c r="I567" s="30" t="s">
        <v>2662</v>
      </c>
      <c r="J567" s="31">
        <v>492</v>
      </c>
      <c r="K567" s="32">
        <v>82</v>
      </c>
      <c r="L567" s="76" t="str">
        <f t="shared" si="19"/>
        <v/>
      </c>
    </row>
    <row r="568" spans="1:12" x14ac:dyDescent="0.25">
      <c r="A568" s="25" t="s">
        <v>1097</v>
      </c>
      <c r="B568" s="26">
        <v>76</v>
      </c>
      <c r="C568" s="26">
        <v>6</v>
      </c>
      <c r="D568" s="25" t="s">
        <v>1095</v>
      </c>
      <c r="E568" s="31"/>
      <c r="F568" s="28">
        <v>8.6</v>
      </c>
      <c r="G568" s="29">
        <f t="shared" si="18"/>
        <v>1.4333333333333333</v>
      </c>
      <c r="H568" s="30" t="s">
        <v>1096</v>
      </c>
      <c r="I568" s="30" t="s">
        <v>1115</v>
      </c>
      <c r="J568" s="31">
        <v>492</v>
      </c>
      <c r="K568" s="32">
        <v>82</v>
      </c>
      <c r="L568" s="76" t="str">
        <f t="shared" si="19"/>
        <v/>
      </c>
    </row>
    <row r="569" spans="1:12" x14ac:dyDescent="0.25">
      <c r="A569" s="25" t="s">
        <v>2674</v>
      </c>
      <c r="B569" s="26">
        <v>53</v>
      </c>
      <c r="C569" s="26">
        <v>6</v>
      </c>
      <c r="D569" s="25" t="s">
        <v>2675</v>
      </c>
      <c r="E569" s="31"/>
      <c r="F569" s="33">
        <v>10.4</v>
      </c>
      <c r="G569" s="34">
        <f t="shared" si="18"/>
        <v>1.7333333333333334</v>
      </c>
      <c r="H569" s="30" t="s">
        <v>2676</v>
      </c>
      <c r="I569" s="30" t="s">
        <v>2677</v>
      </c>
      <c r="J569" s="31">
        <v>497</v>
      </c>
      <c r="K569" s="32">
        <v>71</v>
      </c>
      <c r="L569" s="76" t="str">
        <f t="shared" si="19"/>
        <v/>
      </c>
    </row>
    <row r="570" spans="1:12" x14ac:dyDescent="0.25">
      <c r="A570" s="25" t="s">
        <v>2228</v>
      </c>
      <c r="B570" s="26">
        <v>1</v>
      </c>
      <c r="C570" s="26">
        <v>6</v>
      </c>
      <c r="D570" s="25" t="s">
        <v>2229</v>
      </c>
      <c r="E570" s="31"/>
      <c r="F570" s="28">
        <v>10.4</v>
      </c>
      <c r="G570" s="29">
        <f t="shared" si="18"/>
        <v>1.7333333333333334</v>
      </c>
      <c r="H570" s="30" t="s">
        <v>2230</v>
      </c>
      <c r="I570" s="30" t="s">
        <v>2231</v>
      </c>
      <c r="J570" s="31">
        <v>497</v>
      </c>
      <c r="K570" s="32">
        <v>71</v>
      </c>
      <c r="L570" s="76" t="str">
        <f t="shared" si="19"/>
        <v/>
      </c>
    </row>
    <row r="571" spans="1:12" x14ac:dyDescent="0.25">
      <c r="A571" s="25" t="s">
        <v>2622</v>
      </c>
      <c r="B571" s="26">
        <v>144</v>
      </c>
      <c r="C571" s="26">
        <v>6</v>
      </c>
      <c r="D571" s="25" t="s">
        <v>2624</v>
      </c>
      <c r="E571" s="31"/>
      <c r="F571" s="28">
        <v>6.4</v>
      </c>
      <c r="G571" s="29">
        <f t="shared" si="18"/>
        <v>1.0666666666666667</v>
      </c>
      <c r="H571" s="30" t="s">
        <v>2633</v>
      </c>
      <c r="I571" s="30" t="s">
        <v>2632</v>
      </c>
      <c r="J571" s="31">
        <v>900</v>
      </c>
      <c r="K571" s="32">
        <v>90</v>
      </c>
      <c r="L571" s="76" t="str">
        <f t="shared" si="19"/>
        <v/>
      </c>
    </row>
    <row r="572" spans="1:12" x14ac:dyDescent="0.25">
      <c r="A572" s="25" t="s">
        <v>2626</v>
      </c>
      <c r="B572" s="26">
        <v>38</v>
      </c>
      <c r="C572" s="26">
        <v>6</v>
      </c>
      <c r="D572" s="25" t="s">
        <v>2627</v>
      </c>
      <c r="E572" s="31"/>
      <c r="F572" s="28">
        <v>6.4</v>
      </c>
      <c r="G572" s="29">
        <f t="shared" si="18"/>
        <v>1.0666666666666667</v>
      </c>
      <c r="H572" s="30" t="s">
        <v>2629</v>
      </c>
      <c r="I572" s="30" t="s">
        <v>2628</v>
      </c>
      <c r="J572" s="31">
        <v>90</v>
      </c>
      <c r="K572" s="32">
        <v>90</v>
      </c>
      <c r="L572" s="76" t="str">
        <f t="shared" si="19"/>
        <v/>
      </c>
    </row>
    <row r="573" spans="1:12" x14ac:dyDescent="0.25">
      <c r="A573" s="25" t="s">
        <v>2163</v>
      </c>
      <c r="B573" s="26">
        <v>140</v>
      </c>
      <c r="C573" s="26">
        <v>6</v>
      </c>
      <c r="D573" s="25" t="s">
        <v>2164</v>
      </c>
      <c r="E573" s="31"/>
      <c r="F573" s="28">
        <v>6.4</v>
      </c>
      <c r="G573" s="29">
        <f t="shared" si="18"/>
        <v>1.0666666666666667</v>
      </c>
      <c r="H573" s="30" t="s">
        <v>2165</v>
      </c>
      <c r="I573" s="30" t="s">
        <v>2166</v>
      </c>
      <c r="J573" s="31">
        <v>900</v>
      </c>
      <c r="K573" s="32">
        <v>90</v>
      </c>
      <c r="L573" s="76" t="str">
        <f t="shared" si="19"/>
        <v/>
      </c>
    </row>
    <row r="574" spans="1:12" x14ac:dyDescent="0.25">
      <c r="A574" s="25" t="s">
        <v>2678</v>
      </c>
      <c r="B574" s="26">
        <v>228</v>
      </c>
      <c r="C574" s="26">
        <v>6</v>
      </c>
      <c r="D574" s="25" t="s">
        <v>2680</v>
      </c>
      <c r="E574" s="27"/>
      <c r="F574" s="33">
        <v>6.4</v>
      </c>
      <c r="G574" s="34">
        <f t="shared" si="18"/>
        <v>1.0666666666666667</v>
      </c>
      <c r="H574" s="59" t="s">
        <v>2679</v>
      </c>
      <c r="I574" s="65">
        <v>4005900087980</v>
      </c>
      <c r="J574" s="31">
        <v>900</v>
      </c>
      <c r="K574" s="32">
        <v>90</v>
      </c>
      <c r="L574" s="76" t="str">
        <f t="shared" si="19"/>
        <v/>
      </c>
    </row>
    <row r="575" spans="1:12" x14ac:dyDescent="0.25">
      <c r="A575" s="25" t="s">
        <v>2699</v>
      </c>
      <c r="B575" s="26">
        <v>118</v>
      </c>
      <c r="C575" s="26">
        <v>6</v>
      </c>
      <c r="D575" s="25" t="s">
        <v>2698</v>
      </c>
      <c r="E575" s="27"/>
      <c r="F575" s="33">
        <v>6.4</v>
      </c>
      <c r="G575" s="34">
        <f t="shared" si="18"/>
        <v>1.0666666666666667</v>
      </c>
      <c r="H575" s="30" t="s">
        <v>2681</v>
      </c>
      <c r="I575" s="65" t="s">
        <v>2682</v>
      </c>
      <c r="J575" s="31">
        <v>900</v>
      </c>
      <c r="K575" s="32">
        <v>90</v>
      </c>
      <c r="L575" s="76" t="str">
        <f t="shared" si="19"/>
        <v/>
      </c>
    </row>
    <row r="576" spans="1:12" x14ac:dyDescent="0.25">
      <c r="A576" s="25" t="s">
        <v>3821</v>
      </c>
      <c r="B576" s="26">
        <v>100</v>
      </c>
      <c r="C576" s="26">
        <v>6</v>
      </c>
      <c r="D576" s="25" t="s">
        <v>3822</v>
      </c>
      <c r="E576" s="27"/>
      <c r="F576" s="33">
        <v>6.4</v>
      </c>
      <c r="G576" s="34">
        <f t="shared" si="18"/>
        <v>1.0666666666666667</v>
      </c>
      <c r="H576" s="30" t="s">
        <v>3823</v>
      </c>
      <c r="I576" s="65">
        <v>4005805231075</v>
      </c>
      <c r="J576" s="31">
        <v>900</v>
      </c>
      <c r="K576" s="32">
        <v>90</v>
      </c>
      <c r="L576" s="76" t="str">
        <f t="shared" si="19"/>
        <v/>
      </c>
    </row>
    <row r="577" spans="1:12" x14ac:dyDescent="0.25">
      <c r="A577" s="25" t="s">
        <v>2623</v>
      </c>
      <c r="B577" s="26">
        <v>50</v>
      </c>
      <c r="C577" s="26">
        <v>6</v>
      </c>
      <c r="D577" s="25" t="s">
        <v>2660</v>
      </c>
      <c r="E577" s="31"/>
      <c r="F577" s="28">
        <v>6.4</v>
      </c>
      <c r="G577" s="29">
        <f t="shared" si="18"/>
        <v>1.0666666666666667</v>
      </c>
      <c r="H577" s="30" t="s">
        <v>2631</v>
      </c>
      <c r="I577" s="30" t="s">
        <v>2630</v>
      </c>
      <c r="J577" s="31">
        <v>900</v>
      </c>
      <c r="K577" s="32">
        <v>90</v>
      </c>
      <c r="L577" s="76" t="str">
        <f t="shared" si="19"/>
        <v/>
      </c>
    </row>
    <row r="578" spans="1:12" x14ac:dyDescent="0.25">
      <c r="A578" s="25" t="s">
        <v>2625</v>
      </c>
      <c r="B578" s="26">
        <v>57</v>
      </c>
      <c r="C578" s="26">
        <v>6</v>
      </c>
      <c r="D578" s="25" t="s">
        <v>2661</v>
      </c>
      <c r="E578" s="31"/>
      <c r="F578" s="28">
        <v>6.4</v>
      </c>
      <c r="G578" s="29">
        <f t="shared" si="18"/>
        <v>1.0666666666666667</v>
      </c>
      <c r="H578" s="30" t="s">
        <v>2635</v>
      </c>
      <c r="I578" s="30" t="s">
        <v>2634</v>
      </c>
      <c r="J578" s="31">
        <v>900</v>
      </c>
      <c r="K578" s="32">
        <v>90</v>
      </c>
      <c r="L578" s="76" t="str">
        <f t="shared" si="19"/>
        <v/>
      </c>
    </row>
    <row r="579" spans="1:12" x14ac:dyDescent="0.25">
      <c r="A579" s="25" t="s">
        <v>3586</v>
      </c>
      <c r="B579" s="26">
        <v>327</v>
      </c>
      <c r="C579" s="26">
        <v>6</v>
      </c>
      <c r="D579" s="25" t="s">
        <v>3539</v>
      </c>
      <c r="E579" s="31"/>
      <c r="F579" s="28">
        <v>6.4</v>
      </c>
      <c r="G579" s="29">
        <f t="shared" si="18"/>
        <v>1.0666666666666667</v>
      </c>
      <c r="H579" s="30" t="s">
        <v>3540</v>
      </c>
      <c r="I579" s="30" t="s">
        <v>3672</v>
      </c>
      <c r="J579" s="31">
        <v>450</v>
      </c>
      <c r="K579" s="32">
        <v>45</v>
      </c>
      <c r="L579" s="76" t="str">
        <f t="shared" si="19"/>
        <v/>
      </c>
    </row>
    <row r="580" spans="1:12" x14ac:dyDescent="0.25">
      <c r="A580" s="25" t="s">
        <v>3771</v>
      </c>
      <c r="B580" s="26">
        <v>89</v>
      </c>
      <c r="C580" s="26">
        <v>6</v>
      </c>
      <c r="D580" s="25" t="s">
        <v>3820</v>
      </c>
      <c r="E580" s="27"/>
      <c r="F580" s="33">
        <v>6.4</v>
      </c>
      <c r="G580" s="34">
        <f t="shared" si="18"/>
        <v>1.0666666666666667</v>
      </c>
      <c r="H580" s="59" t="s">
        <v>3772</v>
      </c>
      <c r="I580" s="65" t="s">
        <v>3773</v>
      </c>
      <c r="J580" s="31">
        <v>900</v>
      </c>
      <c r="K580" s="32">
        <v>90</v>
      </c>
      <c r="L580" s="76" t="str">
        <f t="shared" si="19"/>
        <v/>
      </c>
    </row>
    <row r="581" spans="1:12" x14ac:dyDescent="0.25">
      <c r="A581" s="25" t="s">
        <v>2175</v>
      </c>
      <c r="B581" s="26">
        <v>12</v>
      </c>
      <c r="C581" s="26">
        <v>6</v>
      </c>
      <c r="D581" s="25" t="s">
        <v>2176</v>
      </c>
      <c r="E581" s="31"/>
      <c r="F581" s="28">
        <v>9.6</v>
      </c>
      <c r="G581" s="29">
        <f t="shared" si="18"/>
        <v>1.5999999999999999</v>
      </c>
      <c r="H581" s="30" t="s">
        <v>2177</v>
      </c>
      <c r="I581" s="30" t="s">
        <v>2178</v>
      </c>
      <c r="J581" s="31">
        <v>308</v>
      </c>
      <c r="K581" s="53">
        <v>44</v>
      </c>
      <c r="L581" s="76" t="str">
        <f t="shared" si="19"/>
        <v/>
      </c>
    </row>
    <row r="582" spans="1:12" x14ac:dyDescent="0.25">
      <c r="A582" s="25" t="s">
        <v>2288</v>
      </c>
      <c r="B582" s="26">
        <v>92</v>
      </c>
      <c r="C582" s="26">
        <v>6</v>
      </c>
      <c r="D582" s="25" t="s">
        <v>2289</v>
      </c>
      <c r="E582" s="31"/>
      <c r="F582" s="28">
        <v>9.6</v>
      </c>
      <c r="G582" s="29">
        <f t="shared" si="18"/>
        <v>1.5999999999999999</v>
      </c>
      <c r="H582" s="30" t="s">
        <v>2290</v>
      </c>
      <c r="I582" s="30" t="s">
        <v>2291</v>
      </c>
      <c r="J582" s="31">
        <v>480</v>
      </c>
      <c r="K582" s="53">
        <v>80</v>
      </c>
      <c r="L582" s="76" t="str">
        <f t="shared" si="19"/>
        <v/>
      </c>
    </row>
    <row r="583" spans="1:12" x14ac:dyDescent="0.25">
      <c r="A583" s="25" t="s">
        <v>739</v>
      </c>
      <c r="B583" s="35">
        <v>376</v>
      </c>
      <c r="C583" s="26">
        <v>6</v>
      </c>
      <c r="D583" s="25" t="s">
        <v>740</v>
      </c>
      <c r="E583" s="27"/>
      <c r="F583" s="28">
        <v>5.55</v>
      </c>
      <c r="G583" s="29">
        <f t="shared" si="18"/>
        <v>0.92499999999999993</v>
      </c>
      <c r="H583" s="30" t="s">
        <v>741</v>
      </c>
      <c r="I583" s="30" t="s">
        <v>742</v>
      </c>
      <c r="J583" s="35">
        <v>384</v>
      </c>
      <c r="K583" s="32">
        <v>64</v>
      </c>
      <c r="L583" s="76" t="str">
        <f t="shared" si="19"/>
        <v/>
      </c>
    </row>
    <row r="584" spans="1:12" x14ac:dyDescent="0.25">
      <c r="A584" s="25" t="s">
        <v>777</v>
      </c>
      <c r="B584" s="26">
        <v>427</v>
      </c>
      <c r="C584" s="26">
        <v>6</v>
      </c>
      <c r="D584" s="25" t="s">
        <v>2653</v>
      </c>
      <c r="E584" s="31"/>
      <c r="F584" s="28">
        <v>5.55</v>
      </c>
      <c r="G584" s="28">
        <f t="shared" si="18"/>
        <v>0.92499999999999993</v>
      </c>
      <c r="H584" s="30" t="s">
        <v>778</v>
      </c>
      <c r="I584" s="30" t="s">
        <v>779</v>
      </c>
      <c r="J584" s="31">
        <v>384</v>
      </c>
      <c r="K584" s="32">
        <v>64</v>
      </c>
      <c r="L584" s="76" t="str">
        <f t="shared" si="19"/>
        <v/>
      </c>
    </row>
    <row r="585" spans="1:12" x14ac:dyDescent="0.25">
      <c r="A585" s="25" t="s">
        <v>2179</v>
      </c>
      <c r="B585" s="26">
        <v>203</v>
      </c>
      <c r="C585" s="26">
        <v>6</v>
      </c>
      <c r="D585" s="25" t="s">
        <v>2180</v>
      </c>
      <c r="E585" s="31"/>
      <c r="F585" s="28">
        <v>5.55</v>
      </c>
      <c r="G585" s="28">
        <f t="shared" si="18"/>
        <v>0.92499999999999993</v>
      </c>
      <c r="H585" s="30" t="s">
        <v>2181</v>
      </c>
      <c r="I585" s="30" t="s">
        <v>2182</v>
      </c>
      <c r="J585" s="31">
        <v>384</v>
      </c>
      <c r="K585" s="32">
        <v>64</v>
      </c>
      <c r="L585" s="76" t="str">
        <f t="shared" si="19"/>
        <v/>
      </c>
    </row>
    <row r="586" spans="1:12" x14ac:dyDescent="0.25">
      <c r="A586" s="25" t="s">
        <v>1063</v>
      </c>
      <c r="B586" s="26">
        <v>2</v>
      </c>
      <c r="C586" s="26">
        <v>6</v>
      </c>
      <c r="D586" s="25" t="s">
        <v>1064</v>
      </c>
      <c r="E586" s="31"/>
      <c r="F586" s="28">
        <v>5.55</v>
      </c>
      <c r="G586" s="28">
        <f t="shared" si="18"/>
        <v>0.92499999999999993</v>
      </c>
      <c r="H586" s="30" t="s">
        <v>1066</v>
      </c>
      <c r="I586" s="30" t="s">
        <v>1067</v>
      </c>
      <c r="J586" s="31">
        <v>384</v>
      </c>
      <c r="K586" s="32">
        <v>64</v>
      </c>
      <c r="L586" s="76" t="str">
        <f t="shared" si="19"/>
        <v/>
      </c>
    </row>
    <row r="587" spans="1:12" x14ac:dyDescent="0.25">
      <c r="A587" s="25" t="s">
        <v>1083</v>
      </c>
      <c r="B587" s="35">
        <v>150</v>
      </c>
      <c r="C587" s="26">
        <v>6</v>
      </c>
      <c r="D587" s="25" t="s">
        <v>1084</v>
      </c>
      <c r="E587" s="27"/>
      <c r="F587" s="28">
        <v>5.55</v>
      </c>
      <c r="G587" s="29">
        <f t="shared" si="18"/>
        <v>0.92499999999999993</v>
      </c>
      <c r="H587" s="30" t="s">
        <v>1085</v>
      </c>
      <c r="I587" s="30" t="s">
        <v>1086</v>
      </c>
      <c r="J587" s="35">
        <v>384</v>
      </c>
      <c r="K587" s="32">
        <v>64</v>
      </c>
      <c r="L587" s="76" t="str">
        <f t="shared" si="19"/>
        <v/>
      </c>
    </row>
    <row r="588" spans="1:12" x14ac:dyDescent="0.25">
      <c r="A588" s="25" t="s">
        <v>3045</v>
      </c>
      <c r="B588" s="26">
        <v>311</v>
      </c>
      <c r="C588" s="26">
        <v>6</v>
      </c>
      <c r="D588" s="25" t="s">
        <v>3103</v>
      </c>
      <c r="E588" s="31"/>
      <c r="F588" s="33">
        <v>5.55</v>
      </c>
      <c r="G588" s="33">
        <f t="shared" si="18"/>
        <v>0.92499999999999993</v>
      </c>
      <c r="H588" s="30" t="s">
        <v>3046</v>
      </c>
      <c r="I588" s="30" t="s">
        <v>3047</v>
      </c>
      <c r="J588" s="31">
        <v>384</v>
      </c>
      <c r="K588" s="53">
        <v>64</v>
      </c>
      <c r="L588" s="77" t="str">
        <f t="shared" si="19"/>
        <v/>
      </c>
    </row>
    <row r="589" spans="1:12" x14ac:dyDescent="0.25">
      <c r="A589" s="25" t="s">
        <v>671</v>
      </c>
      <c r="B589" s="26">
        <v>35</v>
      </c>
      <c r="C589" s="26">
        <v>6</v>
      </c>
      <c r="D589" s="25" t="s">
        <v>672</v>
      </c>
      <c r="E589" s="27"/>
      <c r="F589" s="28">
        <v>4.08</v>
      </c>
      <c r="G589" s="28">
        <f t="shared" si="18"/>
        <v>0.68</v>
      </c>
      <c r="H589" s="30" t="s">
        <v>673</v>
      </c>
      <c r="I589" s="30" t="s">
        <v>674</v>
      </c>
      <c r="J589" s="31">
        <v>720</v>
      </c>
      <c r="K589" s="32">
        <v>120</v>
      </c>
      <c r="L589" s="76" t="str">
        <f t="shared" si="19"/>
        <v/>
      </c>
    </row>
    <row r="590" spans="1:12" x14ac:dyDescent="0.25">
      <c r="A590" s="25" t="s">
        <v>675</v>
      </c>
      <c r="B590" s="26">
        <v>109</v>
      </c>
      <c r="C590" s="26">
        <v>6</v>
      </c>
      <c r="D590" s="25" t="s">
        <v>676</v>
      </c>
      <c r="E590" s="27"/>
      <c r="F590" s="28">
        <v>4.08</v>
      </c>
      <c r="G590" s="28">
        <f t="shared" si="18"/>
        <v>0.68</v>
      </c>
      <c r="H590" s="30" t="s">
        <v>677</v>
      </c>
      <c r="I590" s="30" t="s">
        <v>695</v>
      </c>
      <c r="J590" s="31">
        <v>720</v>
      </c>
      <c r="K590" s="32">
        <v>120</v>
      </c>
      <c r="L590" s="76" t="str">
        <f t="shared" si="19"/>
        <v/>
      </c>
    </row>
    <row r="591" spans="1:12" x14ac:dyDescent="0.25">
      <c r="A591" s="25" t="s">
        <v>678</v>
      </c>
      <c r="B591" s="26">
        <v>74</v>
      </c>
      <c r="C591" s="26">
        <v>6</v>
      </c>
      <c r="D591" s="25" t="s">
        <v>679</v>
      </c>
      <c r="E591" s="27"/>
      <c r="F591" s="28">
        <v>4.08</v>
      </c>
      <c r="G591" s="28">
        <f t="shared" si="18"/>
        <v>0.68</v>
      </c>
      <c r="H591" s="30" t="s">
        <v>680</v>
      </c>
      <c r="I591" s="30" t="s">
        <v>681</v>
      </c>
      <c r="J591" s="31">
        <v>720</v>
      </c>
      <c r="K591" s="32">
        <v>120</v>
      </c>
      <c r="L591" s="76" t="str">
        <f t="shared" si="19"/>
        <v/>
      </c>
    </row>
    <row r="592" spans="1:12" x14ac:dyDescent="0.25">
      <c r="A592" s="25" t="s">
        <v>1719</v>
      </c>
      <c r="B592" s="26">
        <v>23</v>
      </c>
      <c r="C592" s="26">
        <v>12</v>
      </c>
      <c r="D592" s="25" t="s">
        <v>1720</v>
      </c>
      <c r="E592" s="31"/>
      <c r="F592" s="28">
        <v>13.4</v>
      </c>
      <c r="G592" s="28">
        <f t="shared" si="18"/>
        <v>1.1166666666666667</v>
      </c>
      <c r="H592" s="30" t="s">
        <v>1721</v>
      </c>
      <c r="I592" s="30" t="s">
        <v>1722</v>
      </c>
      <c r="J592" s="31">
        <v>116</v>
      </c>
      <c r="K592" s="32">
        <v>29</v>
      </c>
      <c r="L592" s="76" t="str">
        <f t="shared" si="19"/>
        <v/>
      </c>
    </row>
    <row r="593" spans="1:12" x14ac:dyDescent="0.25">
      <c r="A593" s="25" t="s">
        <v>1571</v>
      </c>
      <c r="B593" s="26">
        <v>609</v>
      </c>
      <c r="C593" s="26">
        <v>6</v>
      </c>
      <c r="D593" s="25" t="s">
        <v>1572</v>
      </c>
      <c r="E593" s="27"/>
      <c r="F593" s="28">
        <v>7.99</v>
      </c>
      <c r="G593" s="28">
        <f t="shared" si="18"/>
        <v>1.3316666666666668</v>
      </c>
      <c r="H593" s="30" t="s">
        <v>1573</v>
      </c>
      <c r="I593" s="30" t="s">
        <v>1574</v>
      </c>
      <c r="J593" s="31">
        <v>810</v>
      </c>
      <c r="K593" s="32">
        <v>90</v>
      </c>
      <c r="L593" s="76" t="str">
        <f t="shared" si="19"/>
        <v/>
      </c>
    </row>
    <row r="594" spans="1:12" x14ac:dyDescent="0.25">
      <c r="A594" s="25" t="s">
        <v>1575</v>
      </c>
      <c r="B594" s="26">
        <v>721</v>
      </c>
      <c r="C594" s="26">
        <v>6</v>
      </c>
      <c r="D594" s="25" t="s">
        <v>1576</v>
      </c>
      <c r="E594" s="27"/>
      <c r="F594" s="28">
        <v>7.99</v>
      </c>
      <c r="G594" s="28">
        <f t="shared" si="18"/>
        <v>1.3316666666666668</v>
      </c>
      <c r="H594" s="30" t="s">
        <v>1577</v>
      </c>
      <c r="I594" s="30" t="s">
        <v>1578</v>
      </c>
      <c r="J594" s="31">
        <v>810</v>
      </c>
      <c r="K594" s="32">
        <v>90</v>
      </c>
      <c r="L594" s="76" t="str">
        <f t="shared" si="19"/>
        <v/>
      </c>
    </row>
    <row r="595" spans="1:12" x14ac:dyDescent="0.25">
      <c r="A595" s="25" t="s">
        <v>1579</v>
      </c>
      <c r="B595" s="26">
        <v>847</v>
      </c>
      <c r="C595" s="26">
        <v>6</v>
      </c>
      <c r="D595" s="25" t="s">
        <v>1580</v>
      </c>
      <c r="E595" s="27"/>
      <c r="F595" s="28">
        <v>7.99</v>
      </c>
      <c r="G595" s="28">
        <f t="shared" si="18"/>
        <v>1.3316666666666668</v>
      </c>
      <c r="H595" s="30" t="s">
        <v>1581</v>
      </c>
      <c r="I595" s="30" t="s">
        <v>1582</v>
      </c>
      <c r="J595" s="31">
        <v>810</v>
      </c>
      <c r="K595" s="32">
        <v>90</v>
      </c>
      <c r="L595" s="76" t="str">
        <f t="shared" si="19"/>
        <v/>
      </c>
    </row>
    <row r="596" spans="1:12" x14ac:dyDescent="0.25">
      <c r="A596" s="25" t="s">
        <v>1588</v>
      </c>
      <c r="B596" s="26">
        <v>1090</v>
      </c>
      <c r="C596" s="26">
        <v>6</v>
      </c>
      <c r="D596" s="25" t="s">
        <v>1587</v>
      </c>
      <c r="E596" s="27"/>
      <c r="F596" s="28">
        <v>7.99</v>
      </c>
      <c r="G596" s="28">
        <f t="shared" si="18"/>
        <v>1.3316666666666668</v>
      </c>
      <c r="H596" s="30" t="s">
        <v>1589</v>
      </c>
      <c r="I596" s="30" t="s">
        <v>1590</v>
      </c>
      <c r="J596" s="31">
        <v>810</v>
      </c>
      <c r="K596" s="32">
        <v>90</v>
      </c>
      <c r="L596" s="76" t="str">
        <f t="shared" si="19"/>
        <v/>
      </c>
    </row>
    <row r="597" spans="1:12" x14ac:dyDescent="0.25">
      <c r="A597" s="25" t="s">
        <v>2101</v>
      </c>
      <c r="B597" s="26">
        <v>1568</v>
      </c>
      <c r="C597" s="26">
        <v>6</v>
      </c>
      <c r="D597" s="25" t="s">
        <v>2100</v>
      </c>
      <c r="E597" s="27"/>
      <c r="F597" s="28">
        <v>7.99</v>
      </c>
      <c r="G597" s="28">
        <f t="shared" si="18"/>
        <v>1.3316666666666668</v>
      </c>
      <c r="H597" s="56" t="s">
        <v>2102</v>
      </c>
      <c r="I597" s="56" t="s">
        <v>2103</v>
      </c>
      <c r="J597" s="31">
        <v>810</v>
      </c>
      <c r="K597" s="32">
        <v>90</v>
      </c>
      <c r="L597" s="76" t="str">
        <f t="shared" si="19"/>
        <v/>
      </c>
    </row>
    <row r="598" spans="1:12" x14ac:dyDescent="0.25">
      <c r="A598" s="25" t="s">
        <v>3464</v>
      </c>
      <c r="B598" s="26">
        <v>43</v>
      </c>
      <c r="C598" s="26">
        <v>6</v>
      </c>
      <c r="D598" s="25" t="s">
        <v>3465</v>
      </c>
      <c r="E598" s="27"/>
      <c r="F598" s="28">
        <v>10.5</v>
      </c>
      <c r="G598" s="28">
        <f t="shared" si="18"/>
        <v>1.75</v>
      </c>
      <c r="H598" s="59" t="s">
        <v>3694</v>
      </c>
      <c r="I598" s="56" t="s">
        <v>3466</v>
      </c>
      <c r="J598" s="31">
        <v>432</v>
      </c>
      <c r="K598" s="32">
        <v>54</v>
      </c>
      <c r="L598" s="76" t="str">
        <f t="shared" si="19"/>
        <v/>
      </c>
    </row>
    <row r="599" spans="1:12" x14ac:dyDescent="0.25">
      <c r="A599" s="25" t="s">
        <v>2126</v>
      </c>
      <c r="B599" s="26">
        <v>3</v>
      </c>
      <c r="C599" s="26">
        <v>10</v>
      </c>
      <c r="D599" s="25" t="s">
        <v>2127</v>
      </c>
      <c r="E599" s="27"/>
      <c r="F599" s="28">
        <v>26.5</v>
      </c>
      <c r="G599" s="29">
        <f t="shared" si="18"/>
        <v>2.65</v>
      </c>
      <c r="H599" s="30" t="s">
        <v>2128</v>
      </c>
      <c r="I599" s="30" t="s">
        <v>2129</v>
      </c>
      <c r="J599" s="31">
        <v>873</v>
      </c>
      <c r="K599" s="32">
        <v>97</v>
      </c>
      <c r="L599" s="76" t="str">
        <f t="shared" si="19"/>
        <v/>
      </c>
    </row>
    <row r="600" spans="1:12" x14ac:dyDescent="0.25">
      <c r="A600" s="25" t="s">
        <v>2654</v>
      </c>
      <c r="B600" s="26">
        <v>201</v>
      </c>
      <c r="C600" s="26">
        <v>6</v>
      </c>
      <c r="D600" s="25" t="s">
        <v>2655</v>
      </c>
      <c r="E600" s="27"/>
      <c r="F600" s="28">
        <v>13.5</v>
      </c>
      <c r="G600" s="29">
        <f t="shared" si="18"/>
        <v>2.25</v>
      </c>
      <c r="H600" s="30" t="s">
        <v>2656</v>
      </c>
      <c r="I600" s="30" t="s">
        <v>2657</v>
      </c>
      <c r="J600" s="31"/>
      <c r="K600" s="32"/>
      <c r="L600" s="76" t="str">
        <f t="shared" si="19"/>
        <v/>
      </c>
    </row>
    <row r="601" spans="1:12" x14ac:dyDescent="0.25">
      <c r="A601" s="25" t="s">
        <v>2485</v>
      </c>
      <c r="B601" s="26">
        <v>72</v>
      </c>
      <c r="C601" s="26">
        <v>6</v>
      </c>
      <c r="D601" s="25" t="s">
        <v>2486</v>
      </c>
      <c r="E601" s="27"/>
      <c r="F601" s="28">
        <v>30</v>
      </c>
      <c r="G601" s="28">
        <f t="shared" si="18"/>
        <v>5</v>
      </c>
      <c r="H601" s="30" t="s">
        <v>2487</v>
      </c>
      <c r="I601" s="30" t="s">
        <v>2488</v>
      </c>
      <c r="J601" s="31">
        <v>300</v>
      </c>
      <c r="K601" s="32">
        <v>50</v>
      </c>
      <c r="L601" s="76" t="str">
        <f t="shared" si="19"/>
        <v/>
      </c>
    </row>
    <row r="602" spans="1:12" x14ac:dyDescent="0.25">
      <c r="A602" s="25" t="s">
        <v>1500</v>
      </c>
      <c r="B602" s="26">
        <v>42</v>
      </c>
      <c r="C602" s="26">
        <v>4</v>
      </c>
      <c r="D602" s="25" t="s">
        <v>1529</v>
      </c>
      <c r="E602" s="27"/>
      <c r="F602" s="28">
        <v>23</v>
      </c>
      <c r="G602" s="28">
        <f t="shared" si="18"/>
        <v>5.75</v>
      </c>
      <c r="H602" s="30" t="s">
        <v>1501</v>
      </c>
      <c r="I602" s="30" t="s">
        <v>1502</v>
      </c>
      <c r="J602" s="31">
        <v>800</v>
      </c>
      <c r="K602" s="32">
        <v>80</v>
      </c>
      <c r="L602" s="76" t="str">
        <f t="shared" si="19"/>
        <v/>
      </c>
    </row>
    <row r="603" spans="1:12" x14ac:dyDescent="0.25">
      <c r="A603" s="25" t="s">
        <v>3525</v>
      </c>
      <c r="B603" s="26">
        <v>24</v>
      </c>
      <c r="C603" s="26">
        <v>4</v>
      </c>
      <c r="D603" s="25" t="s">
        <v>3526</v>
      </c>
      <c r="E603" s="27"/>
      <c r="F603" s="28">
        <v>10.5</v>
      </c>
      <c r="G603" s="28">
        <f t="shared" si="18"/>
        <v>2.625</v>
      </c>
      <c r="H603" s="30" t="s">
        <v>3695</v>
      </c>
      <c r="I603" s="30" t="s">
        <v>3696</v>
      </c>
      <c r="J603" s="31"/>
      <c r="K603" s="32"/>
      <c r="L603" s="76" t="str">
        <f t="shared" si="19"/>
        <v/>
      </c>
    </row>
    <row r="604" spans="1:12" x14ac:dyDescent="0.25">
      <c r="A604" s="25" t="s">
        <v>3468</v>
      </c>
      <c r="B604" s="26">
        <v>520</v>
      </c>
      <c r="C604" s="26">
        <v>12</v>
      </c>
      <c r="D604" s="25" t="s">
        <v>3661</v>
      </c>
      <c r="E604" s="27"/>
      <c r="F604" s="28">
        <v>9.7799999999999994</v>
      </c>
      <c r="G604" s="28">
        <f t="shared" si="18"/>
        <v>0.81499999999999995</v>
      </c>
      <c r="H604" s="30" t="s">
        <v>3659</v>
      </c>
      <c r="I604" s="57" t="s">
        <v>3660</v>
      </c>
      <c r="J604" s="31">
        <v>504</v>
      </c>
      <c r="K604" s="32">
        <v>72</v>
      </c>
      <c r="L604" s="76" t="str">
        <f t="shared" si="19"/>
        <v/>
      </c>
    </row>
    <row r="605" spans="1:12" x14ac:dyDescent="0.25">
      <c r="A605" s="25" t="s">
        <v>3117</v>
      </c>
      <c r="B605" s="26">
        <v>973</v>
      </c>
      <c r="C605" s="26">
        <v>12</v>
      </c>
      <c r="D605" s="25" t="s">
        <v>3118</v>
      </c>
      <c r="E605" s="27"/>
      <c r="F605" s="33">
        <v>9.7799999999999994</v>
      </c>
      <c r="G605" s="34">
        <f t="shared" si="18"/>
        <v>0.81499999999999995</v>
      </c>
      <c r="H605" s="30" t="s">
        <v>3119</v>
      </c>
      <c r="I605" s="30" t="s">
        <v>3370</v>
      </c>
      <c r="J605" s="31">
        <v>504</v>
      </c>
      <c r="K605" s="32">
        <v>72</v>
      </c>
      <c r="L605" s="76" t="str">
        <f t="shared" si="19"/>
        <v/>
      </c>
    </row>
    <row r="606" spans="1:12" x14ac:dyDescent="0.25">
      <c r="A606" s="25" t="s">
        <v>3074</v>
      </c>
      <c r="B606" s="26">
        <v>325</v>
      </c>
      <c r="C606" s="26">
        <v>12</v>
      </c>
      <c r="D606" s="25" t="s">
        <v>3073</v>
      </c>
      <c r="E606" s="27"/>
      <c r="F606" s="28">
        <v>7.2</v>
      </c>
      <c r="G606" s="28">
        <f t="shared" si="18"/>
        <v>0.6</v>
      </c>
      <c r="H606" s="30" t="s">
        <v>3076</v>
      </c>
      <c r="I606" s="57" t="s">
        <v>3077</v>
      </c>
      <c r="J606" s="31">
        <v>252</v>
      </c>
      <c r="K606" s="32">
        <v>42</v>
      </c>
      <c r="L606" s="76" t="str">
        <f t="shared" si="19"/>
        <v/>
      </c>
    </row>
    <row r="607" spans="1:12" x14ac:dyDescent="0.25">
      <c r="A607" s="25" t="s">
        <v>3075</v>
      </c>
      <c r="B607" s="26">
        <v>139</v>
      </c>
      <c r="C607" s="26">
        <v>12</v>
      </c>
      <c r="D607" s="25" t="s">
        <v>3101</v>
      </c>
      <c r="E607" s="27"/>
      <c r="F607" s="28">
        <v>7.2</v>
      </c>
      <c r="G607" s="28">
        <f t="shared" si="18"/>
        <v>0.6</v>
      </c>
      <c r="H607" s="30" t="s">
        <v>3078</v>
      </c>
      <c r="I607" s="57" t="s">
        <v>3079</v>
      </c>
      <c r="J607" s="31">
        <v>252</v>
      </c>
      <c r="K607" s="32">
        <v>42</v>
      </c>
      <c r="L607" s="76" t="str">
        <f t="shared" si="19"/>
        <v/>
      </c>
    </row>
    <row r="608" spans="1:12" x14ac:dyDescent="0.25">
      <c r="A608" s="25" t="s">
        <v>3082</v>
      </c>
      <c r="B608" s="26">
        <v>23</v>
      </c>
      <c r="C608" s="26">
        <v>6</v>
      </c>
      <c r="D608" s="25" t="s">
        <v>3083</v>
      </c>
      <c r="E608" s="27"/>
      <c r="F608" s="28">
        <v>3.99</v>
      </c>
      <c r="G608" s="29">
        <f t="shared" si="18"/>
        <v>0.66500000000000004</v>
      </c>
      <c r="H608" s="30" t="s">
        <v>3080</v>
      </c>
      <c r="I608" s="30" t="s">
        <v>3081</v>
      </c>
      <c r="J608" s="31">
        <v>192</v>
      </c>
      <c r="K608" s="53">
        <v>64</v>
      </c>
      <c r="L608" s="76" t="str">
        <f t="shared" si="19"/>
        <v/>
      </c>
    </row>
    <row r="609" spans="1:12" x14ac:dyDescent="0.25">
      <c r="A609" s="25" t="s">
        <v>1709</v>
      </c>
      <c r="B609" s="26">
        <v>27</v>
      </c>
      <c r="C609" s="26">
        <v>12</v>
      </c>
      <c r="D609" s="25" t="s">
        <v>1708</v>
      </c>
      <c r="E609" s="27"/>
      <c r="F609" s="28">
        <v>4.5</v>
      </c>
      <c r="G609" s="28">
        <f t="shared" si="18"/>
        <v>0.375</v>
      </c>
      <c r="H609" s="30" t="s">
        <v>1732</v>
      </c>
      <c r="I609" s="57" t="s">
        <v>1731</v>
      </c>
      <c r="J609" s="31"/>
      <c r="K609" s="32"/>
      <c r="L609" s="76" t="str">
        <f t="shared" si="19"/>
        <v/>
      </c>
    </row>
    <row r="610" spans="1:12" x14ac:dyDescent="0.25">
      <c r="A610" s="25" t="s">
        <v>703</v>
      </c>
      <c r="B610" s="26">
        <v>188</v>
      </c>
      <c r="C610" s="26">
        <v>12</v>
      </c>
      <c r="D610" s="25" t="s">
        <v>705</v>
      </c>
      <c r="E610" s="27"/>
      <c r="F610" s="28">
        <v>7.2</v>
      </c>
      <c r="G610" s="29">
        <f t="shared" si="18"/>
        <v>0.6</v>
      </c>
      <c r="H610" s="30" t="s">
        <v>702</v>
      </c>
      <c r="I610" s="30" t="s">
        <v>1136</v>
      </c>
      <c r="J610" s="31">
        <v>320</v>
      </c>
      <c r="K610" s="32">
        <v>80</v>
      </c>
      <c r="L610" s="76" t="str">
        <f t="shared" si="19"/>
        <v/>
      </c>
    </row>
    <row r="611" spans="1:12" x14ac:dyDescent="0.25">
      <c r="A611" s="25" t="s">
        <v>3844</v>
      </c>
      <c r="B611" s="26">
        <v>100</v>
      </c>
      <c r="C611" s="26">
        <v>6</v>
      </c>
      <c r="D611" s="25" t="s">
        <v>3845</v>
      </c>
      <c r="E611" s="27"/>
      <c r="F611" s="33">
        <v>7.2</v>
      </c>
      <c r="G611" s="34">
        <f t="shared" si="18"/>
        <v>1.2</v>
      </c>
      <c r="H611" s="30" t="s">
        <v>3846</v>
      </c>
      <c r="I611" s="30" t="s">
        <v>3847</v>
      </c>
      <c r="J611" s="31">
        <v>256</v>
      </c>
      <c r="K611" s="32">
        <v>64</v>
      </c>
      <c r="L611" s="76" t="str">
        <f t="shared" si="19"/>
        <v/>
      </c>
    </row>
    <row r="612" spans="1:12" x14ac:dyDescent="0.25">
      <c r="A612" s="25" t="s">
        <v>1671</v>
      </c>
      <c r="B612" s="26">
        <v>66</v>
      </c>
      <c r="C612" s="26">
        <v>6</v>
      </c>
      <c r="D612" s="25" t="s">
        <v>1677</v>
      </c>
      <c r="E612" s="27"/>
      <c r="F612" s="28">
        <v>3.9</v>
      </c>
      <c r="G612" s="29">
        <f t="shared" si="18"/>
        <v>0.65</v>
      </c>
      <c r="H612" s="30" t="s">
        <v>1687</v>
      </c>
      <c r="I612" s="30" t="s">
        <v>1688</v>
      </c>
      <c r="J612" s="31">
        <v>492</v>
      </c>
      <c r="K612" s="32">
        <v>82</v>
      </c>
      <c r="L612" s="76" t="str">
        <f t="shared" si="19"/>
        <v/>
      </c>
    </row>
    <row r="613" spans="1:12" x14ac:dyDescent="0.25">
      <c r="A613" s="25" t="s">
        <v>1672</v>
      </c>
      <c r="B613" s="26">
        <v>116</v>
      </c>
      <c r="C613" s="26">
        <v>6</v>
      </c>
      <c r="D613" s="25" t="s">
        <v>1678</v>
      </c>
      <c r="E613" s="27"/>
      <c r="F613" s="28">
        <v>3.9</v>
      </c>
      <c r="G613" s="29">
        <f t="shared" si="18"/>
        <v>0.65</v>
      </c>
      <c r="H613" s="30" t="s">
        <v>1691</v>
      </c>
      <c r="I613" s="30" t="s">
        <v>1692</v>
      </c>
      <c r="J613" s="31">
        <v>492</v>
      </c>
      <c r="K613" s="32">
        <v>82</v>
      </c>
      <c r="L613" s="76" t="str">
        <f t="shared" si="19"/>
        <v/>
      </c>
    </row>
    <row r="614" spans="1:12" x14ac:dyDescent="0.25">
      <c r="A614" s="25" t="s">
        <v>2104</v>
      </c>
      <c r="B614" s="26">
        <v>130</v>
      </c>
      <c r="C614" s="26">
        <v>6</v>
      </c>
      <c r="D614" s="25" t="s">
        <v>2105</v>
      </c>
      <c r="E614" s="27"/>
      <c r="F614" s="28">
        <v>3.9</v>
      </c>
      <c r="G614" s="29">
        <f t="shared" si="18"/>
        <v>0.65</v>
      </c>
      <c r="H614" s="30" t="s">
        <v>2155</v>
      </c>
      <c r="I614" s="30" t="s">
        <v>2156</v>
      </c>
      <c r="J614" s="31">
        <v>492</v>
      </c>
      <c r="K614" s="32">
        <v>82</v>
      </c>
      <c r="L614" s="76" t="str">
        <f t="shared" si="19"/>
        <v/>
      </c>
    </row>
    <row r="615" spans="1:12" x14ac:dyDescent="0.25">
      <c r="A615" s="25" t="s">
        <v>1864</v>
      </c>
      <c r="B615" s="26">
        <v>182</v>
      </c>
      <c r="C615" s="26">
        <v>6</v>
      </c>
      <c r="D615" s="25" t="s">
        <v>1865</v>
      </c>
      <c r="E615" s="27"/>
      <c r="F615" s="28">
        <v>3.9</v>
      </c>
      <c r="G615" s="29">
        <f t="shared" si="18"/>
        <v>0.65</v>
      </c>
      <c r="H615" s="30" t="s">
        <v>1877</v>
      </c>
      <c r="I615" s="30" t="s">
        <v>1878</v>
      </c>
      <c r="J615" s="31">
        <v>492</v>
      </c>
      <c r="K615" s="32">
        <v>82</v>
      </c>
      <c r="L615" s="76" t="str">
        <f t="shared" si="19"/>
        <v/>
      </c>
    </row>
    <row r="616" spans="1:12" x14ac:dyDescent="0.25">
      <c r="A616" s="25" t="s">
        <v>1673</v>
      </c>
      <c r="B616" s="26">
        <v>147</v>
      </c>
      <c r="C616" s="26">
        <v>6</v>
      </c>
      <c r="D616" s="25" t="s">
        <v>1679</v>
      </c>
      <c r="E616" s="27"/>
      <c r="F616" s="28">
        <v>3.9</v>
      </c>
      <c r="G616" s="29">
        <f t="shared" si="18"/>
        <v>0.65</v>
      </c>
      <c r="H616" s="30" t="s">
        <v>1697</v>
      </c>
      <c r="I616" s="30" t="s">
        <v>1698</v>
      </c>
      <c r="J616" s="31">
        <v>492</v>
      </c>
      <c r="K616" s="32">
        <v>82</v>
      </c>
      <c r="L616" s="76" t="str">
        <f t="shared" si="19"/>
        <v/>
      </c>
    </row>
    <row r="617" spans="1:12" x14ac:dyDescent="0.25">
      <c r="A617" s="25" t="s">
        <v>1674</v>
      </c>
      <c r="B617" s="26">
        <v>107</v>
      </c>
      <c r="C617" s="26">
        <v>6</v>
      </c>
      <c r="D617" s="25" t="s">
        <v>1680</v>
      </c>
      <c r="E617" s="27"/>
      <c r="F617" s="28">
        <v>3.9</v>
      </c>
      <c r="G617" s="29">
        <f t="shared" si="18"/>
        <v>0.65</v>
      </c>
      <c r="H617" s="30" t="s">
        <v>1693</v>
      </c>
      <c r="I617" s="30" t="s">
        <v>1694</v>
      </c>
      <c r="J617" s="31">
        <v>492</v>
      </c>
      <c r="K617" s="32">
        <v>82</v>
      </c>
      <c r="L617" s="76" t="str">
        <f t="shared" si="19"/>
        <v/>
      </c>
    </row>
    <row r="618" spans="1:12" x14ac:dyDescent="0.25">
      <c r="A618" s="25" t="s">
        <v>1675</v>
      </c>
      <c r="B618" s="26">
        <v>173</v>
      </c>
      <c r="C618" s="26">
        <v>6</v>
      </c>
      <c r="D618" s="25" t="s">
        <v>1681</v>
      </c>
      <c r="E618" s="27"/>
      <c r="F618" s="28">
        <v>3.9</v>
      </c>
      <c r="G618" s="29">
        <f t="shared" si="18"/>
        <v>0.65</v>
      </c>
      <c r="H618" s="30" t="s">
        <v>1695</v>
      </c>
      <c r="I618" s="30" t="s">
        <v>1696</v>
      </c>
      <c r="J618" s="31">
        <v>492</v>
      </c>
      <c r="K618" s="32">
        <v>82</v>
      </c>
      <c r="L618" s="76" t="str">
        <f t="shared" si="19"/>
        <v/>
      </c>
    </row>
    <row r="619" spans="1:12" x14ac:dyDescent="0.25">
      <c r="A619" s="25" t="s">
        <v>1676</v>
      </c>
      <c r="B619" s="26">
        <v>113</v>
      </c>
      <c r="C619" s="26">
        <v>6</v>
      </c>
      <c r="D619" s="25" t="s">
        <v>1682</v>
      </c>
      <c r="E619" s="27"/>
      <c r="F619" s="28">
        <v>3.9</v>
      </c>
      <c r="G619" s="29">
        <f t="shared" si="18"/>
        <v>0.65</v>
      </c>
      <c r="H619" s="30" t="s">
        <v>1689</v>
      </c>
      <c r="I619" s="30" t="s">
        <v>1690</v>
      </c>
      <c r="J619" s="31">
        <v>492</v>
      </c>
      <c r="K619" s="32">
        <v>82</v>
      </c>
      <c r="L619" s="76" t="str">
        <f t="shared" si="19"/>
        <v/>
      </c>
    </row>
    <row r="620" spans="1:12" x14ac:dyDescent="0.25">
      <c r="A620" s="25" t="s">
        <v>1866</v>
      </c>
      <c r="B620" s="26">
        <v>247</v>
      </c>
      <c r="C620" s="26">
        <v>6</v>
      </c>
      <c r="D620" s="25" t="s">
        <v>1867</v>
      </c>
      <c r="E620" s="27"/>
      <c r="F620" s="28">
        <v>3.9</v>
      </c>
      <c r="G620" s="29">
        <f t="shared" si="18"/>
        <v>0.65</v>
      </c>
      <c r="H620" s="30" t="s">
        <v>1875</v>
      </c>
      <c r="I620" s="30" t="s">
        <v>1876</v>
      </c>
      <c r="J620" s="31">
        <v>492</v>
      </c>
      <c r="K620" s="32">
        <v>82</v>
      </c>
      <c r="L620" s="76" t="str">
        <f t="shared" si="19"/>
        <v/>
      </c>
    </row>
    <row r="621" spans="1:12" x14ac:dyDescent="0.25">
      <c r="A621" s="25" t="s">
        <v>2383</v>
      </c>
      <c r="B621" s="26">
        <v>63</v>
      </c>
      <c r="C621" s="26">
        <v>6</v>
      </c>
      <c r="D621" s="25" t="s">
        <v>2503</v>
      </c>
      <c r="E621" s="27"/>
      <c r="F621" s="28">
        <v>3.9</v>
      </c>
      <c r="G621" s="29">
        <f t="shared" ref="G621:G684" si="20">F621/C621</f>
        <v>0.65</v>
      </c>
      <c r="H621" s="30" t="s">
        <v>2408</v>
      </c>
      <c r="I621" s="30" t="s">
        <v>2409</v>
      </c>
      <c r="J621" s="31">
        <v>492</v>
      </c>
      <c r="K621" s="32">
        <v>82</v>
      </c>
      <c r="L621" s="76" t="str">
        <f t="shared" ref="L621:L684" si="21">IF(E621,E621*F621,"")</f>
        <v/>
      </c>
    </row>
    <row r="622" spans="1:12" x14ac:dyDescent="0.25">
      <c r="A622" s="25" t="s">
        <v>2382</v>
      </c>
      <c r="B622" s="26">
        <v>34</v>
      </c>
      <c r="C622" s="26">
        <v>6</v>
      </c>
      <c r="D622" s="25" t="s">
        <v>2504</v>
      </c>
      <c r="E622" s="27"/>
      <c r="F622" s="28">
        <v>3.9</v>
      </c>
      <c r="G622" s="29">
        <f t="shared" si="20"/>
        <v>0.65</v>
      </c>
      <c r="H622" s="30" t="s">
        <v>2410</v>
      </c>
      <c r="I622" s="30" t="s">
        <v>2411</v>
      </c>
      <c r="J622" s="31">
        <v>492</v>
      </c>
      <c r="K622" s="32">
        <v>82</v>
      </c>
      <c r="L622" s="76" t="str">
        <f t="shared" si="21"/>
        <v/>
      </c>
    </row>
    <row r="623" spans="1:12" x14ac:dyDescent="0.25">
      <c r="A623" s="36" t="s">
        <v>750</v>
      </c>
      <c r="B623" s="53">
        <v>7</v>
      </c>
      <c r="C623" s="53">
        <v>12</v>
      </c>
      <c r="D623" s="36" t="s">
        <v>751</v>
      </c>
      <c r="E623" s="31"/>
      <c r="F623" s="28">
        <v>29.4</v>
      </c>
      <c r="G623" s="28">
        <f t="shared" si="20"/>
        <v>2.4499999999999997</v>
      </c>
      <c r="H623" s="30" t="s">
        <v>752</v>
      </c>
      <c r="I623" s="65" t="s">
        <v>753</v>
      </c>
      <c r="J623" s="31">
        <v>476</v>
      </c>
      <c r="K623" s="32">
        <v>68</v>
      </c>
      <c r="L623" s="76" t="str">
        <f t="shared" si="21"/>
        <v/>
      </c>
    </row>
    <row r="624" spans="1:12" x14ac:dyDescent="0.25">
      <c r="A624" s="36" t="s">
        <v>2089</v>
      </c>
      <c r="B624" s="53">
        <v>130</v>
      </c>
      <c r="C624" s="53">
        <v>12</v>
      </c>
      <c r="D624" s="36" t="s">
        <v>2090</v>
      </c>
      <c r="E624" s="31"/>
      <c r="F624" s="28">
        <v>81.599999999999994</v>
      </c>
      <c r="G624" s="28">
        <f t="shared" si="20"/>
        <v>6.8</v>
      </c>
      <c r="H624" s="30" t="s">
        <v>2098</v>
      </c>
      <c r="I624" s="65" t="s">
        <v>2199</v>
      </c>
      <c r="J624" s="31">
        <v>112</v>
      </c>
      <c r="K624" s="32">
        <v>16</v>
      </c>
      <c r="L624" s="76" t="str">
        <f t="shared" si="21"/>
        <v/>
      </c>
    </row>
    <row r="625" spans="1:12" x14ac:dyDescent="0.25">
      <c r="A625" s="36" t="s">
        <v>2092</v>
      </c>
      <c r="B625" s="53">
        <v>150</v>
      </c>
      <c r="C625" s="53">
        <v>12</v>
      </c>
      <c r="D625" s="36" t="s">
        <v>2091</v>
      </c>
      <c r="E625" s="31"/>
      <c r="F625" s="28">
        <v>69</v>
      </c>
      <c r="G625" s="28">
        <f t="shared" si="20"/>
        <v>5.75</v>
      </c>
      <c r="H625" s="65" t="s">
        <v>2198</v>
      </c>
      <c r="I625" s="30" t="s">
        <v>2095</v>
      </c>
      <c r="J625" s="31">
        <v>180</v>
      </c>
      <c r="K625" s="32">
        <v>36</v>
      </c>
      <c r="L625" s="76" t="str">
        <f t="shared" si="21"/>
        <v/>
      </c>
    </row>
    <row r="626" spans="1:12" x14ac:dyDescent="0.25">
      <c r="A626" s="25" t="s">
        <v>2786</v>
      </c>
      <c r="B626" s="26">
        <v>122</v>
      </c>
      <c r="C626" s="26">
        <v>12</v>
      </c>
      <c r="D626" s="25" t="s">
        <v>3051</v>
      </c>
      <c r="E626" s="27"/>
      <c r="F626" s="33">
        <v>20.5</v>
      </c>
      <c r="G626" s="34">
        <f t="shared" si="20"/>
        <v>1.7083333333333333</v>
      </c>
      <c r="H626" s="30" t="s">
        <v>2787</v>
      </c>
      <c r="I626" s="30" t="s">
        <v>2855</v>
      </c>
      <c r="J626" s="31">
        <v>224</v>
      </c>
      <c r="K626" s="32">
        <v>28</v>
      </c>
      <c r="L626" s="76" t="str">
        <f t="shared" si="21"/>
        <v/>
      </c>
    </row>
    <row r="627" spans="1:12" x14ac:dyDescent="0.25">
      <c r="A627" s="25" t="s">
        <v>2878</v>
      </c>
      <c r="B627" s="26">
        <v>185</v>
      </c>
      <c r="C627" s="26">
        <v>12</v>
      </c>
      <c r="D627" s="25" t="s">
        <v>2879</v>
      </c>
      <c r="E627" s="27"/>
      <c r="F627" s="33">
        <v>20.5</v>
      </c>
      <c r="G627" s="34">
        <f t="shared" si="20"/>
        <v>1.7083333333333333</v>
      </c>
      <c r="H627" s="30" t="s">
        <v>2880</v>
      </c>
      <c r="I627" s="30" t="s">
        <v>2881</v>
      </c>
      <c r="J627" s="31">
        <v>340</v>
      </c>
      <c r="K627" s="32">
        <v>34</v>
      </c>
      <c r="L627" s="76" t="str">
        <f t="shared" si="21"/>
        <v/>
      </c>
    </row>
    <row r="628" spans="1:12" x14ac:dyDescent="0.25">
      <c r="A628" s="36" t="s">
        <v>2093</v>
      </c>
      <c r="B628" s="53">
        <v>160</v>
      </c>
      <c r="C628" s="53">
        <v>12</v>
      </c>
      <c r="D628" s="36" t="s">
        <v>2196</v>
      </c>
      <c r="E628" s="31"/>
      <c r="F628" s="28">
        <v>29.2</v>
      </c>
      <c r="G628" s="28">
        <f t="shared" si="20"/>
        <v>2.4333333333333331</v>
      </c>
      <c r="H628" s="65" t="s">
        <v>2195</v>
      </c>
      <c r="I628" s="30" t="s">
        <v>2096</v>
      </c>
      <c r="J628" s="31">
        <v>115</v>
      </c>
      <c r="K628" s="32">
        <v>23</v>
      </c>
      <c r="L628" s="76" t="str">
        <f t="shared" si="21"/>
        <v/>
      </c>
    </row>
    <row r="629" spans="1:12" x14ac:dyDescent="0.25">
      <c r="A629" s="36" t="s">
        <v>2094</v>
      </c>
      <c r="B629" s="53">
        <v>24</v>
      </c>
      <c r="C629" s="53">
        <v>12</v>
      </c>
      <c r="D629" s="36" t="s">
        <v>2197</v>
      </c>
      <c r="E629" s="31"/>
      <c r="F629" s="28">
        <v>43.5</v>
      </c>
      <c r="G629" s="28">
        <f t="shared" si="20"/>
        <v>3.625</v>
      </c>
      <c r="H629" s="65" t="s">
        <v>2099</v>
      </c>
      <c r="I629" s="30" t="s">
        <v>2097</v>
      </c>
      <c r="J629" s="31">
        <v>76</v>
      </c>
      <c r="K629" s="32">
        <v>19</v>
      </c>
      <c r="L629" s="76" t="str">
        <f t="shared" si="21"/>
        <v/>
      </c>
    </row>
    <row r="630" spans="1:12" x14ac:dyDescent="0.25">
      <c r="A630" s="36" t="s">
        <v>3639</v>
      </c>
      <c r="B630" s="53">
        <v>48</v>
      </c>
      <c r="C630" s="53">
        <v>12</v>
      </c>
      <c r="D630" s="36" t="s">
        <v>3640</v>
      </c>
      <c r="E630" s="31"/>
      <c r="F630" s="28">
        <v>81.599999999999994</v>
      </c>
      <c r="G630" s="28">
        <f t="shared" si="20"/>
        <v>6.8</v>
      </c>
      <c r="H630" s="65" t="s">
        <v>3809</v>
      </c>
      <c r="I630" s="30" t="s">
        <v>3810</v>
      </c>
      <c r="J630" s="31">
        <v>112</v>
      </c>
      <c r="K630" s="32">
        <v>16</v>
      </c>
      <c r="L630" s="76" t="str">
        <f t="shared" si="21"/>
        <v/>
      </c>
    </row>
    <row r="631" spans="1:12" x14ac:dyDescent="0.25">
      <c r="A631" s="36" t="s">
        <v>3753</v>
      </c>
      <c r="B631" s="53">
        <v>106</v>
      </c>
      <c r="C631" s="53">
        <v>12</v>
      </c>
      <c r="D631" s="36" t="s">
        <v>3752</v>
      </c>
      <c r="E631" s="31"/>
      <c r="F631" s="28">
        <v>78.400000000000006</v>
      </c>
      <c r="G631" s="28">
        <f t="shared" si="20"/>
        <v>6.5333333333333341</v>
      </c>
      <c r="H631" s="65" t="s">
        <v>3807</v>
      </c>
      <c r="I631" s="30" t="s">
        <v>3808</v>
      </c>
      <c r="J631" s="31">
        <v>174</v>
      </c>
      <c r="K631" s="32">
        <v>29</v>
      </c>
      <c r="L631" s="76" t="str">
        <f t="shared" si="21"/>
        <v/>
      </c>
    </row>
    <row r="632" spans="1:12" x14ac:dyDescent="0.25">
      <c r="A632" s="25" t="s">
        <v>194</v>
      </c>
      <c r="B632" s="26">
        <v>1150</v>
      </c>
      <c r="C632" s="26">
        <v>6</v>
      </c>
      <c r="D632" s="25" t="s">
        <v>44</v>
      </c>
      <c r="E632" s="27"/>
      <c r="F632" s="28">
        <v>12.8</v>
      </c>
      <c r="G632" s="29">
        <f t="shared" si="20"/>
        <v>2.1333333333333333</v>
      </c>
      <c r="H632" s="30" t="s">
        <v>328</v>
      </c>
      <c r="I632" s="30" t="s">
        <v>45</v>
      </c>
      <c r="J632" s="31">
        <v>390</v>
      </c>
      <c r="K632" s="32">
        <v>30</v>
      </c>
      <c r="L632" s="76" t="str">
        <f t="shared" si="21"/>
        <v/>
      </c>
    </row>
    <row r="633" spans="1:12" x14ac:dyDescent="0.25">
      <c r="A633" s="25" t="s">
        <v>576</v>
      </c>
      <c r="B633" s="26">
        <v>9</v>
      </c>
      <c r="C633" s="26">
        <v>12</v>
      </c>
      <c r="D633" s="25" t="s">
        <v>577</v>
      </c>
      <c r="E633" s="27"/>
      <c r="F633" s="28">
        <v>46</v>
      </c>
      <c r="G633" s="29">
        <f t="shared" si="20"/>
        <v>3.8333333333333335</v>
      </c>
      <c r="H633" s="30" t="s">
        <v>579</v>
      </c>
      <c r="I633" s="30" t="s">
        <v>580</v>
      </c>
      <c r="J633" s="31">
        <v>140</v>
      </c>
      <c r="K633" s="32">
        <v>20</v>
      </c>
      <c r="L633" s="76" t="str">
        <f t="shared" si="21"/>
        <v/>
      </c>
    </row>
    <row r="634" spans="1:12" x14ac:dyDescent="0.25">
      <c r="A634" s="25" t="s">
        <v>3687</v>
      </c>
      <c r="B634" s="26">
        <v>110</v>
      </c>
      <c r="C634" s="26">
        <v>12</v>
      </c>
      <c r="D634" s="25" t="s">
        <v>3688</v>
      </c>
      <c r="E634" s="27"/>
      <c r="F634" s="33">
        <v>60</v>
      </c>
      <c r="G634" s="34">
        <f t="shared" si="20"/>
        <v>5</v>
      </c>
      <c r="H634" s="30" t="s">
        <v>3689</v>
      </c>
      <c r="I634" s="30" t="s">
        <v>3690</v>
      </c>
      <c r="J634" s="31">
        <v>100</v>
      </c>
      <c r="K634" s="32">
        <v>25</v>
      </c>
      <c r="L634" s="76" t="str">
        <f t="shared" si="21"/>
        <v/>
      </c>
    </row>
    <row r="635" spans="1:12" x14ac:dyDescent="0.25">
      <c r="A635" s="25" t="s">
        <v>196</v>
      </c>
      <c r="B635" s="26">
        <v>291</v>
      </c>
      <c r="C635" s="26">
        <v>6</v>
      </c>
      <c r="D635" s="25" t="s">
        <v>138</v>
      </c>
      <c r="E635" s="27"/>
      <c r="F635" s="28">
        <v>18.8</v>
      </c>
      <c r="G635" s="29">
        <f t="shared" si="20"/>
        <v>3.1333333333333333</v>
      </c>
      <c r="H635" s="30" t="s">
        <v>96</v>
      </c>
      <c r="I635" s="30" t="s">
        <v>97</v>
      </c>
      <c r="J635" s="31">
        <v>275</v>
      </c>
      <c r="K635" s="32">
        <v>55</v>
      </c>
      <c r="L635" s="76" t="str">
        <f t="shared" si="21"/>
        <v/>
      </c>
    </row>
    <row r="636" spans="1:12" x14ac:dyDescent="0.25">
      <c r="A636" s="25" t="s">
        <v>190</v>
      </c>
      <c r="B636" s="26">
        <v>193</v>
      </c>
      <c r="C636" s="26">
        <v>6</v>
      </c>
      <c r="D636" s="25" t="s">
        <v>367</v>
      </c>
      <c r="E636" s="27"/>
      <c r="F636" s="28">
        <v>7.8</v>
      </c>
      <c r="G636" s="29">
        <f t="shared" si="20"/>
        <v>1.3</v>
      </c>
      <c r="H636" s="30" t="s">
        <v>327</v>
      </c>
      <c r="I636" s="30" t="s">
        <v>79</v>
      </c>
      <c r="J636" s="31">
        <v>496</v>
      </c>
      <c r="K636" s="32">
        <v>62</v>
      </c>
      <c r="L636" s="76" t="str">
        <f t="shared" si="21"/>
        <v/>
      </c>
    </row>
    <row r="637" spans="1:12" x14ac:dyDescent="0.25">
      <c r="A637" s="25" t="s">
        <v>193</v>
      </c>
      <c r="B637" s="26">
        <v>360</v>
      </c>
      <c r="C637" s="26">
        <v>6</v>
      </c>
      <c r="D637" s="25" t="s">
        <v>368</v>
      </c>
      <c r="E637" s="27"/>
      <c r="F637" s="28">
        <v>8.8000000000000007</v>
      </c>
      <c r="G637" s="29">
        <f t="shared" si="20"/>
        <v>1.4666666666666668</v>
      </c>
      <c r="H637" s="30" t="s">
        <v>106</v>
      </c>
      <c r="I637" s="30" t="s">
        <v>107</v>
      </c>
      <c r="J637" s="31">
        <v>496</v>
      </c>
      <c r="K637" s="32">
        <v>62</v>
      </c>
      <c r="L637" s="76" t="str">
        <f t="shared" si="21"/>
        <v/>
      </c>
    </row>
    <row r="638" spans="1:12" x14ac:dyDescent="0.25">
      <c r="A638" s="25" t="s">
        <v>186</v>
      </c>
      <c r="B638" s="26">
        <v>665</v>
      </c>
      <c r="C638" s="26">
        <v>6</v>
      </c>
      <c r="D638" s="25" t="s">
        <v>140</v>
      </c>
      <c r="E638" s="27"/>
      <c r="F638" s="28">
        <v>7.99</v>
      </c>
      <c r="G638" s="29">
        <f t="shared" si="20"/>
        <v>1.3316666666666668</v>
      </c>
      <c r="H638" s="30" t="s">
        <v>141</v>
      </c>
      <c r="I638" s="30" t="s">
        <v>142</v>
      </c>
      <c r="J638" s="31">
        <v>496</v>
      </c>
      <c r="K638" s="32">
        <v>62</v>
      </c>
      <c r="L638" s="76" t="str">
        <f t="shared" si="21"/>
        <v/>
      </c>
    </row>
    <row r="639" spans="1:12" x14ac:dyDescent="0.25">
      <c r="A639" s="25" t="s">
        <v>569</v>
      </c>
      <c r="B639" s="26">
        <v>503</v>
      </c>
      <c r="C639" s="26">
        <v>6</v>
      </c>
      <c r="D639" s="25" t="s">
        <v>578</v>
      </c>
      <c r="E639" s="27"/>
      <c r="F639" s="28">
        <v>7.99</v>
      </c>
      <c r="G639" s="28">
        <f t="shared" si="20"/>
        <v>1.3316666666666668</v>
      </c>
      <c r="H639" s="30" t="s">
        <v>570</v>
      </c>
      <c r="I639" s="30" t="s">
        <v>571</v>
      </c>
      <c r="J639" s="31">
        <v>496</v>
      </c>
      <c r="K639" s="32">
        <v>62</v>
      </c>
      <c r="L639" s="76" t="str">
        <f t="shared" si="21"/>
        <v/>
      </c>
    </row>
    <row r="640" spans="1:12" x14ac:dyDescent="0.25">
      <c r="A640" s="25" t="s">
        <v>224</v>
      </c>
      <c r="B640" s="26">
        <v>757</v>
      </c>
      <c r="C640" s="26">
        <v>12</v>
      </c>
      <c r="D640" s="25" t="s">
        <v>1075</v>
      </c>
      <c r="E640" s="27"/>
      <c r="F640" s="28">
        <v>14.65</v>
      </c>
      <c r="G640" s="29">
        <f t="shared" si="20"/>
        <v>1.2208333333333334</v>
      </c>
      <c r="H640" s="30" t="s">
        <v>323</v>
      </c>
      <c r="I640" s="30" t="s">
        <v>86</v>
      </c>
      <c r="J640" s="31">
        <v>369</v>
      </c>
      <c r="K640" s="32">
        <v>41</v>
      </c>
      <c r="L640" s="76" t="str">
        <f t="shared" si="21"/>
        <v/>
      </c>
    </row>
    <row r="641" spans="1:12" x14ac:dyDescent="0.25">
      <c r="A641" s="25" t="s">
        <v>187</v>
      </c>
      <c r="B641" s="26">
        <v>558</v>
      </c>
      <c r="C641" s="26">
        <v>12</v>
      </c>
      <c r="D641" s="25" t="s">
        <v>316</v>
      </c>
      <c r="E641" s="27"/>
      <c r="F641" s="28">
        <v>14.65</v>
      </c>
      <c r="G641" s="29">
        <f t="shared" si="20"/>
        <v>1.2208333333333334</v>
      </c>
      <c r="H641" s="30" t="s">
        <v>324</v>
      </c>
      <c r="I641" s="30" t="s">
        <v>143</v>
      </c>
      <c r="J641" s="31">
        <v>369</v>
      </c>
      <c r="K641" s="32">
        <v>41</v>
      </c>
      <c r="L641" s="76" t="str">
        <f t="shared" si="21"/>
        <v/>
      </c>
    </row>
    <row r="642" spans="1:12" x14ac:dyDescent="0.25">
      <c r="A642" s="25" t="s">
        <v>496</v>
      </c>
      <c r="B642" s="26">
        <v>715</v>
      </c>
      <c r="C642" s="26">
        <v>6</v>
      </c>
      <c r="D642" s="25" t="s">
        <v>497</v>
      </c>
      <c r="E642" s="27"/>
      <c r="F642" s="28">
        <v>13.2</v>
      </c>
      <c r="G642" s="29">
        <f t="shared" si="20"/>
        <v>2.1999999999999997</v>
      </c>
      <c r="H642" s="30" t="s">
        <v>498</v>
      </c>
      <c r="I642" s="30" t="s">
        <v>499</v>
      </c>
      <c r="J642" s="26">
        <v>220</v>
      </c>
      <c r="K642" s="32">
        <v>55</v>
      </c>
      <c r="L642" s="76" t="str">
        <f t="shared" si="21"/>
        <v/>
      </c>
    </row>
    <row r="643" spans="1:12" x14ac:dyDescent="0.25">
      <c r="A643" s="25" t="s">
        <v>188</v>
      </c>
      <c r="B643" s="26">
        <v>1078</v>
      </c>
      <c r="C643" s="26">
        <v>6</v>
      </c>
      <c r="D643" s="25" t="s">
        <v>14</v>
      </c>
      <c r="E643" s="27"/>
      <c r="F643" s="28">
        <v>13.2</v>
      </c>
      <c r="G643" s="29">
        <f t="shared" si="20"/>
        <v>2.1999999999999997</v>
      </c>
      <c r="H643" s="30" t="s">
        <v>325</v>
      </c>
      <c r="I643" s="30" t="s">
        <v>33</v>
      </c>
      <c r="J643" s="31">
        <v>205</v>
      </c>
      <c r="K643" s="32">
        <v>41</v>
      </c>
      <c r="L643" s="76" t="str">
        <f t="shared" si="21"/>
        <v/>
      </c>
    </row>
    <row r="644" spans="1:12" x14ac:dyDescent="0.25">
      <c r="A644" s="25" t="s">
        <v>189</v>
      </c>
      <c r="B644" s="26">
        <v>370</v>
      </c>
      <c r="C644" s="26">
        <v>6</v>
      </c>
      <c r="D644" s="25" t="s">
        <v>313</v>
      </c>
      <c r="E644" s="27"/>
      <c r="F644" s="28">
        <v>18.8</v>
      </c>
      <c r="G644" s="29">
        <f t="shared" si="20"/>
        <v>3.1333333333333333</v>
      </c>
      <c r="H644" s="30" t="s">
        <v>326</v>
      </c>
      <c r="I644" s="30" t="s">
        <v>15</v>
      </c>
      <c r="J644" s="31">
        <v>132</v>
      </c>
      <c r="K644" s="32">
        <v>33</v>
      </c>
      <c r="L644" s="76" t="str">
        <f t="shared" si="21"/>
        <v/>
      </c>
    </row>
    <row r="645" spans="1:12" x14ac:dyDescent="0.25">
      <c r="A645" s="25" t="s">
        <v>2257</v>
      </c>
      <c r="B645" s="26">
        <v>177</v>
      </c>
      <c r="C645" s="26">
        <v>6</v>
      </c>
      <c r="D645" s="25" t="s">
        <v>2412</v>
      </c>
      <c r="E645" s="27"/>
      <c r="F645" s="28">
        <v>23.6</v>
      </c>
      <c r="G645" s="29">
        <f t="shared" si="20"/>
        <v>3.9333333333333336</v>
      </c>
      <c r="H645" s="30" t="s">
        <v>2258</v>
      </c>
      <c r="I645" s="30" t="s">
        <v>2283</v>
      </c>
      <c r="J645" s="31">
        <v>104</v>
      </c>
      <c r="K645" s="32">
        <v>26</v>
      </c>
      <c r="L645" s="76" t="str">
        <f t="shared" si="21"/>
        <v/>
      </c>
    </row>
    <row r="646" spans="1:12" x14ac:dyDescent="0.25">
      <c r="A646" s="25" t="s">
        <v>192</v>
      </c>
      <c r="B646" s="26">
        <v>619</v>
      </c>
      <c r="C646" s="26">
        <v>6</v>
      </c>
      <c r="D646" s="25" t="s">
        <v>95</v>
      </c>
      <c r="E646" s="27"/>
      <c r="F646" s="28">
        <v>13.2</v>
      </c>
      <c r="G646" s="29">
        <f t="shared" si="20"/>
        <v>2.1999999999999997</v>
      </c>
      <c r="H646" s="30" t="s">
        <v>104</v>
      </c>
      <c r="I646" s="30" t="s">
        <v>105</v>
      </c>
      <c r="J646" s="31">
        <v>205</v>
      </c>
      <c r="K646" s="32">
        <v>41</v>
      </c>
      <c r="L646" s="76" t="str">
        <f t="shared" si="21"/>
        <v/>
      </c>
    </row>
    <row r="647" spans="1:12" x14ac:dyDescent="0.25">
      <c r="A647" s="25" t="s">
        <v>406</v>
      </c>
      <c r="B647" s="26">
        <v>203</v>
      </c>
      <c r="C647" s="26">
        <v>6</v>
      </c>
      <c r="D647" s="25" t="s">
        <v>407</v>
      </c>
      <c r="E647" s="27"/>
      <c r="F647" s="28">
        <v>19.5</v>
      </c>
      <c r="G647" s="29">
        <f t="shared" si="20"/>
        <v>3.25</v>
      </c>
      <c r="H647" s="30" t="s">
        <v>620</v>
      </c>
      <c r="I647" s="30" t="s">
        <v>414</v>
      </c>
      <c r="J647" s="31">
        <v>132</v>
      </c>
      <c r="K647" s="32">
        <v>33</v>
      </c>
      <c r="L647" s="76" t="str">
        <f t="shared" si="21"/>
        <v/>
      </c>
    </row>
    <row r="648" spans="1:12" x14ac:dyDescent="0.25">
      <c r="A648" s="25" t="s">
        <v>581</v>
      </c>
      <c r="B648" s="26">
        <v>360</v>
      </c>
      <c r="C648" s="26">
        <v>6</v>
      </c>
      <c r="D648" s="25" t="s">
        <v>582</v>
      </c>
      <c r="E648" s="27"/>
      <c r="F648" s="28">
        <v>12.95</v>
      </c>
      <c r="G648" s="28">
        <f t="shared" si="20"/>
        <v>2.1583333333333332</v>
      </c>
      <c r="H648" s="30" t="s">
        <v>583</v>
      </c>
      <c r="I648" s="30" t="s">
        <v>584</v>
      </c>
      <c r="J648" s="31">
        <v>220</v>
      </c>
      <c r="K648" s="32">
        <v>41</v>
      </c>
      <c r="L648" s="76" t="str">
        <f t="shared" si="21"/>
        <v/>
      </c>
    </row>
    <row r="649" spans="1:12" x14ac:dyDescent="0.25">
      <c r="A649" s="25" t="s">
        <v>529</v>
      </c>
      <c r="B649" s="26">
        <v>203</v>
      </c>
      <c r="C649" s="26">
        <v>6</v>
      </c>
      <c r="D649" s="25" t="s">
        <v>530</v>
      </c>
      <c r="E649" s="27"/>
      <c r="F649" s="28">
        <v>19.5</v>
      </c>
      <c r="G649" s="29">
        <f t="shared" si="20"/>
        <v>3.25</v>
      </c>
      <c r="H649" s="30" t="s">
        <v>1151</v>
      </c>
      <c r="I649" s="30" t="s">
        <v>531</v>
      </c>
      <c r="J649" s="31">
        <v>160</v>
      </c>
      <c r="K649" s="32">
        <v>40</v>
      </c>
      <c r="L649" s="76" t="str">
        <f t="shared" si="21"/>
        <v/>
      </c>
    </row>
    <row r="650" spans="1:12" x14ac:dyDescent="0.25">
      <c r="A650" s="25" t="s">
        <v>191</v>
      </c>
      <c r="B650" s="26">
        <v>391</v>
      </c>
      <c r="C650" s="26">
        <v>6</v>
      </c>
      <c r="D650" s="25" t="s">
        <v>968</v>
      </c>
      <c r="E650" s="27"/>
      <c r="F650" s="28">
        <v>18.8</v>
      </c>
      <c r="G650" s="29">
        <f t="shared" si="20"/>
        <v>3.1333333333333333</v>
      </c>
      <c r="H650" s="30" t="s">
        <v>98</v>
      </c>
      <c r="I650" s="30" t="s">
        <v>99</v>
      </c>
      <c r="J650" s="31">
        <v>270</v>
      </c>
      <c r="K650" s="32">
        <v>54</v>
      </c>
      <c r="L650" s="76" t="str">
        <f t="shared" si="21"/>
        <v/>
      </c>
    </row>
    <row r="651" spans="1:12" x14ac:dyDescent="0.25">
      <c r="A651" s="25" t="s">
        <v>371</v>
      </c>
      <c r="B651" s="26">
        <v>155</v>
      </c>
      <c r="C651" s="26">
        <v>12</v>
      </c>
      <c r="D651" s="25" t="s">
        <v>372</v>
      </c>
      <c r="E651" s="27"/>
      <c r="F651" s="28">
        <v>38.799999999999997</v>
      </c>
      <c r="G651" s="29">
        <f t="shared" si="20"/>
        <v>3.2333333333333329</v>
      </c>
      <c r="H651" s="30" t="s">
        <v>373</v>
      </c>
      <c r="I651" s="30" t="s">
        <v>1078</v>
      </c>
      <c r="J651" s="31">
        <v>140</v>
      </c>
      <c r="K651" s="32">
        <v>35</v>
      </c>
      <c r="L651" s="76" t="str">
        <f t="shared" si="21"/>
        <v/>
      </c>
    </row>
    <row r="652" spans="1:12" x14ac:dyDescent="0.25">
      <c r="A652" s="25" t="s">
        <v>1379</v>
      </c>
      <c r="B652" s="26">
        <v>102</v>
      </c>
      <c r="C652" s="26">
        <v>12</v>
      </c>
      <c r="D652" s="25" t="s">
        <v>1381</v>
      </c>
      <c r="E652" s="27"/>
      <c r="F652" s="28">
        <v>38.799999999999997</v>
      </c>
      <c r="G652" s="29">
        <f t="shared" si="20"/>
        <v>3.2333333333333329</v>
      </c>
      <c r="H652" s="30" t="s">
        <v>1387</v>
      </c>
      <c r="I652" s="30" t="s">
        <v>1388</v>
      </c>
      <c r="J652" s="31">
        <v>140</v>
      </c>
      <c r="K652" s="32">
        <v>35</v>
      </c>
      <c r="L652" s="76" t="str">
        <f t="shared" si="21"/>
        <v/>
      </c>
    </row>
    <row r="653" spans="1:12" x14ac:dyDescent="0.25">
      <c r="A653" s="25" t="s">
        <v>1380</v>
      </c>
      <c r="B653" s="26">
        <v>126</v>
      </c>
      <c r="C653" s="26">
        <v>12</v>
      </c>
      <c r="D653" s="25" t="s">
        <v>1402</v>
      </c>
      <c r="E653" s="27"/>
      <c r="F653" s="28">
        <v>38.799999999999997</v>
      </c>
      <c r="G653" s="29">
        <f t="shared" si="20"/>
        <v>3.2333333333333329</v>
      </c>
      <c r="H653" s="30" t="s">
        <v>1389</v>
      </c>
      <c r="I653" s="30" t="s">
        <v>1390</v>
      </c>
      <c r="J653" s="31">
        <v>140</v>
      </c>
      <c r="K653" s="32">
        <v>35</v>
      </c>
      <c r="L653" s="76" t="str">
        <f t="shared" si="21"/>
        <v/>
      </c>
    </row>
    <row r="654" spans="1:12" x14ac:dyDescent="0.25">
      <c r="A654" s="25" t="s">
        <v>197</v>
      </c>
      <c r="B654" s="26">
        <v>305</v>
      </c>
      <c r="C654" s="26">
        <v>6</v>
      </c>
      <c r="D654" s="25" t="s">
        <v>139</v>
      </c>
      <c r="E654" s="27"/>
      <c r="F654" s="28">
        <v>16.25</v>
      </c>
      <c r="G654" s="29">
        <f t="shared" si="20"/>
        <v>2.7083333333333335</v>
      </c>
      <c r="H654" s="30" t="s">
        <v>102</v>
      </c>
      <c r="I654" s="30" t="s">
        <v>103</v>
      </c>
      <c r="J654" s="31">
        <v>380</v>
      </c>
      <c r="K654" s="32">
        <v>76</v>
      </c>
      <c r="L654" s="76" t="str">
        <f t="shared" si="21"/>
        <v/>
      </c>
    </row>
    <row r="655" spans="1:12" x14ac:dyDescent="0.25">
      <c r="A655" s="25" t="s">
        <v>572</v>
      </c>
      <c r="B655" s="26">
        <v>276</v>
      </c>
      <c r="C655" s="26">
        <v>6</v>
      </c>
      <c r="D655" s="25" t="s">
        <v>573</v>
      </c>
      <c r="E655" s="27"/>
      <c r="F655" s="28">
        <v>16.649999999999999</v>
      </c>
      <c r="G655" s="28">
        <f t="shared" si="20"/>
        <v>2.7749999999999999</v>
      </c>
      <c r="H655" s="30" t="s">
        <v>574</v>
      </c>
      <c r="I655" s="30" t="s">
        <v>575</v>
      </c>
      <c r="J655" s="31">
        <v>222</v>
      </c>
      <c r="K655" s="32">
        <v>37</v>
      </c>
      <c r="L655" s="76" t="str">
        <f t="shared" si="21"/>
        <v/>
      </c>
    </row>
    <row r="656" spans="1:12" x14ac:dyDescent="0.25">
      <c r="A656" s="25" t="s">
        <v>2386</v>
      </c>
      <c r="B656" s="26">
        <v>140</v>
      </c>
      <c r="C656" s="26">
        <v>6</v>
      </c>
      <c r="D656" s="25" t="s">
        <v>2387</v>
      </c>
      <c r="E656" s="27"/>
      <c r="F656" s="28">
        <v>30</v>
      </c>
      <c r="G656" s="28">
        <f t="shared" si="20"/>
        <v>5</v>
      </c>
      <c r="H656" s="30" t="s">
        <v>2388</v>
      </c>
      <c r="I656" s="30" t="s">
        <v>2442</v>
      </c>
      <c r="J656" s="31">
        <v>476</v>
      </c>
      <c r="K656" s="32">
        <v>68</v>
      </c>
      <c r="L656" s="76" t="str">
        <f t="shared" si="21"/>
        <v/>
      </c>
    </row>
    <row r="657" spans="1:12" x14ac:dyDescent="0.25">
      <c r="A657" s="25" t="s">
        <v>247</v>
      </c>
      <c r="B657" s="26">
        <v>1361</v>
      </c>
      <c r="C657" s="26">
        <v>6</v>
      </c>
      <c r="D657" s="25" t="s">
        <v>244</v>
      </c>
      <c r="E657" s="27"/>
      <c r="F657" s="28">
        <v>18.8</v>
      </c>
      <c r="G657" s="29">
        <f t="shared" si="20"/>
        <v>3.1333333333333333</v>
      </c>
      <c r="H657" s="30" t="s">
        <v>245</v>
      </c>
      <c r="I657" s="30" t="s">
        <v>246</v>
      </c>
      <c r="J657" s="31">
        <v>608</v>
      </c>
      <c r="K657" s="32">
        <v>76</v>
      </c>
      <c r="L657" s="76" t="str">
        <f t="shared" si="21"/>
        <v/>
      </c>
    </row>
    <row r="658" spans="1:12" x14ac:dyDescent="0.25">
      <c r="A658" s="25" t="s">
        <v>404</v>
      </c>
      <c r="B658" s="26">
        <v>0</v>
      </c>
      <c r="C658" s="26">
        <v>6</v>
      </c>
      <c r="D658" s="25" t="s">
        <v>405</v>
      </c>
      <c r="E658" s="27"/>
      <c r="F658" s="28">
        <v>18.8</v>
      </c>
      <c r="G658" s="29">
        <f t="shared" si="20"/>
        <v>3.1333333333333333</v>
      </c>
      <c r="H658" s="30" t="s">
        <v>3714</v>
      </c>
      <c r="I658" s="30" t="s">
        <v>3715</v>
      </c>
      <c r="J658" s="31">
        <v>608</v>
      </c>
      <c r="K658" s="32">
        <v>76</v>
      </c>
      <c r="L658" s="76" t="str">
        <f t="shared" si="21"/>
        <v/>
      </c>
    </row>
    <row r="659" spans="1:12" x14ac:dyDescent="0.25">
      <c r="A659" s="25" t="s">
        <v>238</v>
      </c>
      <c r="B659" s="26">
        <v>368</v>
      </c>
      <c r="C659" s="26">
        <v>6</v>
      </c>
      <c r="D659" s="25" t="s">
        <v>621</v>
      </c>
      <c r="E659" s="27"/>
      <c r="F659" s="28">
        <v>30.85</v>
      </c>
      <c r="G659" s="29">
        <f t="shared" si="20"/>
        <v>5.1416666666666666</v>
      </c>
      <c r="H659" s="30" t="s">
        <v>298</v>
      </c>
      <c r="I659" s="30" t="s">
        <v>242</v>
      </c>
      <c r="J659" s="31">
        <v>350</v>
      </c>
      <c r="K659" s="32">
        <v>70</v>
      </c>
      <c r="L659" s="76" t="str">
        <f t="shared" si="21"/>
        <v/>
      </c>
    </row>
    <row r="660" spans="1:12" x14ac:dyDescent="0.25">
      <c r="A660" s="25" t="s">
        <v>360</v>
      </c>
      <c r="B660" s="26">
        <v>259</v>
      </c>
      <c r="C660" s="26">
        <v>6</v>
      </c>
      <c r="D660" s="25" t="s">
        <v>361</v>
      </c>
      <c r="E660" s="27"/>
      <c r="F660" s="28">
        <v>30.85</v>
      </c>
      <c r="G660" s="29">
        <f t="shared" si="20"/>
        <v>5.1416666666666666</v>
      </c>
      <c r="H660" s="30" t="s">
        <v>363</v>
      </c>
      <c r="I660" s="30" t="s">
        <v>364</v>
      </c>
      <c r="J660" s="31">
        <v>350</v>
      </c>
      <c r="K660" s="32">
        <v>70</v>
      </c>
      <c r="L660" s="76" t="str">
        <f t="shared" si="21"/>
        <v/>
      </c>
    </row>
    <row r="661" spans="1:12" x14ac:dyDescent="0.25">
      <c r="A661" s="25" t="s">
        <v>198</v>
      </c>
      <c r="B661" s="26">
        <v>176</v>
      </c>
      <c r="C661" s="26">
        <v>6</v>
      </c>
      <c r="D661" s="25" t="s">
        <v>366</v>
      </c>
      <c r="E661" s="27"/>
      <c r="F661" s="28">
        <v>22.15</v>
      </c>
      <c r="G661" s="29">
        <f t="shared" si="20"/>
        <v>3.6916666666666664</v>
      </c>
      <c r="H661" s="30" t="s">
        <v>100</v>
      </c>
      <c r="I661" s="30" t="s">
        <v>101</v>
      </c>
      <c r="J661" s="31">
        <v>315</v>
      </c>
      <c r="K661" s="32">
        <v>35</v>
      </c>
      <c r="L661" s="76" t="str">
        <f t="shared" si="21"/>
        <v/>
      </c>
    </row>
    <row r="662" spans="1:12" x14ac:dyDescent="0.25">
      <c r="A662" s="25" t="s">
        <v>1384</v>
      </c>
      <c r="B662" s="26">
        <v>37</v>
      </c>
      <c r="C662" s="26">
        <v>6</v>
      </c>
      <c r="D662" s="25" t="s">
        <v>1382</v>
      </c>
      <c r="E662" s="27"/>
      <c r="F662" s="28">
        <v>24.4</v>
      </c>
      <c r="G662" s="29">
        <f t="shared" si="20"/>
        <v>4.0666666666666664</v>
      </c>
      <c r="H662" s="30" t="s">
        <v>1391</v>
      </c>
      <c r="I662" s="30" t="s">
        <v>1392</v>
      </c>
      <c r="J662" s="31">
        <v>414</v>
      </c>
      <c r="K662" s="32">
        <v>69</v>
      </c>
      <c r="L662" s="76" t="str">
        <f t="shared" si="21"/>
        <v/>
      </c>
    </row>
    <row r="663" spans="1:12" x14ac:dyDescent="0.25">
      <c r="A663" s="25" t="s">
        <v>374</v>
      </c>
      <c r="B663" s="26">
        <v>274</v>
      </c>
      <c r="C663" s="26">
        <v>6</v>
      </c>
      <c r="D663" s="25" t="s">
        <v>375</v>
      </c>
      <c r="E663" s="27"/>
      <c r="F663" s="28">
        <v>22.4</v>
      </c>
      <c r="G663" s="29">
        <f t="shared" si="20"/>
        <v>3.7333333333333329</v>
      </c>
      <c r="H663" s="30" t="s">
        <v>377</v>
      </c>
      <c r="I663" s="30" t="s">
        <v>376</v>
      </c>
      <c r="J663" s="31">
        <v>315</v>
      </c>
      <c r="K663" s="32">
        <v>63</v>
      </c>
      <c r="L663" s="76" t="str">
        <f t="shared" si="21"/>
        <v/>
      </c>
    </row>
    <row r="664" spans="1:12" x14ac:dyDescent="0.25">
      <c r="A664" s="25" t="s">
        <v>195</v>
      </c>
      <c r="B664" s="26">
        <v>481</v>
      </c>
      <c r="C664" s="26">
        <v>6</v>
      </c>
      <c r="D664" s="25" t="s">
        <v>314</v>
      </c>
      <c r="E664" s="27"/>
      <c r="F664" s="28">
        <v>12.95</v>
      </c>
      <c r="G664" s="29">
        <f t="shared" si="20"/>
        <v>2.1583333333333332</v>
      </c>
      <c r="H664" s="30" t="s">
        <v>329</v>
      </c>
      <c r="I664" s="30" t="s">
        <v>330</v>
      </c>
      <c r="J664" s="31">
        <v>220</v>
      </c>
      <c r="K664" s="32">
        <v>44</v>
      </c>
      <c r="L664" s="76" t="str">
        <f t="shared" si="21"/>
        <v/>
      </c>
    </row>
    <row r="665" spans="1:12" x14ac:dyDescent="0.25">
      <c r="A665" s="25" t="s">
        <v>438</v>
      </c>
      <c r="B665" s="26">
        <v>214</v>
      </c>
      <c r="C665" s="26">
        <v>6</v>
      </c>
      <c r="D665" s="25" t="s">
        <v>439</v>
      </c>
      <c r="E665" s="27"/>
      <c r="F665" s="28">
        <v>19.600000000000001</v>
      </c>
      <c r="G665" s="29">
        <f t="shared" si="20"/>
        <v>3.2666666666666671</v>
      </c>
      <c r="H665" s="30" t="s">
        <v>444</v>
      </c>
      <c r="I665" s="30" t="s">
        <v>445</v>
      </c>
      <c r="J665" s="31">
        <v>160</v>
      </c>
      <c r="K665" s="32">
        <v>40</v>
      </c>
      <c r="L665" s="76" t="str">
        <f t="shared" si="21"/>
        <v/>
      </c>
    </row>
    <row r="666" spans="1:12" x14ac:dyDescent="0.25">
      <c r="A666" s="25" t="s">
        <v>845</v>
      </c>
      <c r="B666" s="26">
        <v>513</v>
      </c>
      <c r="C666" s="26">
        <v>12</v>
      </c>
      <c r="D666" s="25" t="s">
        <v>1272</v>
      </c>
      <c r="E666" s="27"/>
      <c r="F666" s="28">
        <v>20.95</v>
      </c>
      <c r="G666" s="29">
        <f t="shared" si="20"/>
        <v>1.7458333333333333</v>
      </c>
      <c r="H666" s="30" t="s">
        <v>877</v>
      </c>
      <c r="I666" s="30" t="s">
        <v>878</v>
      </c>
      <c r="J666" s="31">
        <v>180</v>
      </c>
      <c r="K666" s="32">
        <v>30</v>
      </c>
      <c r="L666" s="76" t="str">
        <f t="shared" si="21"/>
        <v/>
      </c>
    </row>
    <row r="667" spans="1:12" x14ac:dyDescent="0.25">
      <c r="A667" s="25" t="s">
        <v>846</v>
      </c>
      <c r="B667" s="26">
        <v>289</v>
      </c>
      <c r="C667" s="26">
        <v>6</v>
      </c>
      <c r="D667" s="25" t="s">
        <v>847</v>
      </c>
      <c r="E667" s="27"/>
      <c r="F667" s="28">
        <v>14.65</v>
      </c>
      <c r="G667" s="29">
        <f t="shared" si="20"/>
        <v>2.4416666666666669</v>
      </c>
      <c r="H667" s="30" t="s">
        <v>873</v>
      </c>
      <c r="I667" s="30" t="s">
        <v>874</v>
      </c>
      <c r="J667" s="31">
        <v>434</v>
      </c>
      <c r="K667" s="32">
        <v>62</v>
      </c>
      <c r="L667" s="76" t="str">
        <f t="shared" si="21"/>
        <v/>
      </c>
    </row>
    <row r="668" spans="1:12" x14ac:dyDescent="0.25">
      <c r="A668" s="25" t="s">
        <v>849</v>
      </c>
      <c r="B668" s="26">
        <v>556</v>
      </c>
      <c r="C668" s="26">
        <v>6</v>
      </c>
      <c r="D668" s="25" t="s">
        <v>848</v>
      </c>
      <c r="E668" s="27"/>
      <c r="F668" s="28">
        <v>14.65</v>
      </c>
      <c r="G668" s="29">
        <f t="shared" si="20"/>
        <v>2.4416666666666669</v>
      </c>
      <c r="H668" s="30" t="s">
        <v>875</v>
      </c>
      <c r="I668" s="30" t="s">
        <v>876</v>
      </c>
      <c r="J668" s="31">
        <v>434</v>
      </c>
      <c r="K668" s="32">
        <v>62</v>
      </c>
      <c r="L668" s="76" t="str">
        <f t="shared" si="21"/>
        <v/>
      </c>
    </row>
    <row r="669" spans="1:12" x14ac:dyDescent="0.25">
      <c r="A669" s="25" t="s">
        <v>969</v>
      </c>
      <c r="B669" s="26">
        <v>131</v>
      </c>
      <c r="C669" s="26">
        <v>6</v>
      </c>
      <c r="D669" s="25" t="s">
        <v>966</v>
      </c>
      <c r="E669" s="27"/>
      <c r="F669" s="28">
        <v>21.5</v>
      </c>
      <c r="G669" s="29">
        <f t="shared" si="20"/>
        <v>3.5833333333333335</v>
      </c>
      <c r="H669" s="30" t="s">
        <v>975</v>
      </c>
      <c r="I669" s="30" t="s">
        <v>976</v>
      </c>
      <c r="J669" s="31">
        <v>160</v>
      </c>
      <c r="K669" s="32">
        <v>40</v>
      </c>
      <c r="L669" s="76" t="str">
        <f t="shared" si="21"/>
        <v/>
      </c>
    </row>
    <row r="670" spans="1:12" x14ac:dyDescent="0.25">
      <c r="A670" s="25" t="s">
        <v>967</v>
      </c>
      <c r="B670" s="26">
        <v>154</v>
      </c>
      <c r="C670" s="26">
        <v>6</v>
      </c>
      <c r="D670" s="25" t="s">
        <v>970</v>
      </c>
      <c r="E670" s="27"/>
      <c r="F670" s="28">
        <v>21.5</v>
      </c>
      <c r="G670" s="29">
        <f t="shared" si="20"/>
        <v>3.5833333333333335</v>
      </c>
      <c r="H670" s="30" t="s">
        <v>977</v>
      </c>
      <c r="I670" s="30" t="s">
        <v>978</v>
      </c>
      <c r="J670" s="31">
        <v>160</v>
      </c>
      <c r="K670" s="32">
        <v>40</v>
      </c>
      <c r="L670" s="76" t="str">
        <f t="shared" si="21"/>
        <v/>
      </c>
    </row>
    <row r="671" spans="1:12" x14ac:dyDescent="0.25">
      <c r="A671" s="25" t="s">
        <v>1193</v>
      </c>
      <c r="B671" s="26">
        <v>3</v>
      </c>
      <c r="C671" s="26">
        <v>6</v>
      </c>
      <c r="D671" s="25" t="s">
        <v>1211</v>
      </c>
      <c r="E671" s="27"/>
      <c r="F671" s="28">
        <v>29.5</v>
      </c>
      <c r="G671" s="29">
        <f t="shared" si="20"/>
        <v>4.916666666666667</v>
      </c>
      <c r="H671" s="30" t="s">
        <v>1214</v>
      </c>
      <c r="I671" s="30" t="s">
        <v>1198</v>
      </c>
      <c r="J671" s="31">
        <v>408</v>
      </c>
      <c r="K671" s="32">
        <v>34</v>
      </c>
      <c r="L671" s="76" t="str">
        <f t="shared" si="21"/>
        <v/>
      </c>
    </row>
    <row r="672" spans="1:12" x14ac:dyDescent="0.25">
      <c r="A672" s="25" t="s">
        <v>1194</v>
      </c>
      <c r="B672" s="26">
        <v>197</v>
      </c>
      <c r="C672" s="26">
        <v>12</v>
      </c>
      <c r="D672" s="25" t="s">
        <v>1210</v>
      </c>
      <c r="E672" s="27"/>
      <c r="F672" s="28">
        <v>56.8</v>
      </c>
      <c r="G672" s="29">
        <f t="shared" si="20"/>
        <v>4.7333333333333334</v>
      </c>
      <c r="H672" s="30" t="s">
        <v>1215</v>
      </c>
      <c r="I672" s="30" t="s">
        <v>1199</v>
      </c>
      <c r="J672" s="31">
        <v>238</v>
      </c>
      <c r="K672" s="32">
        <v>34</v>
      </c>
      <c r="L672" s="76" t="str">
        <f t="shared" si="21"/>
        <v/>
      </c>
    </row>
    <row r="673" spans="1:12" x14ac:dyDescent="0.25">
      <c r="A673" s="25" t="s">
        <v>1195</v>
      </c>
      <c r="B673" s="26">
        <v>376</v>
      </c>
      <c r="C673" s="26">
        <v>6</v>
      </c>
      <c r="D673" s="25" t="s">
        <v>1209</v>
      </c>
      <c r="E673" s="27"/>
      <c r="F673" s="28">
        <v>28.4</v>
      </c>
      <c r="G673" s="29">
        <f t="shared" si="20"/>
        <v>4.7333333333333334</v>
      </c>
      <c r="H673" s="30" t="s">
        <v>1216</v>
      </c>
      <c r="I673" s="30" t="s">
        <v>1200</v>
      </c>
      <c r="J673" s="31">
        <v>442</v>
      </c>
      <c r="K673" s="32">
        <v>34</v>
      </c>
      <c r="L673" s="76" t="str">
        <f t="shared" si="21"/>
        <v/>
      </c>
    </row>
    <row r="674" spans="1:12" x14ac:dyDescent="0.25">
      <c r="A674" s="25" t="s">
        <v>1203</v>
      </c>
      <c r="B674" s="26">
        <v>22</v>
      </c>
      <c r="C674" s="26">
        <v>12</v>
      </c>
      <c r="D674" s="25" t="s">
        <v>1196</v>
      </c>
      <c r="E674" s="27"/>
      <c r="F674" s="28">
        <v>60.4</v>
      </c>
      <c r="G674" s="29">
        <f t="shared" si="20"/>
        <v>5.0333333333333332</v>
      </c>
      <c r="H674" s="30" t="s">
        <v>1246</v>
      </c>
      <c r="I674" s="30" t="s">
        <v>1201</v>
      </c>
      <c r="J674" s="31">
        <v>150</v>
      </c>
      <c r="K674" s="32">
        <v>30</v>
      </c>
      <c r="L674" s="76" t="str">
        <f t="shared" si="21"/>
        <v/>
      </c>
    </row>
    <row r="675" spans="1:12" x14ac:dyDescent="0.25">
      <c r="A675" s="25" t="s">
        <v>1204</v>
      </c>
      <c r="B675" s="26">
        <v>80</v>
      </c>
      <c r="C675" s="26">
        <v>12</v>
      </c>
      <c r="D675" s="25" t="s">
        <v>1197</v>
      </c>
      <c r="E675" s="27"/>
      <c r="F675" s="28">
        <v>37.4</v>
      </c>
      <c r="G675" s="29">
        <f t="shared" si="20"/>
        <v>3.1166666666666667</v>
      </c>
      <c r="H675" s="30" t="s">
        <v>1217</v>
      </c>
      <c r="I675" s="30" t="s">
        <v>1202</v>
      </c>
      <c r="J675" s="31">
        <v>125</v>
      </c>
      <c r="K675" s="32">
        <v>25</v>
      </c>
      <c r="L675" s="76" t="str">
        <f t="shared" si="21"/>
        <v/>
      </c>
    </row>
    <row r="676" spans="1:12" x14ac:dyDescent="0.25">
      <c r="A676" s="25" t="s">
        <v>2378</v>
      </c>
      <c r="B676" s="26">
        <v>34</v>
      </c>
      <c r="C676" s="26">
        <v>6</v>
      </c>
      <c r="D676" s="25" t="s">
        <v>2377</v>
      </c>
      <c r="E676" s="27"/>
      <c r="F676" s="28">
        <v>33.799999999999997</v>
      </c>
      <c r="G676" s="29">
        <f t="shared" si="20"/>
        <v>5.6333333333333329</v>
      </c>
      <c r="H676" s="30" t="s">
        <v>2379</v>
      </c>
      <c r="I676" s="30" t="s">
        <v>2413</v>
      </c>
      <c r="J676" s="31">
        <v>408</v>
      </c>
      <c r="K676" s="32">
        <v>34</v>
      </c>
      <c r="L676" s="76" t="str">
        <f t="shared" si="21"/>
        <v/>
      </c>
    </row>
    <row r="677" spans="1:12" x14ac:dyDescent="0.25">
      <c r="A677" s="25" t="s">
        <v>1314</v>
      </c>
      <c r="B677" s="26">
        <v>544</v>
      </c>
      <c r="C677" s="26">
        <v>6</v>
      </c>
      <c r="D677" s="25" t="s">
        <v>1315</v>
      </c>
      <c r="E677" s="27"/>
      <c r="F677" s="28">
        <v>22.4</v>
      </c>
      <c r="G677" s="29">
        <f t="shared" si="20"/>
        <v>3.7333333333333329</v>
      </c>
      <c r="H677" s="30" t="s">
        <v>1316</v>
      </c>
      <c r="I677" s="30" t="s">
        <v>1317</v>
      </c>
      <c r="J677" s="31">
        <v>476</v>
      </c>
      <c r="K677" s="32">
        <v>68</v>
      </c>
      <c r="L677" s="76" t="str">
        <f t="shared" si="21"/>
        <v/>
      </c>
    </row>
    <row r="678" spans="1:12" x14ac:dyDescent="0.25">
      <c r="A678" s="25" t="s">
        <v>1318</v>
      </c>
      <c r="B678" s="26">
        <v>479</v>
      </c>
      <c r="C678" s="26">
        <v>6</v>
      </c>
      <c r="D678" s="25" t="s">
        <v>1319</v>
      </c>
      <c r="E678" s="27"/>
      <c r="F678" s="28">
        <v>23.6</v>
      </c>
      <c r="G678" s="29">
        <f t="shared" si="20"/>
        <v>3.9333333333333336</v>
      </c>
      <c r="H678" s="30" t="s">
        <v>1320</v>
      </c>
      <c r="I678" s="30" t="s">
        <v>1321</v>
      </c>
      <c r="J678" s="31">
        <v>532</v>
      </c>
      <c r="K678" s="32">
        <v>76</v>
      </c>
      <c r="L678" s="76" t="str">
        <f t="shared" si="21"/>
        <v/>
      </c>
    </row>
    <row r="679" spans="1:12" x14ac:dyDescent="0.25">
      <c r="A679" s="25" t="s">
        <v>1322</v>
      </c>
      <c r="B679" s="26">
        <v>107</v>
      </c>
      <c r="C679" s="26">
        <v>6</v>
      </c>
      <c r="D679" s="25" t="s">
        <v>1323</v>
      </c>
      <c r="E679" s="27"/>
      <c r="F679" s="28">
        <v>21.25</v>
      </c>
      <c r="G679" s="29">
        <f t="shared" si="20"/>
        <v>3.5416666666666665</v>
      </c>
      <c r="H679" s="30" t="s">
        <v>1324</v>
      </c>
      <c r="I679" s="30" t="s">
        <v>1325</v>
      </c>
      <c r="J679" s="31">
        <v>442</v>
      </c>
      <c r="K679" s="32">
        <v>34</v>
      </c>
      <c r="L679" s="76" t="str">
        <f t="shared" si="21"/>
        <v/>
      </c>
    </row>
    <row r="680" spans="1:12" x14ac:dyDescent="0.25">
      <c r="A680" s="25" t="s">
        <v>1326</v>
      </c>
      <c r="B680" s="26">
        <v>271</v>
      </c>
      <c r="C680" s="26">
        <v>6</v>
      </c>
      <c r="D680" s="25" t="s">
        <v>1327</v>
      </c>
      <c r="E680" s="27"/>
      <c r="F680" s="28">
        <v>16.649999999999999</v>
      </c>
      <c r="G680" s="29">
        <f t="shared" si="20"/>
        <v>2.7749999999999999</v>
      </c>
      <c r="H680" s="30" t="s">
        <v>1328</v>
      </c>
      <c r="I680" s="30" t="s">
        <v>1329</v>
      </c>
      <c r="J680" s="31">
        <v>372</v>
      </c>
      <c r="K680" s="32">
        <v>62</v>
      </c>
      <c r="L680" s="76" t="str">
        <f t="shared" si="21"/>
        <v/>
      </c>
    </row>
    <row r="681" spans="1:12" x14ac:dyDescent="0.25">
      <c r="A681" s="25" t="s">
        <v>249</v>
      </c>
      <c r="B681" s="26">
        <v>1120</v>
      </c>
      <c r="C681" s="26">
        <v>12</v>
      </c>
      <c r="D681" s="25" t="s">
        <v>250</v>
      </c>
      <c r="E681" s="27"/>
      <c r="F681" s="28">
        <v>11.4</v>
      </c>
      <c r="G681" s="29">
        <f t="shared" si="20"/>
        <v>0.95000000000000007</v>
      </c>
      <c r="H681" s="30" t="s">
        <v>251</v>
      </c>
      <c r="I681" s="30" t="s">
        <v>297</v>
      </c>
      <c r="J681" s="31">
        <v>168</v>
      </c>
      <c r="K681" s="32">
        <v>42</v>
      </c>
      <c r="L681" s="76" t="str">
        <f t="shared" si="21"/>
        <v/>
      </c>
    </row>
    <row r="682" spans="1:12" x14ac:dyDescent="0.25">
      <c r="A682" s="25" t="s">
        <v>3585</v>
      </c>
      <c r="B682" s="26">
        <v>57</v>
      </c>
      <c r="C682" s="26">
        <v>12</v>
      </c>
      <c r="D682" s="25" t="s">
        <v>3633</v>
      </c>
      <c r="E682" s="27"/>
      <c r="F682" s="28">
        <v>6.96</v>
      </c>
      <c r="G682" s="29">
        <f t="shared" si="20"/>
        <v>0.57999999999999996</v>
      </c>
      <c r="H682" s="30" t="s">
        <v>3635</v>
      </c>
      <c r="I682" s="30" t="s">
        <v>3634</v>
      </c>
      <c r="J682" s="31">
        <v>150</v>
      </c>
      <c r="K682" s="32">
        <v>30</v>
      </c>
      <c r="L682" s="76" t="str">
        <f t="shared" si="21"/>
        <v/>
      </c>
    </row>
    <row r="683" spans="1:12" x14ac:dyDescent="0.25">
      <c r="A683" s="25" t="s">
        <v>3140</v>
      </c>
      <c r="B683" s="26">
        <v>97</v>
      </c>
      <c r="C683" s="26">
        <v>12</v>
      </c>
      <c r="D683" s="25" t="s">
        <v>3141</v>
      </c>
      <c r="E683" s="27"/>
      <c r="F683" s="33">
        <v>7.99</v>
      </c>
      <c r="G683" s="34">
        <f t="shared" si="20"/>
        <v>0.66583333333333339</v>
      </c>
      <c r="H683" s="30" t="s">
        <v>3142</v>
      </c>
      <c r="I683" s="30" t="s">
        <v>3143</v>
      </c>
      <c r="J683" s="31">
        <v>150</v>
      </c>
      <c r="K683" s="32">
        <v>30</v>
      </c>
      <c r="L683" s="76" t="str">
        <f t="shared" si="21"/>
        <v/>
      </c>
    </row>
    <row r="684" spans="1:12" x14ac:dyDescent="0.25">
      <c r="A684" s="25" t="s">
        <v>3144</v>
      </c>
      <c r="B684" s="26">
        <v>76</v>
      </c>
      <c r="C684" s="26">
        <v>12</v>
      </c>
      <c r="D684" s="25" t="s">
        <v>3145</v>
      </c>
      <c r="E684" s="31"/>
      <c r="F684" s="33">
        <v>7.99</v>
      </c>
      <c r="G684" s="34">
        <f t="shared" si="20"/>
        <v>0.66583333333333339</v>
      </c>
      <c r="H684" s="30" t="s">
        <v>3146</v>
      </c>
      <c r="I684" s="30" t="s">
        <v>3147</v>
      </c>
      <c r="J684" s="31">
        <v>150</v>
      </c>
      <c r="K684" s="32">
        <v>30</v>
      </c>
      <c r="L684" s="76" t="str">
        <f t="shared" si="21"/>
        <v/>
      </c>
    </row>
    <row r="685" spans="1:12" x14ac:dyDescent="0.25">
      <c r="A685" s="25" t="s">
        <v>3583</v>
      </c>
      <c r="B685" s="26">
        <v>64</v>
      </c>
      <c r="C685" s="26">
        <v>12</v>
      </c>
      <c r="D685" s="25" t="s">
        <v>3584</v>
      </c>
      <c r="E685" s="31"/>
      <c r="F685" s="33">
        <v>13.8</v>
      </c>
      <c r="G685" s="34">
        <f t="shared" ref="G685:G747" si="22">F685/C685</f>
        <v>1.1500000000000001</v>
      </c>
      <c r="H685" s="30" t="s">
        <v>3697</v>
      </c>
      <c r="I685" s="30" t="s">
        <v>3698</v>
      </c>
      <c r="J685" s="31">
        <v>80</v>
      </c>
      <c r="K685" s="32">
        <v>20</v>
      </c>
      <c r="L685" s="76" t="str">
        <f t="shared" ref="L685:L747" si="23">IF(E685,E685*F685,"")</f>
        <v/>
      </c>
    </row>
    <row r="686" spans="1:12" x14ac:dyDescent="0.25">
      <c r="A686" s="25" t="s">
        <v>3531</v>
      </c>
      <c r="B686" s="26">
        <v>28</v>
      </c>
      <c r="C686" s="26">
        <v>12</v>
      </c>
      <c r="D686" s="25" t="s">
        <v>3532</v>
      </c>
      <c r="E686" s="31"/>
      <c r="F686" s="33">
        <v>13.8</v>
      </c>
      <c r="G686" s="34">
        <f t="shared" si="22"/>
        <v>1.1500000000000001</v>
      </c>
      <c r="H686" s="30" t="s">
        <v>3699</v>
      </c>
      <c r="I686" s="30" t="s">
        <v>3700</v>
      </c>
      <c r="J686" s="31">
        <v>80</v>
      </c>
      <c r="K686" s="32">
        <v>20</v>
      </c>
      <c r="L686" s="76" t="str">
        <f t="shared" si="23"/>
        <v/>
      </c>
    </row>
    <row r="687" spans="1:12" x14ac:dyDescent="0.25">
      <c r="A687" s="25" t="s">
        <v>3534</v>
      </c>
      <c r="B687" s="26">
        <v>26</v>
      </c>
      <c r="C687" s="26">
        <v>12</v>
      </c>
      <c r="D687" s="25" t="s">
        <v>3533</v>
      </c>
      <c r="E687" s="31"/>
      <c r="F687" s="33">
        <v>13.8</v>
      </c>
      <c r="G687" s="34">
        <f t="shared" si="22"/>
        <v>1.1500000000000001</v>
      </c>
      <c r="H687" s="30" t="s">
        <v>3701</v>
      </c>
      <c r="I687" s="30" t="s">
        <v>3702</v>
      </c>
      <c r="J687" s="31">
        <v>80</v>
      </c>
      <c r="K687" s="32">
        <v>20</v>
      </c>
      <c r="L687" s="76" t="str">
        <f t="shared" si="23"/>
        <v/>
      </c>
    </row>
    <row r="688" spans="1:12" x14ac:dyDescent="0.25">
      <c r="A688" s="25" t="s">
        <v>2034</v>
      </c>
      <c r="B688" s="26">
        <v>36</v>
      </c>
      <c r="C688" s="26">
        <v>12</v>
      </c>
      <c r="D688" s="25" t="s">
        <v>2029</v>
      </c>
      <c r="E688" s="31"/>
      <c r="F688" s="28">
        <v>13.5</v>
      </c>
      <c r="G688" s="29">
        <f t="shared" si="22"/>
        <v>1.125</v>
      </c>
      <c r="H688" s="30" t="s">
        <v>2030</v>
      </c>
      <c r="I688" s="30" t="s">
        <v>2050</v>
      </c>
      <c r="J688" s="31">
        <v>80</v>
      </c>
      <c r="K688" s="32">
        <v>20</v>
      </c>
      <c r="L688" s="76" t="str">
        <f t="shared" si="23"/>
        <v/>
      </c>
    </row>
    <row r="689" spans="1:12" x14ac:dyDescent="0.25">
      <c r="A689" s="25" t="s">
        <v>3084</v>
      </c>
      <c r="B689" s="26">
        <v>29</v>
      </c>
      <c r="C689" s="26">
        <v>12</v>
      </c>
      <c r="D689" s="25" t="s">
        <v>3107</v>
      </c>
      <c r="E689" s="31"/>
      <c r="F689" s="28">
        <v>13.5</v>
      </c>
      <c r="G689" s="29">
        <f t="shared" si="22"/>
        <v>1.125</v>
      </c>
      <c r="H689" s="30" t="s">
        <v>3085</v>
      </c>
      <c r="I689" s="30" t="s">
        <v>3108</v>
      </c>
      <c r="J689" s="31">
        <v>80</v>
      </c>
      <c r="K689" s="32">
        <v>20</v>
      </c>
      <c r="L689" s="76" t="str">
        <f t="shared" si="23"/>
        <v/>
      </c>
    </row>
    <row r="690" spans="1:12" x14ac:dyDescent="0.25">
      <c r="A690" s="25" t="s">
        <v>2036</v>
      </c>
      <c r="B690" s="26">
        <v>79</v>
      </c>
      <c r="C690" s="26">
        <v>12</v>
      </c>
      <c r="D690" s="25" t="s">
        <v>2031</v>
      </c>
      <c r="E690" s="31"/>
      <c r="F690" s="28">
        <v>12.8</v>
      </c>
      <c r="G690" s="29">
        <f t="shared" si="22"/>
        <v>1.0666666666666667</v>
      </c>
      <c r="H690" s="30" t="s">
        <v>2032</v>
      </c>
      <c r="I690" s="30" t="s">
        <v>2049</v>
      </c>
      <c r="J690" s="31">
        <v>80</v>
      </c>
      <c r="K690" s="32">
        <v>20</v>
      </c>
      <c r="L690" s="76" t="str">
        <f t="shared" si="23"/>
        <v/>
      </c>
    </row>
    <row r="691" spans="1:12" x14ac:dyDescent="0.25">
      <c r="A691" s="25" t="s">
        <v>2035</v>
      </c>
      <c r="B691" s="26">
        <v>58</v>
      </c>
      <c r="C691" s="26">
        <v>12</v>
      </c>
      <c r="D691" s="25" t="s">
        <v>2068</v>
      </c>
      <c r="E691" s="31"/>
      <c r="F691" s="28">
        <v>12.8</v>
      </c>
      <c r="G691" s="29">
        <f t="shared" si="22"/>
        <v>1.0666666666666667</v>
      </c>
      <c r="H691" s="30" t="s">
        <v>2033</v>
      </c>
      <c r="I691" s="30" t="s">
        <v>2047</v>
      </c>
      <c r="J691" s="31">
        <v>80</v>
      </c>
      <c r="K691" s="32">
        <v>20</v>
      </c>
      <c r="L691" s="76" t="str">
        <f t="shared" si="23"/>
        <v/>
      </c>
    </row>
    <row r="692" spans="1:12" x14ac:dyDescent="0.25">
      <c r="A692" s="25" t="s">
        <v>1905</v>
      </c>
      <c r="B692" s="26">
        <v>82</v>
      </c>
      <c r="C692" s="26">
        <v>12</v>
      </c>
      <c r="D692" s="25" t="s">
        <v>2048</v>
      </c>
      <c r="E692" s="31"/>
      <c r="F692" s="28">
        <v>12.8</v>
      </c>
      <c r="G692" s="29">
        <f t="shared" si="22"/>
        <v>1.0666666666666667</v>
      </c>
      <c r="H692" s="30" t="s">
        <v>1954</v>
      </c>
      <c r="I692" s="30" t="s">
        <v>1955</v>
      </c>
      <c r="J692" s="31">
        <v>80</v>
      </c>
      <c r="K692" s="32">
        <v>20</v>
      </c>
      <c r="L692" s="76" t="str">
        <f t="shared" si="23"/>
        <v/>
      </c>
    </row>
    <row r="693" spans="1:12" x14ac:dyDescent="0.25">
      <c r="A693" s="25" t="s">
        <v>1130</v>
      </c>
      <c r="B693" s="26">
        <v>43</v>
      </c>
      <c r="C693" s="26">
        <v>12</v>
      </c>
      <c r="D693" s="25" t="s">
        <v>1131</v>
      </c>
      <c r="E693" s="27"/>
      <c r="F693" s="28">
        <v>15.6</v>
      </c>
      <c r="G693" s="29">
        <f t="shared" si="22"/>
        <v>1.3</v>
      </c>
      <c r="H693" s="30" t="s">
        <v>1132</v>
      </c>
      <c r="I693" s="30" t="s">
        <v>1133</v>
      </c>
      <c r="J693" s="31">
        <v>90</v>
      </c>
      <c r="K693" s="32">
        <v>15</v>
      </c>
      <c r="L693" s="76" t="str">
        <f t="shared" si="23"/>
        <v/>
      </c>
    </row>
    <row r="694" spans="1:12" x14ac:dyDescent="0.25">
      <c r="A694" s="36" t="s">
        <v>2945</v>
      </c>
      <c r="B694" s="54">
        <v>449</v>
      </c>
      <c r="C694" s="53">
        <v>12</v>
      </c>
      <c r="D694" s="36" t="s">
        <v>2946</v>
      </c>
      <c r="E694" s="27"/>
      <c r="F694" s="58">
        <v>10.5</v>
      </c>
      <c r="G694" s="34">
        <f t="shared" si="22"/>
        <v>0.875</v>
      </c>
      <c r="H694" s="30" t="s">
        <v>2947</v>
      </c>
      <c r="I694" s="56" t="s">
        <v>2948</v>
      </c>
      <c r="J694" s="54">
        <v>150</v>
      </c>
      <c r="K694" s="32">
        <v>15</v>
      </c>
      <c r="L694" s="76" t="str">
        <f t="shared" si="23"/>
        <v/>
      </c>
    </row>
    <row r="695" spans="1:12" x14ac:dyDescent="0.25">
      <c r="A695" s="36" t="s">
        <v>1287</v>
      </c>
      <c r="B695" s="54">
        <v>25</v>
      </c>
      <c r="C695" s="53">
        <v>18</v>
      </c>
      <c r="D695" s="36" t="s">
        <v>1288</v>
      </c>
      <c r="E695" s="27"/>
      <c r="F695" s="61">
        <v>23.4</v>
      </c>
      <c r="G695" s="29">
        <f t="shared" si="22"/>
        <v>1.2999999999999998</v>
      </c>
      <c r="H695" s="30" t="s">
        <v>1289</v>
      </c>
      <c r="I695" s="56" t="s">
        <v>1290</v>
      </c>
      <c r="J695" s="54">
        <v>75</v>
      </c>
      <c r="K695" s="32">
        <v>15</v>
      </c>
      <c r="L695" s="76" t="str">
        <f t="shared" si="23"/>
        <v/>
      </c>
    </row>
    <row r="696" spans="1:12" x14ac:dyDescent="0.25">
      <c r="A696" s="36" t="s">
        <v>2087</v>
      </c>
      <c r="B696" s="54">
        <v>21</v>
      </c>
      <c r="C696" s="53">
        <v>18</v>
      </c>
      <c r="D696" s="36" t="s">
        <v>2088</v>
      </c>
      <c r="E696" s="27"/>
      <c r="F696" s="61">
        <v>23.4</v>
      </c>
      <c r="G696" s="29">
        <f t="shared" si="22"/>
        <v>1.2999999999999998</v>
      </c>
      <c r="H696" s="30" t="s">
        <v>2225</v>
      </c>
      <c r="I696" s="56" t="s">
        <v>2226</v>
      </c>
      <c r="J696" s="54">
        <v>75</v>
      </c>
      <c r="K696" s="32">
        <v>15</v>
      </c>
      <c r="L696" s="76" t="str">
        <f t="shared" si="23"/>
        <v/>
      </c>
    </row>
    <row r="697" spans="1:12" x14ac:dyDescent="0.25">
      <c r="A697" s="36" t="s">
        <v>3437</v>
      </c>
      <c r="B697" s="54">
        <v>36</v>
      </c>
      <c r="C697" s="53">
        <v>6</v>
      </c>
      <c r="D697" s="36" t="s">
        <v>3440</v>
      </c>
      <c r="E697" s="27"/>
      <c r="F697" s="61">
        <v>3.78</v>
      </c>
      <c r="G697" s="29">
        <f t="shared" si="22"/>
        <v>0.63</v>
      </c>
      <c r="H697" s="30" t="s">
        <v>3438</v>
      </c>
      <c r="I697" s="56" t="s">
        <v>3439</v>
      </c>
      <c r="J697" s="54">
        <v>200</v>
      </c>
      <c r="K697" s="32">
        <v>40</v>
      </c>
      <c r="L697" s="76" t="str">
        <f t="shared" si="23"/>
        <v/>
      </c>
    </row>
    <row r="698" spans="1:12" x14ac:dyDescent="0.25">
      <c r="A698" s="25" t="s">
        <v>3686</v>
      </c>
      <c r="B698" s="26">
        <v>39</v>
      </c>
      <c r="C698" s="26">
        <v>6</v>
      </c>
      <c r="D698" s="25" t="s">
        <v>3691</v>
      </c>
      <c r="E698" s="27"/>
      <c r="F698" s="33">
        <v>8.2799999999999994</v>
      </c>
      <c r="G698" s="34">
        <f t="shared" si="22"/>
        <v>1.38</v>
      </c>
      <c r="H698" s="30" t="s">
        <v>3693</v>
      </c>
      <c r="I698" s="30" t="s">
        <v>3692</v>
      </c>
      <c r="J698" s="31">
        <v>258</v>
      </c>
      <c r="K698" s="53">
        <v>86</v>
      </c>
      <c r="L698" s="76" t="str">
        <f t="shared" si="23"/>
        <v/>
      </c>
    </row>
    <row r="699" spans="1:12" x14ac:dyDescent="0.25">
      <c r="A699" s="25" t="s">
        <v>2899</v>
      </c>
      <c r="B699" s="26">
        <v>0</v>
      </c>
      <c r="C699" s="26">
        <v>6</v>
      </c>
      <c r="D699" s="25" t="s">
        <v>2904</v>
      </c>
      <c r="E699" s="27"/>
      <c r="F699" s="28">
        <v>9.9</v>
      </c>
      <c r="G699" s="29">
        <f t="shared" si="22"/>
        <v>1.6500000000000001</v>
      </c>
      <c r="H699" s="30" t="s">
        <v>2909</v>
      </c>
      <c r="I699" s="30" t="s">
        <v>3025</v>
      </c>
      <c r="J699" s="31">
        <v>216</v>
      </c>
      <c r="K699" s="53">
        <v>72</v>
      </c>
      <c r="L699" s="76" t="str">
        <f t="shared" si="23"/>
        <v/>
      </c>
    </row>
    <row r="700" spans="1:12" x14ac:dyDescent="0.25">
      <c r="A700" s="25" t="s">
        <v>2900</v>
      </c>
      <c r="B700" s="26">
        <v>88</v>
      </c>
      <c r="C700" s="26">
        <v>6</v>
      </c>
      <c r="D700" s="25" t="s">
        <v>2905</v>
      </c>
      <c r="E700" s="27"/>
      <c r="F700" s="28">
        <v>9.9</v>
      </c>
      <c r="G700" s="29">
        <f t="shared" si="22"/>
        <v>1.6500000000000001</v>
      </c>
      <c r="H700" s="30" t="s">
        <v>2910</v>
      </c>
      <c r="I700" s="30" t="s">
        <v>3086</v>
      </c>
      <c r="J700" s="31">
        <v>216</v>
      </c>
      <c r="K700" s="53">
        <v>72</v>
      </c>
      <c r="L700" s="76" t="str">
        <f t="shared" si="23"/>
        <v/>
      </c>
    </row>
    <row r="701" spans="1:12" x14ac:dyDescent="0.25">
      <c r="A701" s="25" t="s">
        <v>2901</v>
      </c>
      <c r="B701" s="26">
        <v>151</v>
      </c>
      <c r="C701" s="26">
        <v>6</v>
      </c>
      <c r="D701" s="25" t="s">
        <v>2906</v>
      </c>
      <c r="E701" s="27"/>
      <c r="F701" s="28">
        <v>9.9</v>
      </c>
      <c r="G701" s="29">
        <f t="shared" si="22"/>
        <v>1.6500000000000001</v>
      </c>
      <c r="H701" s="30" t="s">
        <v>2911</v>
      </c>
      <c r="I701" s="30" t="s">
        <v>3026</v>
      </c>
      <c r="J701" s="31">
        <v>216</v>
      </c>
      <c r="K701" s="53">
        <v>72</v>
      </c>
      <c r="L701" s="76" t="str">
        <f t="shared" si="23"/>
        <v/>
      </c>
    </row>
    <row r="702" spans="1:12" x14ac:dyDescent="0.25">
      <c r="A702" s="25" t="s">
        <v>2902</v>
      </c>
      <c r="B702" s="26">
        <v>60</v>
      </c>
      <c r="C702" s="26">
        <v>6</v>
      </c>
      <c r="D702" s="25" t="s">
        <v>2907</v>
      </c>
      <c r="E702" s="27"/>
      <c r="F702" s="28">
        <v>9.9</v>
      </c>
      <c r="G702" s="29">
        <f t="shared" si="22"/>
        <v>1.6500000000000001</v>
      </c>
      <c r="H702" s="30" t="s">
        <v>2912</v>
      </c>
      <c r="I702" s="30" t="s">
        <v>3027</v>
      </c>
      <c r="J702" s="31">
        <v>216</v>
      </c>
      <c r="K702" s="53">
        <v>72</v>
      </c>
      <c r="L702" s="76" t="str">
        <f t="shared" si="23"/>
        <v/>
      </c>
    </row>
    <row r="703" spans="1:12" x14ac:dyDescent="0.25">
      <c r="A703" s="25" t="s">
        <v>2903</v>
      </c>
      <c r="B703" s="26">
        <v>37</v>
      </c>
      <c r="C703" s="26">
        <v>6</v>
      </c>
      <c r="D703" s="25" t="s">
        <v>2908</v>
      </c>
      <c r="E703" s="27"/>
      <c r="F703" s="28">
        <v>9.9</v>
      </c>
      <c r="G703" s="29">
        <f t="shared" si="22"/>
        <v>1.6500000000000001</v>
      </c>
      <c r="H703" s="30" t="s">
        <v>2913</v>
      </c>
      <c r="I703" s="30" t="s">
        <v>3028</v>
      </c>
      <c r="J703" s="31">
        <v>216</v>
      </c>
      <c r="K703" s="53">
        <v>72</v>
      </c>
      <c r="L703" s="76" t="str">
        <f t="shared" si="23"/>
        <v/>
      </c>
    </row>
    <row r="704" spans="1:12" x14ac:dyDescent="0.25">
      <c r="A704" s="25" t="s">
        <v>767</v>
      </c>
      <c r="B704" s="26">
        <v>54</v>
      </c>
      <c r="C704" s="26">
        <v>6</v>
      </c>
      <c r="D704" s="25" t="s">
        <v>768</v>
      </c>
      <c r="E704" s="27"/>
      <c r="F704" s="28">
        <v>13.8</v>
      </c>
      <c r="G704" s="29">
        <f t="shared" si="22"/>
        <v>2.3000000000000003</v>
      </c>
      <c r="H704" s="30" t="s">
        <v>818</v>
      </c>
      <c r="I704" s="30" t="s">
        <v>819</v>
      </c>
      <c r="J704" s="31">
        <v>144</v>
      </c>
      <c r="K704" s="32">
        <v>48</v>
      </c>
      <c r="L704" s="76" t="str">
        <f t="shared" si="23"/>
        <v/>
      </c>
    </row>
    <row r="705" spans="1:12" x14ac:dyDescent="0.25">
      <c r="A705" s="25" t="s">
        <v>3355</v>
      </c>
      <c r="B705" s="26">
        <v>36</v>
      </c>
      <c r="C705" s="26">
        <v>6</v>
      </c>
      <c r="D705" s="25" t="s">
        <v>3356</v>
      </c>
      <c r="E705" s="27"/>
      <c r="F705" s="33">
        <v>13.8</v>
      </c>
      <c r="G705" s="34">
        <f t="shared" si="22"/>
        <v>2.3000000000000003</v>
      </c>
      <c r="H705" s="30" t="s">
        <v>3357</v>
      </c>
      <c r="I705" s="30" t="s">
        <v>3358</v>
      </c>
      <c r="J705" s="31">
        <v>144</v>
      </c>
      <c r="K705" s="32">
        <v>48</v>
      </c>
      <c r="L705" s="76" t="str">
        <f t="shared" si="23"/>
        <v/>
      </c>
    </row>
    <row r="706" spans="1:12" x14ac:dyDescent="0.25">
      <c r="A706" s="25" t="s">
        <v>3359</v>
      </c>
      <c r="B706" s="26">
        <v>46</v>
      </c>
      <c r="C706" s="26">
        <v>6</v>
      </c>
      <c r="D706" s="25" t="s">
        <v>3442</v>
      </c>
      <c r="E706" s="27"/>
      <c r="F706" s="33">
        <v>13.8</v>
      </c>
      <c r="G706" s="34">
        <f t="shared" si="22"/>
        <v>2.3000000000000003</v>
      </c>
      <c r="H706" s="30" t="s">
        <v>3360</v>
      </c>
      <c r="I706" s="30" t="s">
        <v>3361</v>
      </c>
      <c r="J706" s="31">
        <v>144</v>
      </c>
      <c r="K706" s="32">
        <v>48</v>
      </c>
      <c r="L706" s="76" t="str">
        <f t="shared" si="23"/>
        <v/>
      </c>
    </row>
    <row r="707" spans="1:12" x14ac:dyDescent="0.25">
      <c r="A707" s="25" t="s">
        <v>2571</v>
      </c>
      <c r="B707" s="26">
        <v>8</v>
      </c>
      <c r="C707" s="26">
        <v>12</v>
      </c>
      <c r="D707" s="25" t="s">
        <v>1987</v>
      </c>
      <c r="E707" s="27"/>
      <c r="F707" s="28">
        <v>8.9499999999999993</v>
      </c>
      <c r="G707" s="29">
        <f t="shared" si="22"/>
        <v>0.74583333333333324</v>
      </c>
      <c r="H707" s="30" t="s">
        <v>1985</v>
      </c>
      <c r="I707" s="30" t="s">
        <v>1986</v>
      </c>
      <c r="J707" s="31">
        <v>100</v>
      </c>
      <c r="K707" s="32">
        <v>20</v>
      </c>
      <c r="L707" s="76" t="str">
        <f t="shared" si="23"/>
        <v/>
      </c>
    </row>
    <row r="708" spans="1:12" x14ac:dyDescent="0.25">
      <c r="A708" s="25" t="s">
        <v>1932</v>
      </c>
      <c r="B708" s="26">
        <v>23</v>
      </c>
      <c r="C708" s="26">
        <v>12</v>
      </c>
      <c r="D708" s="25" t="s">
        <v>2572</v>
      </c>
      <c r="E708" s="27"/>
      <c r="F708" s="28">
        <v>8.9499999999999993</v>
      </c>
      <c r="G708" s="29">
        <f t="shared" si="22"/>
        <v>0.74583333333333324</v>
      </c>
      <c r="H708" s="30" t="s">
        <v>2573</v>
      </c>
      <c r="I708" s="30" t="s">
        <v>2591</v>
      </c>
      <c r="J708" s="31">
        <v>100</v>
      </c>
      <c r="K708" s="32">
        <v>20</v>
      </c>
      <c r="L708" s="76" t="str">
        <f t="shared" si="23"/>
        <v/>
      </c>
    </row>
    <row r="709" spans="1:12" x14ac:dyDescent="0.25">
      <c r="A709" s="25" t="s">
        <v>2467</v>
      </c>
      <c r="B709" s="26">
        <v>776</v>
      </c>
      <c r="C709" s="26">
        <v>12</v>
      </c>
      <c r="D709" s="25" t="s">
        <v>2468</v>
      </c>
      <c r="E709" s="27"/>
      <c r="F709" s="28">
        <v>5.7</v>
      </c>
      <c r="G709" s="29">
        <f t="shared" si="22"/>
        <v>0.47500000000000003</v>
      </c>
      <c r="H709" s="30" t="s">
        <v>2469</v>
      </c>
      <c r="I709" s="30" t="s">
        <v>2470</v>
      </c>
      <c r="J709" s="31">
        <v>544</v>
      </c>
      <c r="K709" s="32">
        <v>68</v>
      </c>
      <c r="L709" s="76" t="str">
        <f t="shared" si="23"/>
        <v/>
      </c>
    </row>
    <row r="710" spans="1:12" x14ac:dyDescent="0.25">
      <c r="A710" s="25" t="s">
        <v>780</v>
      </c>
      <c r="B710" s="26">
        <v>1231</v>
      </c>
      <c r="C710" s="26">
        <v>12</v>
      </c>
      <c r="D710" s="25" t="s">
        <v>791</v>
      </c>
      <c r="E710" s="31"/>
      <c r="F710" s="28">
        <v>9.25</v>
      </c>
      <c r="G710" s="29">
        <f t="shared" si="22"/>
        <v>0.77083333333333337</v>
      </c>
      <c r="H710" s="30" t="s">
        <v>781</v>
      </c>
      <c r="I710" s="30" t="s">
        <v>782</v>
      </c>
      <c r="J710" s="31">
        <v>432</v>
      </c>
      <c r="K710" s="32">
        <v>72</v>
      </c>
      <c r="L710" s="76" t="str">
        <f t="shared" si="23"/>
        <v/>
      </c>
    </row>
    <row r="711" spans="1:12" x14ac:dyDescent="0.25">
      <c r="A711" s="25" t="s">
        <v>2663</v>
      </c>
      <c r="B711" s="26">
        <v>46</v>
      </c>
      <c r="C711" s="26">
        <v>12</v>
      </c>
      <c r="D711" s="25" t="s">
        <v>2664</v>
      </c>
      <c r="E711" s="31"/>
      <c r="F711" s="33">
        <v>6.3</v>
      </c>
      <c r="G711" s="34">
        <f t="shared" si="22"/>
        <v>0.52500000000000002</v>
      </c>
      <c r="H711" s="30" t="s">
        <v>2665</v>
      </c>
      <c r="I711" s="30" t="s">
        <v>2666</v>
      </c>
      <c r="J711" s="31">
        <v>544</v>
      </c>
      <c r="K711" s="53">
        <v>68</v>
      </c>
      <c r="L711" s="76" t="str">
        <f t="shared" si="23"/>
        <v/>
      </c>
    </row>
    <row r="712" spans="1:12" x14ac:dyDescent="0.25">
      <c r="A712" s="25" t="s">
        <v>426</v>
      </c>
      <c r="B712" s="26">
        <v>864</v>
      </c>
      <c r="C712" s="26">
        <v>12</v>
      </c>
      <c r="D712" s="25" t="s">
        <v>2667</v>
      </c>
      <c r="E712" s="27"/>
      <c r="F712" s="28">
        <v>9.25</v>
      </c>
      <c r="G712" s="29">
        <f t="shared" si="22"/>
        <v>0.77083333333333337</v>
      </c>
      <c r="H712" s="30" t="s">
        <v>427</v>
      </c>
      <c r="I712" s="30" t="s">
        <v>428</v>
      </c>
      <c r="J712" s="31">
        <v>432</v>
      </c>
      <c r="K712" s="32">
        <v>72</v>
      </c>
      <c r="L712" s="76" t="str">
        <f t="shared" si="23"/>
        <v/>
      </c>
    </row>
    <row r="713" spans="1:12" x14ac:dyDescent="0.25">
      <c r="A713" s="25" t="s">
        <v>492</v>
      </c>
      <c r="B713" s="26">
        <v>1047</v>
      </c>
      <c r="C713" s="26">
        <v>12</v>
      </c>
      <c r="D713" s="25" t="s">
        <v>493</v>
      </c>
      <c r="E713" s="27"/>
      <c r="F713" s="28">
        <v>9.25</v>
      </c>
      <c r="G713" s="29">
        <f t="shared" si="22"/>
        <v>0.77083333333333337</v>
      </c>
      <c r="H713" s="30" t="s">
        <v>494</v>
      </c>
      <c r="I713" s="30" t="s">
        <v>495</v>
      </c>
      <c r="J713" s="31">
        <v>432</v>
      </c>
      <c r="K713" s="32">
        <v>72</v>
      </c>
      <c r="L713" s="76" t="str">
        <f t="shared" si="23"/>
        <v/>
      </c>
    </row>
    <row r="714" spans="1:12" x14ac:dyDescent="0.25">
      <c r="A714" s="25" t="s">
        <v>2372</v>
      </c>
      <c r="B714" s="26">
        <v>52</v>
      </c>
      <c r="C714" s="26">
        <v>6</v>
      </c>
      <c r="D714" s="25" t="s">
        <v>2373</v>
      </c>
      <c r="E714" s="31"/>
      <c r="F714" s="28">
        <v>4.5999999999999996</v>
      </c>
      <c r="G714" s="28">
        <f t="shared" si="22"/>
        <v>0.76666666666666661</v>
      </c>
      <c r="H714" s="30" t="s">
        <v>2374</v>
      </c>
      <c r="I714" s="59" t="s">
        <v>2375</v>
      </c>
      <c r="J714" s="31">
        <v>260</v>
      </c>
      <c r="K714" s="32">
        <v>52</v>
      </c>
      <c r="L714" s="76" t="str">
        <f t="shared" si="23"/>
        <v/>
      </c>
    </row>
    <row r="715" spans="1:12" x14ac:dyDescent="0.25">
      <c r="A715" s="25" t="s">
        <v>2760</v>
      </c>
      <c r="B715" s="26">
        <v>52</v>
      </c>
      <c r="C715" s="26">
        <v>6</v>
      </c>
      <c r="D715" s="25" t="s">
        <v>2759</v>
      </c>
      <c r="E715" s="31"/>
      <c r="F715" s="28">
        <v>4.5999999999999996</v>
      </c>
      <c r="G715" s="28">
        <f t="shared" si="22"/>
        <v>0.76666666666666661</v>
      </c>
      <c r="H715" s="30" t="s">
        <v>2769</v>
      </c>
      <c r="I715" s="59" t="s">
        <v>2770</v>
      </c>
      <c r="J715" s="31">
        <v>260</v>
      </c>
      <c r="K715" s="32">
        <v>52</v>
      </c>
      <c r="L715" s="76" t="str">
        <f t="shared" si="23"/>
        <v/>
      </c>
    </row>
    <row r="716" spans="1:12" x14ac:dyDescent="0.25">
      <c r="A716" s="25" t="s">
        <v>3065</v>
      </c>
      <c r="B716" s="26">
        <v>4</v>
      </c>
      <c r="C716" s="26">
        <v>6</v>
      </c>
      <c r="D716" s="25" t="s">
        <v>3067</v>
      </c>
      <c r="E716" s="31"/>
      <c r="F716" s="28">
        <v>9.6</v>
      </c>
      <c r="G716" s="28">
        <f t="shared" si="22"/>
        <v>1.5999999999999999</v>
      </c>
      <c r="H716" s="30" t="s">
        <v>3069</v>
      </c>
      <c r="I716" s="59" t="s">
        <v>3072</v>
      </c>
      <c r="J716" s="31">
        <v>148</v>
      </c>
      <c r="K716" s="32">
        <v>37</v>
      </c>
      <c r="L716" s="76" t="str">
        <f t="shared" si="23"/>
        <v/>
      </c>
    </row>
    <row r="717" spans="1:12" x14ac:dyDescent="0.25">
      <c r="A717" s="25" t="s">
        <v>3066</v>
      </c>
      <c r="B717" s="26">
        <v>7</v>
      </c>
      <c r="C717" s="26">
        <v>6</v>
      </c>
      <c r="D717" s="25" t="s">
        <v>3068</v>
      </c>
      <c r="E717" s="31"/>
      <c r="F717" s="28">
        <v>9.6</v>
      </c>
      <c r="G717" s="28">
        <f t="shared" si="22"/>
        <v>1.5999999999999999</v>
      </c>
      <c r="H717" s="30" t="s">
        <v>3070</v>
      </c>
      <c r="I717" s="59" t="s">
        <v>3071</v>
      </c>
      <c r="J717" s="31">
        <v>148</v>
      </c>
      <c r="K717" s="32">
        <v>37</v>
      </c>
      <c r="L717" s="76" t="str">
        <f t="shared" si="23"/>
        <v/>
      </c>
    </row>
    <row r="718" spans="1:12" x14ac:dyDescent="0.25">
      <c r="A718" s="25" t="s">
        <v>1182</v>
      </c>
      <c r="B718" s="26">
        <v>71</v>
      </c>
      <c r="C718" s="26">
        <v>12</v>
      </c>
      <c r="D718" s="25" t="s">
        <v>1729</v>
      </c>
      <c r="E718" s="27"/>
      <c r="F718" s="28">
        <v>7.2</v>
      </c>
      <c r="G718" s="29">
        <f t="shared" si="22"/>
        <v>0.6</v>
      </c>
      <c r="H718" s="30" t="s">
        <v>1186</v>
      </c>
      <c r="I718" s="30" t="s">
        <v>1187</v>
      </c>
      <c r="J718" s="31">
        <v>384</v>
      </c>
      <c r="K718" s="32">
        <v>96</v>
      </c>
      <c r="L718" s="76" t="str">
        <f t="shared" si="23"/>
        <v/>
      </c>
    </row>
    <row r="719" spans="1:12" x14ac:dyDescent="0.25">
      <c r="A719" s="25" t="s">
        <v>1181</v>
      </c>
      <c r="B719" s="26">
        <v>114</v>
      </c>
      <c r="C719" s="26">
        <v>12</v>
      </c>
      <c r="D719" s="25" t="s">
        <v>1730</v>
      </c>
      <c r="E719" s="27"/>
      <c r="F719" s="28">
        <v>7.2</v>
      </c>
      <c r="G719" s="29">
        <f t="shared" si="22"/>
        <v>0.6</v>
      </c>
      <c r="H719" s="30" t="s">
        <v>1555</v>
      </c>
      <c r="I719" s="30" t="s">
        <v>1556</v>
      </c>
      <c r="J719" s="31">
        <v>384</v>
      </c>
      <c r="K719" s="32">
        <v>96</v>
      </c>
      <c r="L719" s="76" t="str">
        <f t="shared" si="23"/>
        <v/>
      </c>
    </row>
    <row r="720" spans="1:12" x14ac:dyDescent="0.25">
      <c r="A720" s="25" t="s">
        <v>3469</v>
      </c>
      <c r="B720" s="26">
        <v>23</v>
      </c>
      <c r="C720" s="26">
        <v>12</v>
      </c>
      <c r="D720" s="25" t="s">
        <v>3470</v>
      </c>
      <c r="E720" s="27"/>
      <c r="F720" s="28">
        <v>7.2</v>
      </c>
      <c r="G720" s="29">
        <f t="shared" si="22"/>
        <v>0.6</v>
      </c>
      <c r="H720" s="30" t="s">
        <v>3479</v>
      </c>
      <c r="I720" s="30" t="s">
        <v>3480</v>
      </c>
      <c r="J720" s="31">
        <v>384</v>
      </c>
      <c r="K720" s="32">
        <v>96</v>
      </c>
      <c r="L720" s="76" t="str">
        <f t="shared" si="23"/>
        <v/>
      </c>
    </row>
    <row r="721" spans="1:12" x14ac:dyDescent="0.25">
      <c r="A721" s="25" t="s">
        <v>3476</v>
      </c>
      <c r="B721" s="26">
        <v>27</v>
      </c>
      <c r="C721" s="26">
        <v>12</v>
      </c>
      <c r="D721" s="25" t="s">
        <v>3471</v>
      </c>
      <c r="E721" s="27"/>
      <c r="F721" s="28">
        <v>7.2</v>
      </c>
      <c r="G721" s="29">
        <f t="shared" si="22"/>
        <v>0.6</v>
      </c>
      <c r="H721" s="30" t="s">
        <v>3481</v>
      </c>
      <c r="I721" s="30" t="s">
        <v>3482</v>
      </c>
      <c r="J721" s="31">
        <v>384</v>
      </c>
      <c r="K721" s="32">
        <v>96</v>
      </c>
      <c r="L721" s="76" t="str">
        <f t="shared" si="23"/>
        <v/>
      </c>
    </row>
    <row r="722" spans="1:12" x14ac:dyDescent="0.25">
      <c r="A722" s="25" t="s">
        <v>1723</v>
      </c>
      <c r="B722" s="26">
        <v>11</v>
      </c>
      <c r="C722" s="26">
        <v>24</v>
      </c>
      <c r="D722" s="25" t="s">
        <v>1734</v>
      </c>
      <c r="E722" s="27"/>
      <c r="F722" s="28">
        <v>14.4</v>
      </c>
      <c r="G722" s="29">
        <f t="shared" si="22"/>
        <v>0.6</v>
      </c>
      <c r="H722" s="30" t="s">
        <v>1724</v>
      </c>
      <c r="I722" s="30" t="s">
        <v>1725</v>
      </c>
      <c r="J722" s="31">
        <v>120</v>
      </c>
      <c r="K722" s="32">
        <v>96</v>
      </c>
      <c r="L722" s="76" t="str">
        <f t="shared" si="23"/>
        <v/>
      </c>
    </row>
    <row r="723" spans="1:12" x14ac:dyDescent="0.25">
      <c r="A723" s="25" t="s">
        <v>1726</v>
      </c>
      <c r="B723" s="26">
        <v>10</v>
      </c>
      <c r="C723" s="26">
        <v>24</v>
      </c>
      <c r="D723" s="25" t="s">
        <v>1735</v>
      </c>
      <c r="E723" s="27"/>
      <c r="F723" s="28">
        <v>14.4</v>
      </c>
      <c r="G723" s="29">
        <f t="shared" si="22"/>
        <v>0.6</v>
      </c>
      <c r="H723" s="71" t="s">
        <v>1727</v>
      </c>
      <c r="I723" s="30" t="s">
        <v>1728</v>
      </c>
      <c r="J723" s="31">
        <v>120</v>
      </c>
      <c r="K723" s="32">
        <v>96</v>
      </c>
      <c r="L723" s="76" t="str">
        <f t="shared" si="23"/>
        <v/>
      </c>
    </row>
    <row r="724" spans="1:12" x14ac:dyDescent="0.25">
      <c r="A724" s="25" t="s">
        <v>1814</v>
      </c>
      <c r="B724" s="26">
        <v>14</v>
      </c>
      <c r="C724" s="26">
        <v>24</v>
      </c>
      <c r="D724" s="25" t="s">
        <v>1815</v>
      </c>
      <c r="E724" s="27"/>
      <c r="F724" s="28">
        <v>14.4</v>
      </c>
      <c r="G724" s="29">
        <f t="shared" si="22"/>
        <v>0.6</v>
      </c>
      <c r="H724" s="71" t="s">
        <v>1816</v>
      </c>
      <c r="I724" s="30" t="s">
        <v>1817</v>
      </c>
      <c r="J724" s="31">
        <v>120</v>
      </c>
      <c r="K724" s="32">
        <v>96</v>
      </c>
      <c r="L724" s="76" t="str">
        <f t="shared" si="23"/>
        <v/>
      </c>
    </row>
    <row r="725" spans="1:12" x14ac:dyDescent="0.25">
      <c r="A725" s="25" t="s">
        <v>2636</v>
      </c>
      <c r="B725" s="26">
        <v>17</v>
      </c>
      <c r="C725" s="26">
        <v>24</v>
      </c>
      <c r="D725" s="25" t="s">
        <v>2619</v>
      </c>
      <c r="E725" s="27"/>
      <c r="F725" s="28">
        <v>14.4</v>
      </c>
      <c r="G725" s="29">
        <f t="shared" si="22"/>
        <v>0.6</v>
      </c>
      <c r="H725" s="71" t="s">
        <v>2620</v>
      </c>
      <c r="I725" s="30" t="s">
        <v>2621</v>
      </c>
      <c r="J725" s="31">
        <v>120</v>
      </c>
      <c r="K725" s="32">
        <v>96</v>
      </c>
      <c r="L725" s="76" t="str">
        <f t="shared" si="23"/>
        <v/>
      </c>
    </row>
    <row r="726" spans="1:12" x14ac:dyDescent="0.25">
      <c r="A726" s="25" t="s">
        <v>1818</v>
      </c>
      <c r="B726" s="26">
        <v>9</v>
      </c>
      <c r="C726" s="26">
        <v>24</v>
      </c>
      <c r="D726" s="25" t="s">
        <v>1819</v>
      </c>
      <c r="E726" s="27"/>
      <c r="F726" s="28">
        <v>14.4</v>
      </c>
      <c r="G726" s="29">
        <f t="shared" si="22"/>
        <v>0.6</v>
      </c>
      <c r="H726" s="30" t="s">
        <v>1820</v>
      </c>
      <c r="I726" s="30" t="s">
        <v>1821</v>
      </c>
      <c r="J726" s="31">
        <v>120</v>
      </c>
      <c r="K726" s="53">
        <v>96</v>
      </c>
      <c r="L726" s="76" t="str">
        <f t="shared" si="23"/>
        <v/>
      </c>
    </row>
    <row r="727" spans="1:12" x14ac:dyDescent="0.25">
      <c r="A727" s="25" t="s">
        <v>2782</v>
      </c>
      <c r="B727" s="26">
        <v>24</v>
      </c>
      <c r="C727" s="26">
        <v>24</v>
      </c>
      <c r="D727" s="25" t="s">
        <v>2783</v>
      </c>
      <c r="E727" s="27"/>
      <c r="F727" s="28">
        <v>14.4</v>
      </c>
      <c r="G727" s="29">
        <f t="shared" si="22"/>
        <v>0.6</v>
      </c>
      <c r="H727" s="30" t="s">
        <v>2784</v>
      </c>
      <c r="I727" s="30" t="s">
        <v>2785</v>
      </c>
      <c r="J727" s="31">
        <v>120</v>
      </c>
      <c r="K727" s="53">
        <v>96</v>
      </c>
      <c r="L727" s="76" t="str">
        <f t="shared" si="23"/>
        <v/>
      </c>
    </row>
    <row r="728" spans="1:12" x14ac:dyDescent="0.25">
      <c r="A728" s="25" t="s">
        <v>3673</v>
      </c>
      <c r="B728" s="26">
        <v>9</v>
      </c>
      <c r="C728" s="26">
        <v>24</v>
      </c>
      <c r="D728" s="25" t="s">
        <v>3674</v>
      </c>
      <c r="E728" s="27"/>
      <c r="F728" s="28">
        <v>14.4</v>
      </c>
      <c r="G728" s="29">
        <f t="shared" si="22"/>
        <v>0.6</v>
      </c>
      <c r="H728" s="30" t="s">
        <v>3675</v>
      </c>
      <c r="I728" s="30" t="s">
        <v>3676</v>
      </c>
      <c r="J728" s="31">
        <v>120</v>
      </c>
      <c r="K728" s="53">
        <v>96</v>
      </c>
      <c r="L728" s="76" t="str">
        <f t="shared" si="23"/>
        <v/>
      </c>
    </row>
    <row r="729" spans="1:12" x14ac:dyDescent="0.25">
      <c r="A729" s="25" t="s">
        <v>1895</v>
      </c>
      <c r="B729" s="26">
        <v>11</v>
      </c>
      <c r="C729" s="26">
        <v>24</v>
      </c>
      <c r="D729" s="25" t="s">
        <v>1896</v>
      </c>
      <c r="E729" s="27"/>
      <c r="F729" s="28">
        <v>14.4</v>
      </c>
      <c r="G729" s="29">
        <f t="shared" si="22"/>
        <v>0.6</v>
      </c>
      <c r="H729" s="30" t="s">
        <v>2780</v>
      </c>
      <c r="I729" s="30" t="s">
        <v>2781</v>
      </c>
      <c r="J729" s="31">
        <v>120</v>
      </c>
      <c r="K729" s="53">
        <v>96</v>
      </c>
      <c r="L729" s="76" t="str">
        <f t="shared" si="23"/>
        <v/>
      </c>
    </row>
    <row r="730" spans="1:12" x14ac:dyDescent="0.25">
      <c r="A730" s="25" t="s">
        <v>3678</v>
      </c>
      <c r="B730" s="26">
        <v>21</v>
      </c>
      <c r="C730" s="26">
        <v>24</v>
      </c>
      <c r="D730" s="25" t="s">
        <v>3679</v>
      </c>
      <c r="E730" s="27"/>
      <c r="F730" s="28">
        <v>14.4</v>
      </c>
      <c r="G730" s="29">
        <f t="shared" si="22"/>
        <v>0.6</v>
      </c>
      <c r="H730" s="30" t="s">
        <v>3680</v>
      </c>
      <c r="I730" s="30" t="s">
        <v>3682</v>
      </c>
      <c r="J730" s="31">
        <v>120</v>
      </c>
      <c r="K730" s="53">
        <v>96</v>
      </c>
      <c r="L730" s="76" t="str">
        <f t="shared" si="23"/>
        <v/>
      </c>
    </row>
    <row r="731" spans="1:12" x14ac:dyDescent="0.25">
      <c r="A731" s="25" t="s">
        <v>200</v>
      </c>
      <c r="B731" s="26">
        <v>24</v>
      </c>
      <c r="C731" s="26">
        <v>12</v>
      </c>
      <c r="D731" s="25" t="s">
        <v>18</v>
      </c>
      <c r="E731" s="27"/>
      <c r="F731" s="28">
        <v>6.24</v>
      </c>
      <c r="G731" s="29">
        <f t="shared" si="22"/>
        <v>0.52</v>
      </c>
      <c r="H731" s="30" t="s">
        <v>19</v>
      </c>
      <c r="I731" s="30" t="s">
        <v>37</v>
      </c>
      <c r="J731" s="31">
        <v>108</v>
      </c>
      <c r="K731" s="32">
        <v>12</v>
      </c>
      <c r="L731" s="76" t="str">
        <f t="shared" si="23"/>
        <v/>
      </c>
    </row>
    <row r="732" spans="1:12" x14ac:dyDescent="0.25">
      <c r="A732" s="25" t="s">
        <v>199</v>
      </c>
      <c r="B732" s="26">
        <v>40</v>
      </c>
      <c r="C732" s="26">
        <v>12</v>
      </c>
      <c r="D732" s="25" t="s">
        <v>16</v>
      </c>
      <c r="E732" s="27"/>
      <c r="F732" s="28">
        <v>6.24</v>
      </c>
      <c r="G732" s="29">
        <f t="shared" si="22"/>
        <v>0.52</v>
      </c>
      <c r="H732" s="30" t="s">
        <v>17</v>
      </c>
      <c r="I732" s="30" t="s">
        <v>36</v>
      </c>
      <c r="J732" s="31">
        <v>108</v>
      </c>
      <c r="K732" s="32">
        <v>12</v>
      </c>
      <c r="L732" s="76" t="str">
        <f t="shared" si="23"/>
        <v/>
      </c>
    </row>
    <row r="733" spans="1:12" x14ac:dyDescent="0.25">
      <c r="A733" s="25" t="s">
        <v>201</v>
      </c>
      <c r="B733" s="26">
        <v>16</v>
      </c>
      <c r="C733" s="26">
        <v>12</v>
      </c>
      <c r="D733" s="25" t="s">
        <v>869</v>
      </c>
      <c r="E733" s="27"/>
      <c r="F733" s="28">
        <v>7.5</v>
      </c>
      <c r="G733" s="29">
        <f t="shared" si="22"/>
        <v>0.625</v>
      </c>
      <c r="H733" s="30" t="s">
        <v>1060</v>
      </c>
      <c r="I733" s="30" t="s">
        <v>1137</v>
      </c>
      <c r="J733" s="31">
        <v>108</v>
      </c>
      <c r="K733" s="32">
        <v>12</v>
      </c>
      <c r="L733" s="76" t="str">
        <f t="shared" si="23"/>
        <v/>
      </c>
    </row>
    <row r="734" spans="1:12" x14ac:dyDescent="0.25">
      <c r="A734" s="25" t="s">
        <v>202</v>
      </c>
      <c r="B734" s="26">
        <v>35</v>
      </c>
      <c r="C734" s="26">
        <v>12</v>
      </c>
      <c r="D734" s="25" t="s">
        <v>1039</v>
      </c>
      <c r="E734" s="27"/>
      <c r="F734" s="28">
        <v>7.5</v>
      </c>
      <c r="G734" s="29">
        <f t="shared" si="22"/>
        <v>0.625</v>
      </c>
      <c r="H734" s="30" t="s">
        <v>1061</v>
      </c>
      <c r="I734" s="30" t="s">
        <v>1062</v>
      </c>
      <c r="J734" s="31">
        <v>96</v>
      </c>
      <c r="K734" s="32">
        <v>12</v>
      </c>
      <c r="L734" s="76" t="str">
        <f t="shared" si="23"/>
        <v/>
      </c>
    </row>
    <row r="735" spans="1:12" x14ac:dyDescent="0.25">
      <c r="A735" s="25" t="s">
        <v>348</v>
      </c>
      <c r="B735" s="26">
        <v>1</v>
      </c>
      <c r="C735" s="26">
        <v>12</v>
      </c>
      <c r="D735" s="25" t="s">
        <v>415</v>
      </c>
      <c r="E735" s="27"/>
      <c r="F735" s="28">
        <v>5.4</v>
      </c>
      <c r="G735" s="29">
        <f t="shared" si="22"/>
        <v>0.45</v>
      </c>
      <c r="H735" s="30" t="s">
        <v>349</v>
      </c>
      <c r="I735" s="30" t="s">
        <v>350</v>
      </c>
      <c r="J735" s="31">
        <v>182</v>
      </c>
      <c r="K735" s="32">
        <v>26</v>
      </c>
      <c r="L735" s="76" t="str">
        <f t="shared" si="23"/>
        <v/>
      </c>
    </row>
    <row r="736" spans="1:12" x14ac:dyDescent="0.25">
      <c r="A736" s="25" t="s">
        <v>591</v>
      </c>
      <c r="B736" s="26">
        <v>64</v>
      </c>
      <c r="C736" s="26">
        <v>12</v>
      </c>
      <c r="D736" s="25" t="s">
        <v>592</v>
      </c>
      <c r="E736" s="27"/>
      <c r="F736" s="28">
        <v>2.8</v>
      </c>
      <c r="G736" s="29">
        <f t="shared" si="22"/>
        <v>0.23333333333333331</v>
      </c>
      <c r="H736" s="30" t="s">
        <v>593</v>
      </c>
      <c r="I736" s="30" t="s">
        <v>594</v>
      </c>
      <c r="J736" s="31"/>
      <c r="K736" s="32"/>
      <c r="L736" s="76" t="str">
        <f t="shared" si="23"/>
        <v/>
      </c>
    </row>
    <row r="737" spans="1:12" x14ac:dyDescent="0.25">
      <c r="A737" s="25" t="s">
        <v>589</v>
      </c>
      <c r="B737" s="26">
        <v>7</v>
      </c>
      <c r="C737" s="26">
        <v>12</v>
      </c>
      <c r="D737" s="25" t="s">
        <v>590</v>
      </c>
      <c r="E737" s="27"/>
      <c r="F737" s="28">
        <v>6.15</v>
      </c>
      <c r="G737" s="29">
        <f t="shared" si="22"/>
        <v>0.51250000000000007</v>
      </c>
      <c r="H737" s="30" t="s">
        <v>595</v>
      </c>
      <c r="I737" s="30" t="s">
        <v>596</v>
      </c>
      <c r="J737" s="31"/>
      <c r="K737" s="32"/>
      <c r="L737" s="76" t="str">
        <f t="shared" si="23"/>
        <v/>
      </c>
    </row>
    <row r="738" spans="1:12" x14ac:dyDescent="0.25">
      <c r="A738" s="25" t="s">
        <v>637</v>
      </c>
      <c r="B738" s="26">
        <v>0</v>
      </c>
      <c r="C738" s="26">
        <v>12</v>
      </c>
      <c r="D738" s="25" t="s">
        <v>633</v>
      </c>
      <c r="E738" s="27"/>
      <c r="F738" s="28">
        <v>6.3</v>
      </c>
      <c r="G738" s="29">
        <f t="shared" si="22"/>
        <v>0.52500000000000002</v>
      </c>
      <c r="H738" s="30" t="s">
        <v>644</v>
      </c>
      <c r="I738" s="30" t="s">
        <v>645</v>
      </c>
      <c r="J738" s="31"/>
      <c r="K738" s="32"/>
      <c r="L738" s="76" t="str">
        <f t="shared" si="23"/>
        <v/>
      </c>
    </row>
    <row r="739" spans="1:12" x14ac:dyDescent="0.25">
      <c r="A739" s="25" t="s">
        <v>639</v>
      </c>
      <c r="B739" s="26">
        <v>0</v>
      </c>
      <c r="C739" s="26">
        <v>12</v>
      </c>
      <c r="D739" s="25" t="s">
        <v>634</v>
      </c>
      <c r="E739" s="27"/>
      <c r="F739" s="28">
        <v>6.3</v>
      </c>
      <c r="G739" s="29">
        <f t="shared" si="22"/>
        <v>0.52500000000000002</v>
      </c>
      <c r="H739" s="30" t="s">
        <v>648</v>
      </c>
      <c r="I739" s="30" t="s">
        <v>649</v>
      </c>
      <c r="J739" s="31"/>
      <c r="K739" s="32"/>
      <c r="L739" s="76" t="str">
        <f t="shared" si="23"/>
        <v/>
      </c>
    </row>
    <row r="740" spans="1:12" x14ac:dyDescent="0.25">
      <c r="A740" s="25" t="s">
        <v>638</v>
      </c>
      <c r="B740" s="26">
        <v>0</v>
      </c>
      <c r="C740" s="26">
        <v>12</v>
      </c>
      <c r="D740" s="25" t="s">
        <v>635</v>
      </c>
      <c r="E740" s="27"/>
      <c r="F740" s="28">
        <v>6.3</v>
      </c>
      <c r="G740" s="29">
        <f t="shared" si="22"/>
        <v>0.52500000000000002</v>
      </c>
      <c r="H740" s="30" t="s">
        <v>646</v>
      </c>
      <c r="I740" s="30" t="s">
        <v>647</v>
      </c>
      <c r="J740" s="31"/>
      <c r="K740" s="32"/>
      <c r="L740" s="76" t="str">
        <f t="shared" si="23"/>
        <v/>
      </c>
    </row>
    <row r="741" spans="1:12" x14ac:dyDescent="0.25">
      <c r="A741" s="25" t="s">
        <v>640</v>
      </c>
      <c r="B741" s="26">
        <v>6</v>
      </c>
      <c r="C741" s="26">
        <v>12</v>
      </c>
      <c r="D741" s="25" t="s">
        <v>636</v>
      </c>
      <c r="E741" s="27"/>
      <c r="F741" s="28">
        <v>6.3</v>
      </c>
      <c r="G741" s="29">
        <f t="shared" si="22"/>
        <v>0.52500000000000002</v>
      </c>
      <c r="H741" s="30" t="s">
        <v>650</v>
      </c>
      <c r="I741" s="30" t="s">
        <v>651</v>
      </c>
      <c r="J741" s="31"/>
      <c r="K741" s="32"/>
      <c r="L741" s="76" t="str">
        <f t="shared" si="23"/>
        <v/>
      </c>
    </row>
    <row r="742" spans="1:12" x14ac:dyDescent="0.25">
      <c r="A742" s="25" t="s">
        <v>789</v>
      </c>
      <c r="B742" s="26">
        <v>27</v>
      </c>
      <c r="C742" s="26">
        <v>12</v>
      </c>
      <c r="D742" s="25" t="s">
        <v>787</v>
      </c>
      <c r="E742" s="27"/>
      <c r="F742" s="28">
        <v>6.3</v>
      </c>
      <c r="G742" s="29">
        <f t="shared" si="22"/>
        <v>0.52500000000000002</v>
      </c>
      <c r="H742" s="30" t="s">
        <v>794</v>
      </c>
      <c r="I742" s="30" t="s">
        <v>795</v>
      </c>
      <c r="J742" s="31"/>
      <c r="K742" s="32"/>
      <c r="L742" s="76" t="str">
        <f t="shared" si="23"/>
        <v/>
      </c>
    </row>
    <row r="743" spans="1:12" x14ac:dyDescent="0.25">
      <c r="A743" s="25" t="s">
        <v>790</v>
      </c>
      <c r="B743" s="26">
        <v>0</v>
      </c>
      <c r="C743" s="26">
        <v>12</v>
      </c>
      <c r="D743" s="25" t="s">
        <v>788</v>
      </c>
      <c r="E743" s="27"/>
      <c r="F743" s="28">
        <v>6.3</v>
      </c>
      <c r="G743" s="29">
        <f t="shared" si="22"/>
        <v>0.52500000000000002</v>
      </c>
      <c r="H743" s="30" t="s">
        <v>792</v>
      </c>
      <c r="I743" s="30" t="s">
        <v>793</v>
      </c>
      <c r="J743" s="31"/>
      <c r="K743" s="32"/>
      <c r="L743" s="76" t="str">
        <f t="shared" si="23"/>
        <v/>
      </c>
    </row>
    <row r="744" spans="1:12" x14ac:dyDescent="0.25">
      <c r="A744" s="25" t="s">
        <v>1796</v>
      </c>
      <c r="B744" s="26">
        <v>1</v>
      </c>
      <c r="C744" s="26">
        <v>12</v>
      </c>
      <c r="D744" s="25" t="s">
        <v>1797</v>
      </c>
      <c r="E744" s="27"/>
      <c r="F744" s="28">
        <v>6.3</v>
      </c>
      <c r="G744" s="29">
        <f t="shared" si="22"/>
        <v>0.52500000000000002</v>
      </c>
      <c r="H744" s="30" t="s">
        <v>1830</v>
      </c>
      <c r="I744" s="30" t="s">
        <v>1831</v>
      </c>
      <c r="J744" s="31"/>
      <c r="K744" s="32"/>
      <c r="L744" s="76" t="str">
        <f t="shared" si="23"/>
        <v/>
      </c>
    </row>
    <row r="745" spans="1:12" x14ac:dyDescent="0.25">
      <c r="A745" s="25" t="s">
        <v>1591</v>
      </c>
      <c r="B745" s="26">
        <v>0</v>
      </c>
      <c r="C745" s="26">
        <v>12</v>
      </c>
      <c r="D745" s="25" t="s">
        <v>1592</v>
      </c>
      <c r="E745" s="27"/>
      <c r="F745" s="28">
        <v>6.3</v>
      </c>
      <c r="G745" s="29">
        <f t="shared" si="22"/>
        <v>0.52500000000000002</v>
      </c>
      <c r="H745" s="30" t="s">
        <v>1593</v>
      </c>
      <c r="I745" s="30" t="s">
        <v>1594</v>
      </c>
      <c r="J745" s="31"/>
      <c r="K745" s="37"/>
      <c r="L745" s="76" t="str">
        <f t="shared" si="23"/>
        <v/>
      </c>
    </row>
    <row r="746" spans="1:12" x14ac:dyDescent="0.25">
      <c r="A746" s="36" t="s">
        <v>1922</v>
      </c>
      <c r="B746" s="53">
        <v>50</v>
      </c>
      <c r="C746" s="53">
        <v>12</v>
      </c>
      <c r="D746" s="36" t="s">
        <v>1923</v>
      </c>
      <c r="E746" s="31"/>
      <c r="F746" s="28">
        <v>12.8</v>
      </c>
      <c r="G746" s="28">
        <f t="shared" si="22"/>
        <v>1.0666666666666667</v>
      </c>
      <c r="H746" s="65" t="s">
        <v>1924</v>
      </c>
      <c r="I746" s="65" t="s">
        <v>1925</v>
      </c>
      <c r="J746" s="31">
        <v>128</v>
      </c>
      <c r="K746" s="53">
        <v>32</v>
      </c>
      <c r="L746" s="76" t="str">
        <f t="shared" si="23"/>
        <v/>
      </c>
    </row>
    <row r="747" spans="1:12" x14ac:dyDescent="0.25">
      <c r="A747" s="25" t="s">
        <v>2704</v>
      </c>
      <c r="B747" s="26">
        <v>378</v>
      </c>
      <c r="C747" s="26">
        <v>6</v>
      </c>
      <c r="D747" s="25" t="s">
        <v>2705</v>
      </c>
      <c r="E747" s="27"/>
      <c r="F747" s="28">
        <v>7.32</v>
      </c>
      <c r="G747" s="29">
        <f t="shared" si="22"/>
        <v>1.22</v>
      </c>
      <c r="H747" s="30" t="s">
        <v>2920</v>
      </c>
      <c r="I747" s="30" t="s">
        <v>2921</v>
      </c>
      <c r="J747" s="31">
        <v>244</v>
      </c>
      <c r="K747" s="53">
        <v>61</v>
      </c>
      <c r="L747" s="76" t="str">
        <f t="shared" si="23"/>
        <v/>
      </c>
    </row>
    <row r="748" spans="1:12" x14ac:dyDescent="0.25">
      <c r="A748" s="25" t="s">
        <v>2891</v>
      </c>
      <c r="B748" s="35">
        <v>110</v>
      </c>
      <c r="C748" s="26">
        <v>6</v>
      </c>
      <c r="D748" s="25" t="s">
        <v>2892</v>
      </c>
      <c r="E748" s="31"/>
      <c r="F748" s="33">
        <v>7.32</v>
      </c>
      <c r="G748" s="33">
        <f t="shared" ref="G748:G811" si="24">F748/C748</f>
        <v>1.22</v>
      </c>
      <c r="H748" s="30" t="s">
        <v>2893</v>
      </c>
      <c r="I748" s="30" t="s">
        <v>2894</v>
      </c>
      <c r="J748" s="27">
        <v>244</v>
      </c>
      <c r="K748" s="53">
        <v>61</v>
      </c>
      <c r="L748" s="77" t="str">
        <f t="shared" ref="L748:L811" si="25">IF(E748,E748*F748,"")</f>
        <v/>
      </c>
    </row>
    <row r="749" spans="1:12" x14ac:dyDescent="0.25">
      <c r="A749" s="25" t="s">
        <v>1127</v>
      </c>
      <c r="B749" s="26">
        <v>299</v>
      </c>
      <c r="C749" s="26">
        <v>6</v>
      </c>
      <c r="D749" s="25" t="s">
        <v>1154</v>
      </c>
      <c r="E749" s="27"/>
      <c r="F749" s="28">
        <v>7.32</v>
      </c>
      <c r="G749" s="29">
        <f t="shared" si="24"/>
        <v>1.22</v>
      </c>
      <c r="H749" s="30" t="s">
        <v>1128</v>
      </c>
      <c r="I749" s="30" t="s">
        <v>1129</v>
      </c>
      <c r="J749" s="31">
        <v>244</v>
      </c>
      <c r="K749" s="32">
        <v>61</v>
      </c>
      <c r="L749" s="76" t="str">
        <f t="shared" si="25"/>
        <v/>
      </c>
    </row>
    <row r="750" spans="1:12" x14ac:dyDescent="0.25">
      <c r="A750" s="25" t="s">
        <v>890</v>
      </c>
      <c r="B750" s="26">
        <v>271</v>
      </c>
      <c r="C750" s="26">
        <v>6</v>
      </c>
      <c r="D750" s="25" t="s">
        <v>893</v>
      </c>
      <c r="E750" s="27"/>
      <c r="F750" s="28">
        <v>7.32</v>
      </c>
      <c r="G750" s="29">
        <f t="shared" si="24"/>
        <v>1.22</v>
      </c>
      <c r="H750" s="30" t="s">
        <v>898</v>
      </c>
      <c r="I750" s="30" t="s">
        <v>899</v>
      </c>
      <c r="J750" s="31">
        <v>244</v>
      </c>
      <c r="K750" s="32">
        <v>61</v>
      </c>
      <c r="L750" s="76" t="str">
        <f t="shared" si="25"/>
        <v/>
      </c>
    </row>
    <row r="751" spans="1:12" x14ac:dyDescent="0.25">
      <c r="A751" s="25" t="s">
        <v>1626</v>
      </c>
      <c r="B751" s="26">
        <v>61</v>
      </c>
      <c r="C751" s="26">
        <v>6</v>
      </c>
      <c r="D751" s="25" t="s">
        <v>1628</v>
      </c>
      <c r="E751" s="27"/>
      <c r="F751" s="28">
        <v>7.32</v>
      </c>
      <c r="G751" s="29">
        <f t="shared" si="24"/>
        <v>1.22</v>
      </c>
      <c r="H751" s="30" t="s">
        <v>1664</v>
      </c>
      <c r="I751" s="30" t="s">
        <v>1627</v>
      </c>
      <c r="J751" s="31">
        <v>244</v>
      </c>
      <c r="K751" s="32">
        <v>61</v>
      </c>
      <c r="L751" s="76" t="str">
        <f t="shared" si="25"/>
        <v/>
      </c>
    </row>
    <row r="752" spans="1:12" x14ac:dyDescent="0.25">
      <c r="A752" s="25" t="s">
        <v>891</v>
      </c>
      <c r="B752" s="26">
        <v>226</v>
      </c>
      <c r="C752" s="26">
        <v>6</v>
      </c>
      <c r="D752" s="25" t="s">
        <v>894</v>
      </c>
      <c r="E752" s="27"/>
      <c r="F752" s="28">
        <v>7.32</v>
      </c>
      <c r="G752" s="29">
        <f t="shared" si="24"/>
        <v>1.22</v>
      </c>
      <c r="H752" s="30" t="s">
        <v>900</v>
      </c>
      <c r="I752" s="30" t="s">
        <v>901</v>
      </c>
      <c r="J752" s="31">
        <v>244</v>
      </c>
      <c r="K752" s="32">
        <v>61</v>
      </c>
      <c r="L752" s="76" t="str">
        <f t="shared" si="25"/>
        <v/>
      </c>
    </row>
    <row r="753" spans="1:12" x14ac:dyDescent="0.25">
      <c r="A753" s="25" t="s">
        <v>892</v>
      </c>
      <c r="B753" s="26">
        <v>250</v>
      </c>
      <c r="C753" s="26">
        <v>6</v>
      </c>
      <c r="D753" s="25" t="s">
        <v>895</v>
      </c>
      <c r="E753" s="27"/>
      <c r="F753" s="28">
        <v>7.32</v>
      </c>
      <c r="G753" s="29">
        <f t="shared" si="24"/>
        <v>1.22</v>
      </c>
      <c r="H753" s="30" t="s">
        <v>902</v>
      </c>
      <c r="I753" s="30" t="s">
        <v>1116</v>
      </c>
      <c r="J753" s="31">
        <v>244</v>
      </c>
      <c r="K753" s="32">
        <v>61</v>
      </c>
      <c r="L753" s="76" t="str">
        <f t="shared" si="25"/>
        <v/>
      </c>
    </row>
    <row r="754" spans="1:12" x14ac:dyDescent="0.25">
      <c r="A754" s="25" t="s">
        <v>1299</v>
      </c>
      <c r="B754" s="26">
        <v>133</v>
      </c>
      <c r="C754" s="26">
        <v>6</v>
      </c>
      <c r="D754" s="25" t="s">
        <v>1296</v>
      </c>
      <c r="E754" s="27"/>
      <c r="F754" s="28">
        <v>4.1399999999999997</v>
      </c>
      <c r="G754" s="29">
        <f t="shared" si="24"/>
        <v>0.69</v>
      </c>
      <c r="H754" s="30" t="s">
        <v>1309</v>
      </c>
      <c r="I754" s="30" t="s">
        <v>1310</v>
      </c>
      <c r="J754" s="31">
        <v>520</v>
      </c>
      <c r="K754" s="32">
        <v>65</v>
      </c>
      <c r="L754" s="76" t="str">
        <f t="shared" si="25"/>
        <v/>
      </c>
    </row>
    <row r="755" spans="1:12" x14ac:dyDescent="0.25">
      <c r="A755" s="25" t="s">
        <v>1300</v>
      </c>
      <c r="B755" s="26">
        <v>188</v>
      </c>
      <c r="C755" s="26">
        <v>6</v>
      </c>
      <c r="D755" s="25" t="s">
        <v>1297</v>
      </c>
      <c r="E755" s="27"/>
      <c r="F755" s="28">
        <v>4.1399999999999997</v>
      </c>
      <c r="G755" s="29">
        <f t="shared" si="24"/>
        <v>0.69</v>
      </c>
      <c r="H755" s="30" t="s">
        <v>1307</v>
      </c>
      <c r="I755" s="30" t="s">
        <v>1308</v>
      </c>
      <c r="J755" s="31">
        <v>520</v>
      </c>
      <c r="K755" s="32">
        <v>65</v>
      </c>
      <c r="L755" s="76" t="str">
        <f t="shared" si="25"/>
        <v/>
      </c>
    </row>
    <row r="756" spans="1:12" x14ac:dyDescent="0.25">
      <c r="A756" s="25" t="s">
        <v>1301</v>
      </c>
      <c r="B756" s="26">
        <v>275</v>
      </c>
      <c r="C756" s="26">
        <v>6</v>
      </c>
      <c r="D756" s="25" t="s">
        <v>1337</v>
      </c>
      <c r="E756" s="27"/>
      <c r="F756" s="28">
        <v>4.1399999999999997</v>
      </c>
      <c r="G756" s="29">
        <f t="shared" si="24"/>
        <v>0.69</v>
      </c>
      <c r="H756" s="30" t="s">
        <v>1305</v>
      </c>
      <c r="I756" s="30" t="s">
        <v>1306</v>
      </c>
      <c r="J756" s="31">
        <v>520</v>
      </c>
      <c r="K756" s="32">
        <v>65</v>
      </c>
      <c r="L756" s="76" t="str">
        <f t="shared" si="25"/>
        <v/>
      </c>
    </row>
    <row r="757" spans="1:12" x14ac:dyDescent="0.25">
      <c r="A757" s="25" t="s">
        <v>3733</v>
      </c>
      <c r="B757" s="26">
        <v>354</v>
      </c>
      <c r="C757" s="26">
        <v>6</v>
      </c>
      <c r="D757" s="25" t="s">
        <v>3732</v>
      </c>
      <c r="E757" s="27"/>
      <c r="F757" s="28">
        <v>4.1399999999999997</v>
      </c>
      <c r="G757" s="29">
        <f t="shared" si="24"/>
        <v>0.69</v>
      </c>
      <c r="H757" s="30" t="s">
        <v>3734</v>
      </c>
      <c r="I757" s="30" t="s">
        <v>3803</v>
      </c>
      <c r="J757" s="31">
        <v>520</v>
      </c>
      <c r="K757" s="32">
        <v>65</v>
      </c>
      <c r="L757" s="76" t="str">
        <f t="shared" si="25"/>
        <v/>
      </c>
    </row>
    <row r="758" spans="1:12" x14ac:dyDescent="0.25">
      <c r="A758" s="25" t="s">
        <v>1302</v>
      </c>
      <c r="B758" s="26">
        <v>72</v>
      </c>
      <c r="C758" s="26">
        <v>6</v>
      </c>
      <c r="D758" s="25" t="s">
        <v>1298</v>
      </c>
      <c r="E758" s="27"/>
      <c r="F758" s="28">
        <v>4.1399999999999997</v>
      </c>
      <c r="G758" s="29">
        <f t="shared" si="24"/>
        <v>0.69</v>
      </c>
      <c r="H758" s="30" t="s">
        <v>1303</v>
      </c>
      <c r="I758" s="30" t="s">
        <v>1304</v>
      </c>
      <c r="J758" s="31">
        <v>520</v>
      </c>
      <c r="K758" s="32">
        <v>65</v>
      </c>
      <c r="L758" s="76" t="str">
        <f t="shared" si="25"/>
        <v/>
      </c>
    </row>
    <row r="759" spans="1:12" x14ac:dyDescent="0.25">
      <c r="A759" s="25" t="s">
        <v>1101</v>
      </c>
      <c r="B759" s="26">
        <v>199</v>
      </c>
      <c r="C759" s="26">
        <v>6</v>
      </c>
      <c r="D759" s="25" t="s">
        <v>1397</v>
      </c>
      <c r="E759" s="27"/>
      <c r="F759" s="28">
        <v>4.1399999999999997</v>
      </c>
      <c r="G759" s="29">
        <f t="shared" si="24"/>
        <v>0.69</v>
      </c>
      <c r="H759" s="30" t="s">
        <v>2284</v>
      </c>
      <c r="I759" s="30" t="s">
        <v>2285</v>
      </c>
      <c r="J759" s="31">
        <v>520</v>
      </c>
      <c r="K759" s="32">
        <v>65</v>
      </c>
      <c r="L759" s="76" t="str">
        <f t="shared" si="25"/>
        <v/>
      </c>
    </row>
    <row r="760" spans="1:12" x14ac:dyDescent="0.25">
      <c r="A760" s="25" t="s">
        <v>1100</v>
      </c>
      <c r="B760" s="26">
        <v>781</v>
      </c>
      <c r="C760" s="26">
        <v>6</v>
      </c>
      <c r="D760" s="25" t="s">
        <v>2280</v>
      </c>
      <c r="E760" s="27"/>
      <c r="F760" s="28">
        <v>4.1399999999999997</v>
      </c>
      <c r="G760" s="29">
        <f t="shared" si="24"/>
        <v>0.69</v>
      </c>
      <c r="H760" s="30" t="s">
        <v>2281</v>
      </c>
      <c r="I760" s="30" t="s">
        <v>2282</v>
      </c>
      <c r="J760" s="31">
        <v>520</v>
      </c>
      <c r="K760" s="32">
        <v>65</v>
      </c>
      <c r="L760" s="76" t="str">
        <f t="shared" si="25"/>
        <v/>
      </c>
    </row>
    <row r="761" spans="1:12" x14ac:dyDescent="0.25">
      <c r="A761" s="25" t="s">
        <v>2600</v>
      </c>
      <c r="B761" s="26">
        <v>225</v>
      </c>
      <c r="C761" s="26">
        <v>6</v>
      </c>
      <c r="D761" s="25" t="s">
        <v>2601</v>
      </c>
      <c r="E761" s="27"/>
      <c r="F761" s="28">
        <v>4.1399999999999997</v>
      </c>
      <c r="G761" s="29">
        <f t="shared" si="24"/>
        <v>0.69</v>
      </c>
      <c r="H761" s="30" t="s">
        <v>2602</v>
      </c>
      <c r="I761" s="30" t="s">
        <v>2603</v>
      </c>
      <c r="J761" s="31">
        <v>520</v>
      </c>
      <c r="K761" s="32">
        <v>65</v>
      </c>
      <c r="L761" s="76" t="str">
        <f t="shared" si="25"/>
        <v/>
      </c>
    </row>
    <row r="762" spans="1:12" x14ac:dyDescent="0.25">
      <c r="A762" s="25" t="s">
        <v>2788</v>
      </c>
      <c r="B762" s="26">
        <v>2</v>
      </c>
      <c r="C762" s="26">
        <v>6</v>
      </c>
      <c r="D762" s="25" t="s">
        <v>2789</v>
      </c>
      <c r="E762" s="27"/>
      <c r="F762" s="28">
        <v>6.6</v>
      </c>
      <c r="G762" s="29">
        <f t="shared" si="24"/>
        <v>1.0999999999999999</v>
      </c>
      <c r="H762" s="30" t="s">
        <v>2790</v>
      </c>
      <c r="I762" s="30" t="s">
        <v>2791</v>
      </c>
      <c r="J762" s="31">
        <v>220</v>
      </c>
      <c r="K762" s="32">
        <v>44</v>
      </c>
      <c r="L762" s="76" t="str">
        <f t="shared" si="25"/>
        <v/>
      </c>
    </row>
    <row r="763" spans="1:12" x14ac:dyDescent="0.25">
      <c r="A763" s="25" t="s">
        <v>3221</v>
      </c>
      <c r="B763" s="26">
        <v>97</v>
      </c>
      <c r="C763" s="26">
        <v>6</v>
      </c>
      <c r="D763" s="25" t="s">
        <v>3222</v>
      </c>
      <c r="E763" s="27"/>
      <c r="F763" s="28">
        <v>7.2</v>
      </c>
      <c r="G763" s="29">
        <f t="shared" si="24"/>
        <v>1.2</v>
      </c>
      <c r="H763" s="30" t="s">
        <v>3223</v>
      </c>
      <c r="I763" s="30" t="s">
        <v>3277</v>
      </c>
      <c r="J763" s="31">
        <v>128</v>
      </c>
      <c r="K763" s="32">
        <v>32</v>
      </c>
      <c r="L763" s="76" t="str">
        <f t="shared" si="25"/>
        <v/>
      </c>
    </row>
    <row r="764" spans="1:12" x14ac:dyDescent="0.25">
      <c r="A764" s="25" t="s">
        <v>1661</v>
      </c>
      <c r="B764" s="26">
        <v>47</v>
      </c>
      <c r="C764" s="26">
        <v>6</v>
      </c>
      <c r="D764" s="25" t="s">
        <v>1662</v>
      </c>
      <c r="E764" s="27"/>
      <c r="F764" s="28">
        <v>3.6</v>
      </c>
      <c r="G764" s="29">
        <f t="shared" si="24"/>
        <v>0.6</v>
      </c>
      <c r="H764" s="30" t="s">
        <v>1663</v>
      </c>
      <c r="I764" s="30" t="s">
        <v>1710</v>
      </c>
      <c r="J764" s="31">
        <v>800</v>
      </c>
      <c r="K764" s="32">
        <v>80</v>
      </c>
      <c r="L764" s="76" t="str">
        <f t="shared" si="25"/>
        <v/>
      </c>
    </row>
    <row r="765" spans="1:12" x14ac:dyDescent="0.25">
      <c r="A765" s="25" t="s">
        <v>737</v>
      </c>
      <c r="B765" s="26">
        <v>16</v>
      </c>
      <c r="C765" s="53">
        <v>6</v>
      </c>
      <c r="D765" s="36" t="s">
        <v>1660</v>
      </c>
      <c r="E765" s="27"/>
      <c r="F765" s="28">
        <v>7.8</v>
      </c>
      <c r="G765" s="29">
        <f t="shared" si="24"/>
        <v>1.3</v>
      </c>
      <c r="H765" s="72">
        <v>5012583200765</v>
      </c>
      <c r="I765" s="30" t="s">
        <v>738</v>
      </c>
      <c r="J765" s="31">
        <v>330</v>
      </c>
      <c r="K765" s="32">
        <v>66</v>
      </c>
      <c r="L765" s="76" t="str">
        <f t="shared" si="25"/>
        <v/>
      </c>
    </row>
    <row r="766" spans="1:12" x14ac:dyDescent="0.25">
      <c r="A766" s="25" t="s">
        <v>3395</v>
      </c>
      <c r="B766" s="26">
        <v>39</v>
      </c>
      <c r="C766" s="53">
        <v>6</v>
      </c>
      <c r="D766" s="36" t="s">
        <v>3396</v>
      </c>
      <c r="E766" s="27"/>
      <c r="F766" s="28">
        <v>7.8</v>
      </c>
      <c r="G766" s="29">
        <f t="shared" si="24"/>
        <v>1.3</v>
      </c>
      <c r="H766" s="72">
        <v>5012583200819</v>
      </c>
      <c r="I766" s="30" t="s">
        <v>3397</v>
      </c>
      <c r="J766" s="31">
        <v>330</v>
      </c>
      <c r="K766" s="32">
        <v>66</v>
      </c>
      <c r="L766" s="76" t="str">
        <f t="shared" si="25"/>
        <v/>
      </c>
    </row>
    <row r="767" spans="1:12" x14ac:dyDescent="0.25">
      <c r="A767" s="25" t="s">
        <v>3757</v>
      </c>
      <c r="B767" s="26">
        <v>151</v>
      </c>
      <c r="C767" s="53">
        <v>6</v>
      </c>
      <c r="D767" s="36" t="s">
        <v>3758</v>
      </c>
      <c r="E767" s="27"/>
      <c r="F767" s="28">
        <v>7.8</v>
      </c>
      <c r="G767" s="29">
        <f t="shared" si="24"/>
        <v>1.3</v>
      </c>
      <c r="H767" s="72">
        <v>5056657200367</v>
      </c>
      <c r="I767" s="30" t="s">
        <v>3791</v>
      </c>
      <c r="J767" s="31">
        <v>330</v>
      </c>
      <c r="K767" s="32">
        <v>66</v>
      </c>
      <c r="L767" s="76" t="str">
        <f t="shared" si="25"/>
        <v/>
      </c>
    </row>
    <row r="768" spans="1:12" x14ac:dyDescent="0.25">
      <c r="A768" s="25" t="s">
        <v>3184</v>
      </c>
      <c r="B768" s="26">
        <v>159</v>
      </c>
      <c r="C768" s="26">
        <v>12</v>
      </c>
      <c r="D768" s="25" t="s">
        <v>3398</v>
      </c>
      <c r="E768" s="31"/>
      <c r="F768" s="33">
        <v>9.8000000000000007</v>
      </c>
      <c r="G768" s="33">
        <f t="shared" si="24"/>
        <v>0.81666666666666676</v>
      </c>
      <c r="H768" s="30" t="s">
        <v>3185</v>
      </c>
      <c r="I768" s="30" t="s">
        <v>3186</v>
      </c>
      <c r="J768" s="31">
        <v>192</v>
      </c>
      <c r="K768" s="53">
        <v>32</v>
      </c>
      <c r="L768" s="77" t="str">
        <f t="shared" si="25"/>
        <v/>
      </c>
    </row>
    <row r="769" spans="1:12" x14ac:dyDescent="0.25">
      <c r="A769" s="25" t="s">
        <v>1177</v>
      </c>
      <c r="B769" s="35">
        <v>546</v>
      </c>
      <c r="C769" s="26">
        <v>12</v>
      </c>
      <c r="D769" s="25" t="s">
        <v>1178</v>
      </c>
      <c r="E769" s="27"/>
      <c r="F769" s="28">
        <v>8.9499999999999993</v>
      </c>
      <c r="G769" s="29">
        <f t="shared" si="24"/>
        <v>0.74583333333333324</v>
      </c>
      <c r="H769" s="30" t="s">
        <v>1188</v>
      </c>
      <c r="I769" s="30" t="s">
        <v>2236</v>
      </c>
      <c r="J769" s="35">
        <v>360</v>
      </c>
      <c r="K769" s="32">
        <v>72</v>
      </c>
      <c r="L769" s="76" t="str">
        <f t="shared" si="25"/>
        <v/>
      </c>
    </row>
    <row r="770" spans="1:12" x14ac:dyDescent="0.25">
      <c r="A770" s="25" t="s">
        <v>391</v>
      </c>
      <c r="B770" s="35">
        <v>412</v>
      </c>
      <c r="C770" s="26">
        <v>12</v>
      </c>
      <c r="D770" s="25" t="s">
        <v>392</v>
      </c>
      <c r="E770" s="27"/>
      <c r="F770" s="28">
        <v>8.9499999999999993</v>
      </c>
      <c r="G770" s="29">
        <f t="shared" si="24"/>
        <v>0.74583333333333324</v>
      </c>
      <c r="H770" s="30" t="s">
        <v>393</v>
      </c>
      <c r="I770" s="30" t="s">
        <v>394</v>
      </c>
      <c r="J770" s="35">
        <v>360</v>
      </c>
      <c r="K770" s="32">
        <v>72</v>
      </c>
      <c r="L770" s="76" t="str">
        <f t="shared" si="25"/>
        <v/>
      </c>
    </row>
    <row r="771" spans="1:12" x14ac:dyDescent="0.25">
      <c r="A771" s="25" t="s">
        <v>1470</v>
      </c>
      <c r="B771" s="35">
        <v>20</v>
      </c>
      <c r="C771" s="26">
        <v>6</v>
      </c>
      <c r="D771" s="25" t="s">
        <v>1472</v>
      </c>
      <c r="E771" s="27"/>
      <c r="F771" s="28">
        <v>6.15</v>
      </c>
      <c r="G771" s="29">
        <f t="shared" si="24"/>
        <v>1.0250000000000001</v>
      </c>
      <c r="H771" s="30" t="s">
        <v>1474</v>
      </c>
      <c r="I771" s="30" t="s">
        <v>1481</v>
      </c>
      <c r="J771" s="35">
        <v>800</v>
      </c>
      <c r="K771" s="32">
        <v>80</v>
      </c>
      <c r="L771" s="76" t="str">
        <f t="shared" si="25"/>
        <v/>
      </c>
    </row>
    <row r="772" spans="1:12" x14ac:dyDescent="0.25">
      <c r="A772" s="25" t="s">
        <v>1471</v>
      </c>
      <c r="B772" s="35">
        <v>19</v>
      </c>
      <c r="C772" s="26">
        <v>6</v>
      </c>
      <c r="D772" s="25" t="s">
        <v>1473</v>
      </c>
      <c r="E772" s="27"/>
      <c r="F772" s="28">
        <v>6.15</v>
      </c>
      <c r="G772" s="29">
        <f t="shared" si="24"/>
        <v>1.0250000000000001</v>
      </c>
      <c r="H772" s="30" t="s">
        <v>1475</v>
      </c>
      <c r="I772" s="30" t="s">
        <v>1482</v>
      </c>
      <c r="J772" s="35">
        <v>800</v>
      </c>
      <c r="K772" s="32">
        <v>80</v>
      </c>
      <c r="L772" s="76" t="str">
        <f t="shared" si="25"/>
        <v/>
      </c>
    </row>
    <row r="773" spans="1:12" x14ac:dyDescent="0.25">
      <c r="A773" s="25" t="s">
        <v>1623</v>
      </c>
      <c r="B773" s="35">
        <v>389</v>
      </c>
      <c r="C773" s="26">
        <v>6</v>
      </c>
      <c r="D773" s="25" t="s">
        <v>1622</v>
      </c>
      <c r="E773" s="27"/>
      <c r="F773" s="28">
        <v>6.15</v>
      </c>
      <c r="G773" s="29">
        <f t="shared" si="24"/>
        <v>1.0250000000000001</v>
      </c>
      <c r="H773" s="30" t="s">
        <v>1625</v>
      </c>
      <c r="I773" s="30" t="s">
        <v>1621</v>
      </c>
      <c r="J773" s="35">
        <v>800</v>
      </c>
      <c r="K773" s="32">
        <v>80</v>
      </c>
      <c r="L773" s="76" t="str">
        <f t="shared" si="25"/>
        <v/>
      </c>
    </row>
    <row r="774" spans="1:12" x14ac:dyDescent="0.25">
      <c r="A774" s="25" t="s">
        <v>3498</v>
      </c>
      <c r="B774" s="35">
        <v>656</v>
      </c>
      <c r="C774" s="26">
        <v>6</v>
      </c>
      <c r="D774" s="25" t="s">
        <v>3497</v>
      </c>
      <c r="E774" s="27"/>
      <c r="F774" s="28">
        <v>6.15</v>
      </c>
      <c r="G774" s="29">
        <f t="shared" si="24"/>
        <v>1.0250000000000001</v>
      </c>
      <c r="H774" s="30" t="s">
        <v>3499</v>
      </c>
      <c r="I774" s="30" t="s">
        <v>3500</v>
      </c>
      <c r="J774" s="35">
        <v>800</v>
      </c>
      <c r="K774" s="32">
        <v>80</v>
      </c>
      <c r="L774" s="76" t="str">
        <f t="shared" si="25"/>
        <v/>
      </c>
    </row>
    <row r="775" spans="1:12" x14ac:dyDescent="0.25">
      <c r="A775" s="25" t="s">
        <v>3876</v>
      </c>
      <c r="B775" s="35">
        <v>17</v>
      </c>
      <c r="C775" s="26">
        <v>6</v>
      </c>
      <c r="D775" s="25" t="s">
        <v>3877</v>
      </c>
      <c r="E775" s="27"/>
      <c r="F775" s="28">
        <v>6.15</v>
      </c>
      <c r="G775" s="34">
        <f t="shared" si="24"/>
        <v>1.0250000000000001</v>
      </c>
      <c r="H775" s="30" t="s">
        <v>3878</v>
      </c>
      <c r="I775" s="30" t="s">
        <v>3879</v>
      </c>
      <c r="J775" s="35">
        <v>800</v>
      </c>
      <c r="K775" s="32">
        <v>80</v>
      </c>
      <c r="L775" s="76" t="str">
        <f t="shared" si="25"/>
        <v/>
      </c>
    </row>
    <row r="776" spans="1:12" x14ac:dyDescent="0.25">
      <c r="A776" s="25" t="s">
        <v>3880</v>
      </c>
      <c r="B776" s="35">
        <v>20</v>
      </c>
      <c r="C776" s="26">
        <v>6</v>
      </c>
      <c r="D776" s="25" t="s">
        <v>3881</v>
      </c>
      <c r="E776" s="27"/>
      <c r="F776" s="28">
        <v>6.15</v>
      </c>
      <c r="G776" s="34">
        <f t="shared" si="24"/>
        <v>1.0250000000000001</v>
      </c>
      <c r="H776" s="30" t="s">
        <v>3882</v>
      </c>
      <c r="I776" s="30" t="s">
        <v>3883</v>
      </c>
      <c r="J776" s="35">
        <v>800</v>
      </c>
      <c r="K776" s="32">
        <v>80</v>
      </c>
      <c r="L776" s="76" t="str">
        <f t="shared" si="25"/>
        <v/>
      </c>
    </row>
    <row r="777" spans="1:12" x14ac:dyDescent="0.25">
      <c r="A777" s="25" t="s">
        <v>3884</v>
      </c>
      <c r="B777" s="35">
        <v>20</v>
      </c>
      <c r="C777" s="26">
        <v>6</v>
      </c>
      <c r="D777" s="25" t="s">
        <v>3885</v>
      </c>
      <c r="E777" s="27"/>
      <c r="F777" s="28">
        <v>6.15</v>
      </c>
      <c r="G777" s="34">
        <f t="shared" si="24"/>
        <v>1.0250000000000001</v>
      </c>
      <c r="H777" s="30" t="s">
        <v>3886</v>
      </c>
      <c r="I777" s="30" t="s">
        <v>3887</v>
      </c>
      <c r="J777" s="35">
        <v>800</v>
      </c>
      <c r="K777" s="32">
        <v>80</v>
      </c>
      <c r="L777" s="76" t="str">
        <f t="shared" si="25"/>
        <v/>
      </c>
    </row>
    <row r="778" spans="1:12" x14ac:dyDescent="0.25">
      <c r="A778" s="25" t="s">
        <v>3888</v>
      </c>
      <c r="B778" s="35">
        <v>17</v>
      </c>
      <c r="C778" s="26">
        <v>6</v>
      </c>
      <c r="D778" s="25" t="s">
        <v>3889</v>
      </c>
      <c r="E778" s="27"/>
      <c r="F778" s="28">
        <v>6.15</v>
      </c>
      <c r="G778" s="34">
        <f t="shared" si="24"/>
        <v>1.0250000000000001</v>
      </c>
      <c r="H778" s="30" t="s">
        <v>3890</v>
      </c>
      <c r="I778" s="30" t="s">
        <v>3891</v>
      </c>
      <c r="J778" s="35">
        <v>800</v>
      </c>
      <c r="K778" s="32">
        <v>80</v>
      </c>
      <c r="L778" s="76" t="str">
        <f t="shared" si="25"/>
        <v/>
      </c>
    </row>
    <row r="779" spans="1:12" x14ac:dyDescent="0.25">
      <c r="A779" s="25" t="s">
        <v>3892</v>
      </c>
      <c r="B779" s="35">
        <v>20</v>
      </c>
      <c r="C779" s="26">
        <v>6</v>
      </c>
      <c r="D779" s="25" t="s">
        <v>3893</v>
      </c>
      <c r="E779" s="27"/>
      <c r="F779" s="28">
        <v>6.15</v>
      </c>
      <c r="G779" s="34">
        <f t="shared" si="24"/>
        <v>1.0250000000000001</v>
      </c>
      <c r="H779" s="30" t="s">
        <v>3894</v>
      </c>
      <c r="I779" s="30" t="s">
        <v>3895</v>
      </c>
      <c r="J779" s="35">
        <v>800</v>
      </c>
      <c r="K779" s="32">
        <v>80</v>
      </c>
      <c r="L779" s="76" t="str">
        <f t="shared" si="25"/>
        <v/>
      </c>
    </row>
    <row r="780" spans="1:12" x14ac:dyDescent="0.25">
      <c r="A780" s="25" t="s">
        <v>2394</v>
      </c>
      <c r="B780" s="35">
        <v>21</v>
      </c>
      <c r="C780" s="26">
        <v>6</v>
      </c>
      <c r="D780" s="25" t="s">
        <v>2393</v>
      </c>
      <c r="E780" s="27"/>
      <c r="F780" s="28">
        <v>7.8</v>
      </c>
      <c r="G780" s="29">
        <f t="shared" si="24"/>
        <v>1.3</v>
      </c>
      <c r="H780" s="30" t="s">
        <v>2407</v>
      </c>
      <c r="I780" s="30" t="s">
        <v>2406</v>
      </c>
      <c r="J780" s="32">
        <v>320</v>
      </c>
      <c r="K780" s="32">
        <v>80</v>
      </c>
      <c r="L780" s="76" t="str">
        <f t="shared" si="25"/>
        <v/>
      </c>
    </row>
    <row r="781" spans="1:12" x14ac:dyDescent="0.25">
      <c r="A781" s="25" t="s">
        <v>2391</v>
      </c>
      <c r="B781" s="35">
        <v>55</v>
      </c>
      <c r="C781" s="26">
        <v>6</v>
      </c>
      <c r="D781" s="25" t="s">
        <v>2392</v>
      </c>
      <c r="E781" s="27"/>
      <c r="F781" s="28">
        <v>7.8</v>
      </c>
      <c r="G781" s="29">
        <f t="shared" si="24"/>
        <v>1.3</v>
      </c>
      <c r="H781" s="30" t="s">
        <v>2502</v>
      </c>
      <c r="I781" s="30" t="s">
        <v>2405</v>
      </c>
      <c r="J781" s="35">
        <v>320</v>
      </c>
      <c r="K781" s="32">
        <v>80</v>
      </c>
      <c r="L781" s="76" t="str">
        <f t="shared" si="25"/>
        <v/>
      </c>
    </row>
    <row r="782" spans="1:12" x14ac:dyDescent="0.25">
      <c r="A782" s="25" t="s">
        <v>2957</v>
      </c>
      <c r="B782" s="35">
        <v>358</v>
      </c>
      <c r="C782" s="26">
        <v>6</v>
      </c>
      <c r="D782" s="25" t="s">
        <v>2958</v>
      </c>
      <c r="E782" s="27"/>
      <c r="F782" s="28">
        <v>8.4</v>
      </c>
      <c r="G782" s="29">
        <f t="shared" si="24"/>
        <v>1.4000000000000001</v>
      </c>
      <c r="H782" s="30" t="s">
        <v>2959</v>
      </c>
      <c r="I782" s="30" t="s">
        <v>2964</v>
      </c>
      <c r="J782" s="35">
        <v>320</v>
      </c>
      <c r="K782" s="32">
        <v>80</v>
      </c>
      <c r="L782" s="76" t="str">
        <f t="shared" si="25"/>
        <v/>
      </c>
    </row>
    <row r="783" spans="1:12" x14ac:dyDescent="0.25">
      <c r="A783" s="25" t="s">
        <v>2949</v>
      </c>
      <c r="B783" s="35">
        <v>358</v>
      </c>
      <c r="C783" s="26">
        <v>6</v>
      </c>
      <c r="D783" s="25" t="s">
        <v>2950</v>
      </c>
      <c r="E783" s="27"/>
      <c r="F783" s="28">
        <v>8.4</v>
      </c>
      <c r="G783" s="29">
        <f t="shared" si="24"/>
        <v>1.4000000000000001</v>
      </c>
      <c r="H783" s="30" t="s">
        <v>2960</v>
      </c>
      <c r="I783" s="30" t="s">
        <v>2965</v>
      </c>
      <c r="J783" s="35">
        <v>320</v>
      </c>
      <c r="K783" s="32">
        <v>80</v>
      </c>
      <c r="L783" s="76" t="str">
        <f t="shared" si="25"/>
        <v/>
      </c>
    </row>
    <row r="784" spans="1:12" x14ac:dyDescent="0.25">
      <c r="A784" s="25" t="s">
        <v>2951</v>
      </c>
      <c r="B784" s="35">
        <v>285</v>
      </c>
      <c r="C784" s="26">
        <v>6</v>
      </c>
      <c r="D784" s="25" t="s">
        <v>2952</v>
      </c>
      <c r="E784" s="27"/>
      <c r="F784" s="28">
        <v>8.4</v>
      </c>
      <c r="G784" s="29">
        <f t="shared" si="24"/>
        <v>1.4000000000000001</v>
      </c>
      <c r="H784" s="30" t="s">
        <v>2961</v>
      </c>
      <c r="I784" s="30" t="s">
        <v>2966</v>
      </c>
      <c r="J784" s="35">
        <v>320</v>
      </c>
      <c r="K784" s="32">
        <v>80</v>
      </c>
      <c r="L784" s="76" t="str">
        <f t="shared" si="25"/>
        <v/>
      </c>
    </row>
    <row r="785" spans="1:12" x14ac:dyDescent="0.25">
      <c r="A785" s="25" t="s">
        <v>2953</v>
      </c>
      <c r="B785" s="35">
        <v>203</v>
      </c>
      <c r="C785" s="26">
        <v>6</v>
      </c>
      <c r="D785" s="25" t="s">
        <v>2954</v>
      </c>
      <c r="E785" s="27"/>
      <c r="F785" s="28">
        <v>8.4</v>
      </c>
      <c r="G785" s="29">
        <f t="shared" si="24"/>
        <v>1.4000000000000001</v>
      </c>
      <c r="H785" s="30" t="s">
        <v>2962</v>
      </c>
      <c r="I785" s="30" t="s">
        <v>2967</v>
      </c>
      <c r="J785" s="35">
        <v>320</v>
      </c>
      <c r="K785" s="32">
        <v>80</v>
      </c>
      <c r="L785" s="76" t="str">
        <f t="shared" si="25"/>
        <v/>
      </c>
    </row>
    <row r="786" spans="1:12" x14ac:dyDescent="0.25">
      <c r="A786" s="25" t="s">
        <v>2955</v>
      </c>
      <c r="B786" s="35">
        <v>299</v>
      </c>
      <c r="C786" s="26">
        <v>6</v>
      </c>
      <c r="D786" s="25" t="s">
        <v>2956</v>
      </c>
      <c r="E786" s="27"/>
      <c r="F786" s="28">
        <v>8.4</v>
      </c>
      <c r="G786" s="29">
        <f t="shared" si="24"/>
        <v>1.4000000000000001</v>
      </c>
      <c r="H786" s="30" t="s">
        <v>2963</v>
      </c>
      <c r="I786" s="30" t="s">
        <v>2968</v>
      </c>
      <c r="J786" s="35">
        <v>320</v>
      </c>
      <c r="K786" s="32">
        <v>80</v>
      </c>
      <c r="L786" s="76" t="str">
        <f t="shared" si="25"/>
        <v/>
      </c>
    </row>
    <row r="787" spans="1:12" x14ac:dyDescent="0.25">
      <c r="A787" s="25" t="s">
        <v>3764</v>
      </c>
      <c r="B787" s="35">
        <v>292</v>
      </c>
      <c r="C787" s="26">
        <v>6</v>
      </c>
      <c r="D787" s="25" t="s">
        <v>3763</v>
      </c>
      <c r="E787" s="27"/>
      <c r="F787" s="28">
        <v>8.4</v>
      </c>
      <c r="G787" s="29">
        <f t="shared" si="24"/>
        <v>1.4000000000000001</v>
      </c>
      <c r="H787" s="30" t="s">
        <v>3801</v>
      </c>
      <c r="I787" s="30" t="s">
        <v>3802</v>
      </c>
      <c r="J787" s="35">
        <v>320</v>
      </c>
      <c r="K787" s="32">
        <v>80</v>
      </c>
      <c r="L787" s="76" t="str">
        <f t="shared" si="25"/>
        <v/>
      </c>
    </row>
    <row r="788" spans="1:12" x14ac:dyDescent="0.25">
      <c r="A788" s="25" t="s">
        <v>2389</v>
      </c>
      <c r="B788" s="35">
        <v>52</v>
      </c>
      <c r="C788" s="26">
        <v>6</v>
      </c>
      <c r="D788" s="25" t="s">
        <v>2390</v>
      </c>
      <c r="E788" s="27"/>
      <c r="F788" s="28">
        <v>8.8000000000000007</v>
      </c>
      <c r="G788" s="29">
        <f t="shared" si="24"/>
        <v>1.4666666666666668</v>
      </c>
      <c r="H788" s="30" t="s">
        <v>2403</v>
      </c>
      <c r="I788" s="30" t="s">
        <v>2404</v>
      </c>
      <c r="J788" s="35">
        <v>152</v>
      </c>
      <c r="K788" s="32">
        <v>38</v>
      </c>
      <c r="L788" s="76" t="str">
        <f t="shared" si="25"/>
        <v/>
      </c>
    </row>
    <row r="789" spans="1:12" x14ac:dyDescent="0.25">
      <c r="A789" s="25" t="s">
        <v>2970</v>
      </c>
      <c r="B789" s="35">
        <v>89</v>
      </c>
      <c r="C789" s="26">
        <v>6</v>
      </c>
      <c r="D789" s="25" t="s">
        <v>2978</v>
      </c>
      <c r="E789" s="27"/>
      <c r="F789" s="28">
        <v>9</v>
      </c>
      <c r="G789" s="29">
        <f t="shared" si="24"/>
        <v>1.5</v>
      </c>
      <c r="H789" s="30" t="s">
        <v>2971</v>
      </c>
      <c r="I789" s="30" t="s">
        <v>2972</v>
      </c>
      <c r="J789" s="35">
        <v>152</v>
      </c>
      <c r="K789" s="32">
        <v>38</v>
      </c>
      <c r="L789" s="76" t="str">
        <f t="shared" si="25"/>
        <v/>
      </c>
    </row>
    <row r="790" spans="1:12" x14ac:dyDescent="0.25">
      <c r="A790" s="25" t="s">
        <v>2969</v>
      </c>
      <c r="B790" s="35">
        <v>94</v>
      </c>
      <c r="C790" s="26">
        <v>6</v>
      </c>
      <c r="D790" s="25" t="s">
        <v>2979</v>
      </c>
      <c r="E790" s="27"/>
      <c r="F790" s="28">
        <v>9</v>
      </c>
      <c r="G790" s="29">
        <f t="shared" si="24"/>
        <v>1.5</v>
      </c>
      <c r="H790" s="30" t="s">
        <v>2973</v>
      </c>
      <c r="I790" s="30" t="s">
        <v>2974</v>
      </c>
      <c r="J790" s="35">
        <v>152</v>
      </c>
      <c r="K790" s="32">
        <v>38</v>
      </c>
      <c r="L790" s="76" t="str">
        <f t="shared" si="25"/>
        <v/>
      </c>
    </row>
    <row r="791" spans="1:12" x14ac:dyDescent="0.25">
      <c r="A791" s="25" t="s">
        <v>2976</v>
      </c>
      <c r="B791" s="35">
        <v>8</v>
      </c>
      <c r="C791" s="26">
        <v>12</v>
      </c>
      <c r="D791" s="25" t="s">
        <v>2980</v>
      </c>
      <c r="E791" s="27"/>
      <c r="F791" s="28">
        <v>19.8</v>
      </c>
      <c r="G791" s="29">
        <f t="shared" si="24"/>
        <v>1.6500000000000001</v>
      </c>
      <c r="H791" s="30" t="s">
        <v>2981</v>
      </c>
      <c r="I791" s="30" t="s">
        <v>2984</v>
      </c>
      <c r="J791" s="35">
        <v>102</v>
      </c>
      <c r="K791" s="32">
        <v>34</v>
      </c>
      <c r="L791" s="76" t="str">
        <f t="shared" si="25"/>
        <v/>
      </c>
    </row>
    <row r="792" spans="1:12" x14ac:dyDescent="0.25">
      <c r="A792" s="25" t="s">
        <v>2977</v>
      </c>
      <c r="B792" s="35">
        <v>16</v>
      </c>
      <c r="C792" s="26">
        <v>12</v>
      </c>
      <c r="D792" s="25" t="s">
        <v>3109</v>
      </c>
      <c r="E792" s="27"/>
      <c r="F792" s="28">
        <v>19.8</v>
      </c>
      <c r="G792" s="29">
        <f t="shared" si="24"/>
        <v>1.6500000000000001</v>
      </c>
      <c r="H792" s="30" t="s">
        <v>2982</v>
      </c>
      <c r="I792" s="30" t="s">
        <v>2985</v>
      </c>
      <c r="J792" s="35">
        <v>102</v>
      </c>
      <c r="K792" s="32">
        <v>34</v>
      </c>
      <c r="L792" s="76" t="str">
        <f t="shared" si="25"/>
        <v/>
      </c>
    </row>
    <row r="793" spans="1:12" x14ac:dyDescent="0.25">
      <c r="A793" s="25" t="s">
        <v>2975</v>
      </c>
      <c r="B793" s="35">
        <v>8</v>
      </c>
      <c r="C793" s="26">
        <v>12</v>
      </c>
      <c r="D793" s="25" t="s">
        <v>3110</v>
      </c>
      <c r="E793" s="27"/>
      <c r="F793" s="28">
        <v>19.8</v>
      </c>
      <c r="G793" s="29">
        <f t="shared" si="24"/>
        <v>1.6500000000000001</v>
      </c>
      <c r="H793" s="30" t="s">
        <v>2983</v>
      </c>
      <c r="I793" s="30" t="s">
        <v>2986</v>
      </c>
      <c r="J793" s="35">
        <v>102</v>
      </c>
      <c r="K793" s="32">
        <v>34</v>
      </c>
      <c r="L793" s="76" t="str">
        <f t="shared" si="25"/>
        <v/>
      </c>
    </row>
    <row r="794" spans="1:12" x14ac:dyDescent="0.25">
      <c r="A794" s="25" t="s">
        <v>2987</v>
      </c>
      <c r="B794" s="35">
        <v>35</v>
      </c>
      <c r="C794" s="26">
        <v>12</v>
      </c>
      <c r="D794" s="25" t="s">
        <v>2989</v>
      </c>
      <c r="E794" s="27"/>
      <c r="F794" s="28">
        <v>19.8</v>
      </c>
      <c r="G794" s="29">
        <f t="shared" si="24"/>
        <v>1.6500000000000001</v>
      </c>
      <c r="H794" s="30" t="s">
        <v>2993</v>
      </c>
      <c r="I794" s="30" t="s">
        <v>2996</v>
      </c>
      <c r="J794" s="35">
        <v>102</v>
      </c>
      <c r="K794" s="32">
        <v>34</v>
      </c>
      <c r="L794" s="76" t="str">
        <f t="shared" si="25"/>
        <v/>
      </c>
    </row>
    <row r="795" spans="1:12" x14ac:dyDescent="0.25">
      <c r="A795" s="25" t="s">
        <v>2988</v>
      </c>
      <c r="B795" s="35">
        <v>35</v>
      </c>
      <c r="C795" s="26">
        <v>12</v>
      </c>
      <c r="D795" s="25" t="s">
        <v>2990</v>
      </c>
      <c r="E795" s="27"/>
      <c r="F795" s="28">
        <v>19.8</v>
      </c>
      <c r="G795" s="29">
        <f t="shared" si="24"/>
        <v>1.6500000000000001</v>
      </c>
      <c r="H795" s="30" t="s">
        <v>2994</v>
      </c>
      <c r="I795" s="30" t="s">
        <v>2997</v>
      </c>
      <c r="J795" s="35">
        <v>102</v>
      </c>
      <c r="K795" s="32">
        <v>34</v>
      </c>
      <c r="L795" s="76" t="str">
        <f t="shared" si="25"/>
        <v/>
      </c>
    </row>
    <row r="796" spans="1:12" x14ac:dyDescent="0.25">
      <c r="A796" s="25" t="s">
        <v>2992</v>
      </c>
      <c r="B796" s="35">
        <v>31</v>
      </c>
      <c r="C796" s="26">
        <v>12</v>
      </c>
      <c r="D796" s="25" t="s">
        <v>2991</v>
      </c>
      <c r="E796" s="27"/>
      <c r="F796" s="28">
        <v>19.8</v>
      </c>
      <c r="G796" s="29">
        <f t="shared" si="24"/>
        <v>1.6500000000000001</v>
      </c>
      <c r="H796" s="30" t="s">
        <v>2995</v>
      </c>
      <c r="I796" s="30" t="s">
        <v>2998</v>
      </c>
      <c r="J796" s="35">
        <v>102</v>
      </c>
      <c r="K796" s="32">
        <v>34</v>
      </c>
      <c r="L796" s="76" t="str">
        <f t="shared" si="25"/>
        <v/>
      </c>
    </row>
    <row r="797" spans="1:12" x14ac:dyDescent="0.25">
      <c r="A797" s="25" t="s">
        <v>3010</v>
      </c>
      <c r="B797" s="35">
        <v>47</v>
      </c>
      <c r="C797" s="26">
        <v>4</v>
      </c>
      <c r="D797" s="25" t="s">
        <v>2999</v>
      </c>
      <c r="E797" s="27"/>
      <c r="F797" s="28">
        <v>7.8</v>
      </c>
      <c r="G797" s="29">
        <f t="shared" si="24"/>
        <v>1.95</v>
      </c>
      <c r="H797" s="30" t="s">
        <v>3002</v>
      </c>
      <c r="I797" s="30" t="s">
        <v>3005</v>
      </c>
      <c r="J797" s="35">
        <v>126</v>
      </c>
      <c r="K797" s="32">
        <v>42</v>
      </c>
      <c r="L797" s="76" t="str">
        <f t="shared" si="25"/>
        <v/>
      </c>
    </row>
    <row r="798" spans="1:12" x14ac:dyDescent="0.25">
      <c r="A798" s="25" t="s">
        <v>3008</v>
      </c>
      <c r="B798" s="35">
        <v>119</v>
      </c>
      <c r="C798" s="26">
        <v>4</v>
      </c>
      <c r="D798" s="25" t="s">
        <v>3000</v>
      </c>
      <c r="E798" s="27"/>
      <c r="F798" s="28">
        <v>7.8</v>
      </c>
      <c r="G798" s="29">
        <f t="shared" si="24"/>
        <v>1.95</v>
      </c>
      <c r="H798" s="30" t="s">
        <v>3003</v>
      </c>
      <c r="I798" s="30" t="s">
        <v>3006</v>
      </c>
      <c r="J798" s="35">
        <v>126</v>
      </c>
      <c r="K798" s="32">
        <v>42</v>
      </c>
      <c r="L798" s="76" t="str">
        <f t="shared" si="25"/>
        <v/>
      </c>
    </row>
    <row r="799" spans="1:12" x14ac:dyDescent="0.25">
      <c r="A799" s="25" t="s">
        <v>3009</v>
      </c>
      <c r="B799" s="35">
        <v>103</v>
      </c>
      <c r="C799" s="26">
        <v>4</v>
      </c>
      <c r="D799" s="25" t="s">
        <v>3001</v>
      </c>
      <c r="E799" s="27"/>
      <c r="F799" s="28">
        <v>7.8</v>
      </c>
      <c r="G799" s="29">
        <f t="shared" si="24"/>
        <v>1.95</v>
      </c>
      <c r="H799" s="30" t="s">
        <v>3004</v>
      </c>
      <c r="I799" s="30" t="s">
        <v>3007</v>
      </c>
      <c r="J799" s="35">
        <v>126</v>
      </c>
      <c r="K799" s="32">
        <v>42</v>
      </c>
      <c r="L799" s="76" t="str">
        <f t="shared" si="25"/>
        <v/>
      </c>
    </row>
    <row r="800" spans="1:12" x14ac:dyDescent="0.25">
      <c r="A800" s="25" t="s">
        <v>1098</v>
      </c>
      <c r="B800" s="26">
        <v>525</v>
      </c>
      <c r="C800" s="26">
        <v>24</v>
      </c>
      <c r="D800" s="25" t="s">
        <v>1099</v>
      </c>
      <c r="E800" s="31"/>
      <c r="F800" s="28">
        <v>19.2</v>
      </c>
      <c r="G800" s="28">
        <f t="shared" si="24"/>
        <v>0.79999999999999993</v>
      </c>
      <c r="H800" s="30" t="s">
        <v>1118</v>
      </c>
      <c r="I800" s="30" t="s">
        <v>1117</v>
      </c>
      <c r="J800" s="31">
        <v>182</v>
      </c>
      <c r="K800" s="32">
        <v>26</v>
      </c>
      <c r="L800" s="77" t="str">
        <f t="shared" si="25"/>
        <v/>
      </c>
    </row>
    <row r="801" spans="1:12" x14ac:dyDescent="0.25">
      <c r="A801" s="25" t="s">
        <v>3594</v>
      </c>
      <c r="B801" s="26">
        <v>4</v>
      </c>
      <c r="C801" s="26">
        <v>6</v>
      </c>
      <c r="D801" s="25" t="s">
        <v>3595</v>
      </c>
      <c r="E801" s="31"/>
      <c r="F801" s="28">
        <v>7.75</v>
      </c>
      <c r="G801" s="28">
        <f t="shared" si="24"/>
        <v>1.2916666666666667</v>
      </c>
      <c r="H801" s="30" t="s">
        <v>3596</v>
      </c>
      <c r="I801" s="30" t="s">
        <v>3632</v>
      </c>
      <c r="J801" s="31">
        <v>1300</v>
      </c>
      <c r="K801" s="32">
        <v>130</v>
      </c>
      <c r="L801" s="77" t="str">
        <f t="shared" si="25"/>
        <v/>
      </c>
    </row>
    <row r="802" spans="1:12" x14ac:dyDescent="0.25">
      <c r="A802" s="25" t="s">
        <v>2804</v>
      </c>
      <c r="B802" s="26">
        <v>72</v>
      </c>
      <c r="C802" s="26">
        <v>6</v>
      </c>
      <c r="D802" s="25" t="s">
        <v>2805</v>
      </c>
      <c r="E802" s="31"/>
      <c r="F802" s="33">
        <v>9.4</v>
      </c>
      <c r="G802" s="33">
        <f t="shared" si="24"/>
        <v>1.5666666666666667</v>
      </c>
      <c r="H802" s="30" t="s">
        <v>2806</v>
      </c>
      <c r="I802" s="30" t="s">
        <v>2828</v>
      </c>
      <c r="J802" s="31">
        <v>560</v>
      </c>
      <c r="K802" s="53">
        <v>112</v>
      </c>
      <c r="L802" s="77" t="str">
        <f t="shared" si="25"/>
        <v/>
      </c>
    </row>
    <row r="803" spans="1:12" x14ac:dyDescent="0.25">
      <c r="A803" s="25" t="s">
        <v>2800</v>
      </c>
      <c r="B803" s="26">
        <v>138</v>
      </c>
      <c r="C803" s="26">
        <v>6</v>
      </c>
      <c r="D803" s="25" t="s">
        <v>2801</v>
      </c>
      <c r="E803" s="27"/>
      <c r="F803" s="33">
        <v>10.99</v>
      </c>
      <c r="G803" s="33">
        <f t="shared" si="24"/>
        <v>1.8316666666666668</v>
      </c>
      <c r="H803" s="30" t="s">
        <v>2802</v>
      </c>
      <c r="I803" s="30" t="s">
        <v>2803</v>
      </c>
      <c r="J803" s="31">
        <v>396</v>
      </c>
      <c r="K803" s="53">
        <v>66</v>
      </c>
      <c r="L803" s="77" t="str">
        <f t="shared" si="25"/>
        <v/>
      </c>
    </row>
    <row r="804" spans="1:12" x14ac:dyDescent="0.25">
      <c r="A804" s="25" t="s">
        <v>2130</v>
      </c>
      <c r="B804" s="26">
        <v>393</v>
      </c>
      <c r="C804" s="26">
        <v>6</v>
      </c>
      <c r="D804" s="25" t="s">
        <v>2131</v>
      </c>
      <c r="E804" s="31"/>
      <c r="F804" s="28">
        <v>10.99</v>
      </c>
      <c r="G804" s="28">
        <f t="shared" si="24"/>
        <v>1.8316666666666668</v>
      </c>
      <c r="H804" s="30" t="s">
        <v>2132</v>
      </c>
      <c r="I804" s="30" t="s">
        <v>2213</v>
      </c>
      <c r="J804" s="31">
        <v>528</v>
      </c>
      <c r="K804" s="32">
        <v>66</v>
      </c>
      <c r="L804" s="77" t="str">
        <f t="shared" si="25"/>
        <v/>
      </c>
    </row>
    <row r="805" spans="1:12" x14ac:dyDescent="0.25">
      <c r="A805" s="25" t="s">
        <v>2133</v>
      </c>
      <c r="B805" s="26">
        <v>1</v>
      </c>
      <c r="C805" s="26">
        <v>6</v>
      </c>
      <c r="D805" s="25" t="s">
        <v>2134</v>
      </c>
      <c r="E805" s="31"/>
      <c r="F805" s="28">
        <v>10.99</v>
      </c>
      <c r="G805" s="28">
        <f t="shared" si="24"/>
        <v>1.8316666666666668</v>
      </c>
      <c r="H805" s="30" t="s">
        <v>2135</v>
      </c>
      <c r="I805" s="30" t="s">
        <v>2212</v>
      </c>
      <c r="J805" s="31">
        <v>528</v>
      </c>
      <c r="K805" s="32">
        <v>66</v>
      </c>
      <c r="L805" s="77" t="str">
        <f t="shared" si="25"/>
        <v/>
      </c>
    </row>
    <row r="806" spans="1:12" x14ac:dyDescent="0.25">
      <c r="A806" s="25" t="s">
        <v>2694</v>
      </c>
      <c r="B806" s="26">
        <v>438</v>
      </c>
      <c r="C806" s="26">
        <v>6</v>
      </c>
      <c r="D806" s="25" t="s">
        <v>2695</v>
      </c>
      <c r="E806" s="31"/>
      <c r="F806" s="33">
        <v>10.99</v>
      </c>
      <c r="G806" s="33">
        <f t="shared" si="24"/>
        <v>1.8316666666666668</v>
      </c>
      <c r="H806" s="30" t="s">
        <v>2696</v>
      </c>
      <c r="I806" s="30" t="s">
        <v>2697</v>
      </c>
      <c r="J806" s="31">
        <v>396</v>
      </c>
      <c r="K806" s="32">
        <v>66</v>
      </c>
      <c r="L806" s="76" t="str">
        <f t="shared" si="25"/>
        <v/>
      </c>
    </row>
    <row r="807" spans="1:12" x14ac:dyDescent="0.25">
      <c r="A807" s="25" t="s">
        <v>3641</v>
      </c>
      <c r="B807" s="26">
        <v>282</v>
      </c>
      <c r="C807" s="26">
        <v>6</v>
      </c>
      <c r="D807" s="25" t="s">
        <v>3642</v>
      </c>
      <c r="E807" s="27"/>
      <c r="F807" s="28">
        <v>10.99</v>
      </c>
      <c r="G807" s="29">
        <f t="shared" si="24"/>
        <v>1.8316666666666668</v>
      </c>
      <c r="H807" s="30" t="s">
        <v>3643</v>
      </c>
      <c r="I807" s="30" t="s">
        <v>3644</v>
      </c>
      <c r="J807" s="31">
        <v>528</v>
      </c>
      <c r="K807" s="32">
        <v>66</v>
      </c>
      <c r="L807" s="76" t="str">
        <f t="shared" si="25"/>
        <v/>
      </c>
    </row>
    <row r="808" spans="1:12" x14ac:dyDescent="0.25">
      <c r="A808" s="25" t="s">
        <v>1123</v>
      </c>
      <c r="B808" s="26">
        <v>307</v>
      </c>
      <c r="C808" s="26">
        <v>6</v>
      </c>
      <c r="D808" s="25" t="s">
        <v>1124</v>
      </c>
      <c r="E808" s="31"/>
      <c r="F808" s="28">
        <v>11.4</v>
      </c>
      <c r="G808" s="28">
        <f t="shared" si="24"/>
        <v>1.9000000000000001</v>
      </c>
      <c r="H808" s="30" t="s">
        <v>1125</v>
      </c>
      <c r="I808" s="30" t="s">
        <v>1126</v>
      </c>
      <c r="J808" s="31">
        <v>528</v>
      </c>
      <c r="K808" s="32">
        <v>66</v>
      </c>
      <c r="L808" s="77" t="str">
        <f t="shared" si="25"/>
        <v/>
      </c>
    </row>
    <row r="809" spans="1:12" x14ac:dyDescent="0.25">
      <c r="A809" s="25" t="s">
        <v>2443</v>
      </c>
      <c r="B809" s="26">
        <v>293</v>
      </c>
      <c r="C809" s="26">
        <v>6</v>
      </c>
      <c r="D809" s="25" t="s">
        <v>2444</v>
      </c>
      <c r="E809" s="27"/>
      <c r="F809" s="28">
        <v>11.5</v>
      </c>
      <c r="G809" s="28">
        <f t="shared" si="24"/>
        <v>1.9166666666666667</v>
      </c>
      <c r="H809" s="30" t="s">
        <v>2445</v>
      </c>
      <c r="I809" s="30" t="s">
        <v>2446</v>
      </c>
      <c r="J809" s="31">
        <v>468</v>
      </c>
      <c r="K809" s="32">
        <v>78</v>
      </c>
      <c r="L809" s="76" t="str">
        <f t="shared" si="25"/>
        <v/>
      </c>
    </row>
    <row r="810" spans="1:12" x14ac:dyDescent="0.25">
      <c r="A810" s="25" t="s">
        <v>3655</v>
      </c>
      <c r="B810" s="26">
        <v>414</v>
      </c>
      <c r="C810" s="26">
        <v>6</v>
      </c>
      <c r="D810" s="25" t="s">
        <v>3656</v>
      </c>
      <c r="E810" s="31"/>
      <c r="F810" s="33">
        <v>11.5</v>
      </c>
      <c r="G810" s="34">
        <f t="shared" si="24"/>
        <v>1.9166666666666667</v>
      </c>
      <c r="H810" s="30" t="s">
        <v>3657</v>
      </c>
      <c r="I810" s="30" t="s">
        <v>3658</v>
      </c>
      <c r="J810" s="31">
        <v>468</v>
      </c>
      <c r="K810" s="53">
        <v>78</v>
      </c>
      <c r="L810" s="76" t="str">
        <f t="shared" si="25"/>
        <v/>
      </c>
    </row>
    <row r="811" spans="1:12" x14ac:dyDescent="0.25">
      <c r="A811" s="25" t="s">
        <v>3311</v>
      </c>
      <c r="B811" s="26">
        <v>306</v>
      </c>
      <c r="C811" s="26">
        <v>6</v>
      </c>
      <c r="D811" s="25" t="s">
        <v>3312</v>
      </c>
      <c r="E811" s="31"/>
      <c r="F811" s="28">
        <v>10.99</v>
      </c>
      <c r="G811" s="28">
        <f t="shared" si="24"/>
        <v>1.8316666666666668</v>
      </c>
      <c r="H811" s="30" t="s">
        <v>3313</v>
      </c>
      <c r="I811" s="30" t="s">
        <v>3314</v>
      </c>
      <c r="J811" s="31">
        <v>528</v>
      </c>
      <c r="K811" s="32">
        <v>66</v>
      </c>
      <c r="L811" s="77" t="str">
        <f t="shared" si="25"/>
        <v/>
      </c>
    </row>
    <row r="812" spans="1:12" x14ac:dyDescent="0.25">
      <c r="A812" s="25" t="s">
        <v>3328</v>
      </c>
      <c r="B812" s="26">
        <v>649</v>
      </c>
      <c r="C812" s="26">
        <v>6</v>
      </c>
      <c r="D812" s="25" t="s">
        <v>3331</v>
      </c>
      <c r="E812" s="31"/>
      <c r="F812" s="28">
        <v>10.99</v>
      </c>
      <c r="G812" s="28">
        <f t="shared" ref="G812:G875" si="26">F812/C812</f>
        <v>1.8316666666666668</v>
      </c>
      <c r="H812" s="30" t="s">
        <v>3329</v>
      </c>
      <c r="I812" s="30" t="s">
        <v>3330</v>
      </c>
      <c r="J812" s="31">
        <v>528</v>
      </c>
      <c r="K812" s="32">
        <v>66</v>
      </c>
      <c r="L812" s="77" t="str">
        <f t="shared" ref="L812:L875" si="27">IF(E812,E812*F812,"")</f>
        <v/>
      </c>
    </row>
    <row r="813" spans="1:12" x14ac:dyDescent="0.25">
      <c r="A813" s="73" t="s">
        <v>3784</v>
      </c>
      <c r="B813" s="26">
        <v>41</v>
      </c>
      <c r="C813" s="26">
        <v>6</v>
      </c>
      <c r="D813" s="25" t="s">
        <v>3785</v>
      </c>
      <c r="E813" s="31"/>
      <c r="F813" s="28">
        <v>9.6</v>
      </c>
      <c r="G813" s="28">
        <f t="shared" si="26"/>
        <v>1.5999999999999999</v>
      </c>
      <c r="H813" s="30" t="s">
        <v>3799</v>
      </c>
      <c r="I813" s="30" t="s">
        <v>3800</v>
      </c>
      <c r="J813" s="31"/>
      <c r="K813" s="32"/>
      <c r="L813" s="77" t="str">
        <f t="shared" si="27"/>
        <v/>
      </c>
    </row>
    <row r="814" spans="1:12" x14ac:dyDescent="0.25">
      <c r="A814" s="73" t="s">
        <v>3928</v>
      </c>
      <c r="B814" s="26">
        <v>98</v>
      </c>
      <c r="C814" s="26">
        <v>5</v>
      </c>
      <c r="D814" s="25" t="s">
        <v>3929</v>
      </c>
      <c r="E814" s="31"/>
      <c r="F814" s="28">
        <v>6.6</v>
      </c>
      <c r="G814" s="28">
        <f t="shared" si="26"/>
        <v>1.3199999999999998</v>
      </c>
      <c r="H814" s="30" t="s">
        <v>3930</v>
      </c>
      <c r="I814" s="30" t="s">
        <v>3931</v>
      </c>
      <c r="J814" s="31"/>
      <c r="K814" s="32"/>
      <c r="L814" s="77" t="str">
        <f t="shared" si="27"/>
        <v/>
      </c>
    </row>
    <row r="815" spans="1:12" x14ac:dyDescent="0.25">
      <c r="A815" s="25" t="s">
        <v>747</v>
      </c>
      <c r="B815" s="26">
        <v>272</v>
      </c>
      <c r="C815" s="26">
        <v>12</v>
      </c>
      <c r="D815" s="25" t="s">
        <v>748</v>
      </c>
      <c r="E815" s="27"/>
      <c r="F815" s="28">
        <v>5.95</v>
      </c>
      <c r="G815" s="28">
        <f t="shared" si="26"/>
        <v>0.49583333333333335</v>
      </c>
      <c r="H815" s="30" t="s">
        <v>749</v>
      </c>
      <c r="I815" s="30" t="s">
        <v>823</v>
      </c>
      <c r="J815" s="31">
        <v>768</v>
      </c>
      <c r="K815" s="32">
        <v>96</v>
      </c>
      <c r="L815" s="76" t="str">
        <f t="shared" si="27"/>
        <v/>
      </c>
    </row>
    <row r="816" spans="1:12" x14ac:dyDescent="0.25">
      <c r="A816" s="25" t="s">
        <v>1454</v>
      </c>
      <c r="B816" s="26">
        <v>119</v>
      </c>
      <c r="C816" s="26">
        <v>12</v>
      </c>
      <c r="D816" s="25" t="s">
        <v>1455</v>
      </c>
      <c r="E816" s="27"/>
      <c r="F816" s="28">
        <v>21.95</v>
      </c>
      <c r="G816" s="28">
        <f t="shared" si="26"/>
        <v>1.8291666666666666</v>
      </c>
      <c r="H816" s="30" t="s">
        <v>1456</v>
      </c>
      <c r="I816" s="30" t="s">
        <v>1456</v>
      </c>
      <c r="J816" s="31">
        <v>350</v>
      </c>
      <c r="K816" s="32">
        <v>70</v>
      </c>
      <c r="L816" s="76" t="str">
        <f t="shared" si="27"/>
        <v/>
      </c>
    </row>
    <row r="817" spans="1:12" x14ac:dyDescent="0.25">
      <c r="A817" s="25" t="s">
        <v>2613</v>
      </c>
      <c r="B817" s="26">
        <v>271</v>
      </c>
      <c r="C817" s="26">
        <v>12</v>
      </c>
      <c r="D817" s="25" t="s">
        <v>2614</v>
      </c>
      <c r="E817" s="27"/>
      <c r="F817" s="28">
        <v>21.95</v>
      </c>
      <c r="G817" s="28">
        <f t="shared" si="26"/>
        <v>1.8291666666666666</v>
      </c>
      <c r="H817" s="30" t="s">
        <v>2615</v>
      </c>
      <c r="I817" s="30" t="s">
        <v>2616</v>
      </c>
      <c r="J817" s="31">
        <v>350</v>
      </c>
      <c r="K817" s="32">
        <v>70</v>
      </c>
      <c r="L817" s="76" t="str">
        <f t="shared" si="27"/>
        <v/>
      </c>
    </row>
    <row r="818" spans="1:12" x14ac:dyDescent="0.25">
      <c r="A818" s="25" t="s">
        <v>611</v>
      </c>
      <c r="B818" s="26">
        <v>304</v>
      </c>
      <c r="C818" s="26">
        <v>12</v>
      </c>
      <c r="D818" s="25" t="s">
        <v>609</v>
      </c>
      <c r="E818" s="27"/>
      <c r="F818" s="28">
        <v>24.15</v>
      </c>
      <c r="G818" s="29">
        <f t="shared" si="26"/>
        <v>2.0124999999999997</v>
      </c>
      <c r="H818" s="30" t="s">
        <v>612</v>
      </c>
      <c r="I818" s="30" t="s">
        <v>610</v>
      </c>
      <c r="J818" s="31">
        <v>350</v>
      </c>
      <c r="K818" s="32">
        <v>70</v>
      </c>
      <c r="L818" s="76" t="str">
        <f t="shared" si="27"/>
        <v/>
      </c>
    </row>
    <row r="819" spans="1:12" x14ac:dyDescent="0.25">
      <c r="A819" s="25" t="s">
        <v>2122</v>
      </c>
      <c r="B819" s="26">
        <v>133</v>
      </c>
      <c r="C819" s="26">
        <v>12</v>
      </c>
      <c r="D819" s="25" t="s">
        <v>2123</v>
      </c>
      <c r="E819" s="27"/>
      <c r="F819" s="28">
        <v>24.15</v>
      </c>
      <c r="G819" s="29">
        <f t="shared" si="26"/>
        <v>2.0124999999999997</v>
      </c>
      <c r="H819" s="30" t="s">
        <v>2124</v>
      </c>
      <c r="I819" s="30" t="s">
        <v>2125</v>
      </c>
      <c r="J819" s="31">
        <v>350</v>
      </c>
      <c r="K819" s="32">
        <v>70</v>
      </c>
      <c r="L819" s="76" t="str">
        <f t="shared" si="27"/>
        <v/>
      </c>
    </row>
    <row r="820" spans="1:12" x14ac:dyDescent="0.25">
      <c r="A820" s="25" t="s">
        <v>3367</v>
      </c>
      <c r="B820" s="26">
        <v>580</v>
      </c>
      <c r="C820" s="26">
        <v>12</v>
      </c>
      <c r="D820" s="25" t="s">
        <v>3368</v>
      </c>
      <c r="E820" s="27"/>
      <c r="F820" s="28">
        <v>24.15</v>
      </c>
      <c r="G820" s="29">
        <f t="shared" si="26"/>
        <v>2.0124999999999997</v>
      </c>
      <c r="H820" s="30" t="s">
        <v>3369</v>
      </c>
      <c r="I820" s="30" t="s">
        <v>3441</v>
      </c>
      <c r="J820" s="31">
        <v>350</v>
      </c>
      <c r="K820" s="32">
        <v>70</v>
      </c>
      <c r="L820" s="76" t="str">
        <f t="shared" si="27"/>
        <v/>
      </c>
    </row>
    <row r="821" spans="1:12" x14ac:dyDescent="0.25">
      <c r="A821" s="25" t="s">
        <v>1798</v>
      </c>
      <c r="B821" s="26">
        <v>92</v>
      </c>
      <c r="C821" s="26">
        <v>12</v>
      </c>
      <c r="D821" s="25" t="s">
        <v>1805</v>
      </c>
      <c r="E821" s="27"/>
      <c r="F821" s="28">
        <v>23.5</v>
      </c>
      <c r="G821" s="29">
        <f t="shared" si="26"/>
        <v>1.9583333333333333</v>
      </c>
      <c r="H821" s="30" t="s">
        <v>1800</v>
      </c>
      <c r="I821" s="30" t="s">
        <v>1801</v>
      </c>
      <c r="J821" s="31">
        <v>350</v>
      </c>
      <c r="K821" s="32">
        <v>70</v>
      </c>
      <c r="L821" s="76" t="str">
        <f t="shared" si="27"/>
        <v/>
      </c>
    </row>
    <row r="822" spans="1:12" x14ac:dyDescent="0.25">
      <c r="A822" s="25" t="s">
        <v>1799</v>
      </c>
      <c r="B822" s="26">
        <v>456</v>
      </c>
      <c r="C822" s="26">
        <v>12</v>
      </c>
      <c r="D822" s="25" t="s">
        <v>1804</v>
      </c>
      <c r="E822" s="27"/>
      <c r="F822" s="28">
        <v>23.5</v>
      </c>
      <c r="G822" s="29">
        <f t="shared" si="26"/>
        <v>1.9583333333333333</v>
      </c>
      <c r="H822" s="30" t="s">
        <v>1802</v>
      </c>
      <c r="I822" s="30" t="s">
        <v>1803</v>
      </c>
      <c r="J822" s="31">
        <v>350</v>
      </c>
      <c r="K822" s="32">
        <v>70</v>
      </c>
      <c r="L822" s="76" t="str">
        <f t="shared" si="27"/>
        <v/>
      </c>
    </row>
    <row r="823" spans="1:12" x14ac:dyDescent="0.25">
      <c r="A823" s="25" t="s">
        <v>3211</v>
      </c>
      <c r="B823" s="26">
        <v>130</v>
      </c>
      <c r="C823" s="26">
        <v>12</v>
      </c>
      <c r="D823" s="25" t="s">
        <v>3216</v>
      </c>
      <c r="E823" s="27"/>
      <c r="F823" s="33">
        <v>6.9</v>
      </c>
      <c r="G823" s="34">
        <f t="shared" si="26"/>
        <v>0.57500000000000007</v>
      </c>
      <c r="H823" s="30" t="s">
        <v>3346</v>
      </c>
      <c r="I823" s="30" t="s">
        <v>3347</v>
      </c>
      <c r="J823" s="31">
        <v>360</v>
      </c>
      <c r="K823" s="32">
        <v>72</v>
      </c>
      <c r="L823" s="76" t="str">
        <f t="shared" si="27"/>
        <v/>
      </c>
    </row>
    <row r="824" spans="1:12" x14ac:dyDescent="0.25">
      <c r="A824" s="25" t="s">
        <v>3214</v>
      </c>
      <c r="B824" s="26">
        <v>179</v>
      </c>
      <c r="C824" s="26">
        <v>12</v>
      </c>
      <c r="D824" s="25" t="s">
        <v>3218</v>
      </c>
      <c r="E824" s="27"/>
      <c r="F824" s="33">
        <v>6.9</v>
      </c>
      <c r="G824" s="34">
        <f t="shared" si="26"/>
        <v>0.57500000000000007</v>
      </c>
      <c r="H824" s="30" t="s">
        <v>3348</v>
      </c>
      <c r="I824" s="30" t="s">
        <v>3215</v>
      </c>
      <c r="J824" s="31">
        <v>360</v>
      </c>
      <c r="K824" s="53">
        <v>72</v>
      </c>
      <c r="L824" s="76" t="str">
        <f t="shared" si="27"/>
        <v/>
      </c>
    </row>
    <row r="825" spans="1:12" x14ac:dyDescent="0.25">
      <c r="A825" s="25" t="s">
        <v>3212</v>
      </c>
      <c r="B825" s="26">
        <v>100</v>
      </c>
      <c r="C825" s="26">
        <v>12</v>
      </c>
      <c r="D825" s="25" t="s">
        <v>3217</v>
      </c>
      <c r="E825" s="27"/>
      <c r="F825" s="33">
        <v>7.2</v>
      </c>
      <c r="G825" s="34">
        <f t="shared" si="26"/>
        <v>0.6</v>
      </c>
      <c r="H825" s="30" t="s">
        <v>3349</v>
      </c>
      <c r="I825" s="30" t="s">
        <v>3213</v>
      </c>
      <c r="J825" s="31">
        <v>360</v>
      </c>
      <c r="K825" s="32">
        <v>72</v>
      </c>
      <c r="L825" s="76" t="str">
        <f t="shared" si="27"/>
        <v/>
      </c>
    </row>
    <row r="826" spans="1:12" x14ac:dyDescent="0.25">
      <c r="A826" s="25" t="s">
        <v>3104</v>
      </c>
      <c r="B826" s="26">
        <v>280</v>
      </c>
      <c r="C826" s="26">
        <v>12</v>
      </c>
      <c r="D826" s="25" t="s">
        <v>3106</v>
      </c>
      <c r="E826" s="27"/>
      <c r="F826" s="28">
        <v>3.6</v>
      </c>
      <c r="G826" s="29">
        <f t="shared" si="26"/>
        <v>0.3</v>
      </c>
      <c r="H826" s="30" t="s">
        <v>3105</v>
      </c>
      <c r="I826" s="30" t="s">
        <v>237</v>
      </c>
      <c r="J826" s="31"/>
      <c r="K826" s="32"/>
      <c r="L826" s="76" t="str">
        <f t="shared" si="27"/>
        <v/>
      </c>
    </row>
    <row r="827" spans="1:12" x14ac:dyDescent="0.25">
      <c r="A827" s="25" t="s">
        <v>203</v>
      </c>
      <c r="B827" s="26">
        <v>26</v>
      </c>
      <c r="C827" s="26">
        <v>10</v>
      </c>
      <c r="D827" s="25" t="s">
        <v>20</v>
      </c>
      <c r="E827" s="27"/>
      <c r="F827" s="28">
        <v>4.08</v>
      </c>
      <c r="G827" s="29">
        <f t="shared" si="26"/>
        <v>0.40800000000000003</v>
      </c>
      <c r="H827" s="30" t="s">
        <v>38</v>
      </c>
      <c r="I827" s="30" t="s">
        <v>39</v>
      </c>
      <c r="J827" s="31"/>
      <c r="K827" s="32"/>
      <c r="L827" s="76" t="str">
        <f t="shared" si="27"/>
        <v/>
      </c>
    </row>
    <row r="828" spans="1:12" x14ac:dyDescent="0.25">
      <c r="A828" s="25" t="s">
        <v>204</v>
      </c>
      <c r="B828" s="26">
        <v>290</v>
      </c>
      <c r="C828" s="26">
        <v>6</v>
      </c>
      <c r="D828" s="25" t="s">
        <v>108</v>
      </c>
      <c r="E828" s="27"/>
      <c r="F828" s="28">
        <v>9</v>
      </c>
      <c r="G828" s="29">
        <f t="shared" si="26"/>
        <v>1.5</v>
      </c>
      <c r="H828" s="30" t="s">
        <v>437</v>
      </c>
      <c r="I828" s="30" t="s">
        <v>109</v>
      </c>
      <c r="J828" s="31">
        <v>528</v>
      </c>
      <c r="K828" s="32">
        <v>66</v>
      </c>
      <c r="L828" s="76" t="str">
        <f t="shared" si="27"/>
        <v/>
      </c>
    </row>
    <row r="829" spans="1:12" x14ac:dyDescent="0.25">
      <c r="A829" s="25" t="s">
        <v>351</v>
      </c>
      <c r="B829" s="35">
        <v>305</v>
      </c>
      <c r="C829" s="26">
        <v>6</v>
      </c>
      <c r="D829" s="25" t="s">
        <v>352</v>
      </c>
      <c r="E829" s="27"/>
      <c r="F829" s="28">
        <v>9</v>
      </c>
      <c r="G829" s="29">
        <f t="shared" si="26"/>
        <v>1.5</v>
      </c>
      <c r="H829" s="30" t="s">
        <v>353</v>
      </c>
      <c r="I829" s="30" t="s">
        <v>362</v>
      </c>
      <c r="J829" s="35">
        <v>528</v>
      </c>
      <c r="K829" s="32">
        <v>66</v>
      </c>
      <c r="L829" s="76" t="str">
        <f t="shared" si="27"/>
        <v/>
      </c>
    </row>
    <row r="830" spans="1:12" x14ac:dyDescent="0.25">
      <c r="A830" s="25" t="s">
        <v>1012</v>
      </c>
      <c r="B830" s="35">
        <v>851</v>
      </c>
      <c r="C830" s="26">
        <v>12</v>
      </c>
      <c r="D830" s="25" t="s">
        <v>1790</v>
      </c>
      <c r="E830" s="31"/>
      <c r="F830" s="28">
        <v>36</v>
      </c>
      <c r="G830" s="29">
        <f t="shared" si="26"/>
        <v>3</v>
      </c>
      <c r="H830" s="30" t="s">
        <v>1013</v>
      </c>
      <c r="I830" s="30" t="s">
        <v>1014</v>
      </c>
      <c r="J830" s="27">
        <v>300</v>
      </c>
      <c r="K830" s="32">
        <v>25</v>
      </c>
      <c r="L830" s="76" t="str">
        <f t="shared" si="27"/>
        <v/>
      </c>
    </row>
    <row r="831" spans="1:12" x14ac:dyDescent="0.25">
      <c r="A831" s="25" t="s">
        <v>1787</v>
      </c>
      <c r="B831" s="35">
        <v>191</v>
      </c>
      <c r="C831" s="26">
        <v>12</v>
      </c>
      <c r="D831" s="25" t="s">
        <v>1791</v>
      </c>
      <c r="E831" s="31"/>
      <c r="F831" s="28">
        <v>61.35</v>
      </c>
      <c r="G831" s="29">
        <f t="shared" si="26"/>
        <v>5.1124999999999998</v>
      </c>
      <c r="H831" s="30" t="s">
        <v>1789</v>
      </c>
      <c r="I831" s="30" t="s">
        <v>1793</v>
      </c>
      <c r="J831" s="27">
        <v>240</v>
      </c>
      <c r="K831" s="32">
        <v>40</v>
      </c>
      <c r="L831" s="76" t="str">
        <f t="shared" si="27"/>
        <v/>
      </c>
    </row>
    <row r="832" spans="1:12" x14ac:dyDescent="0.25">
      <c r="A832" s="25" t="s">
        <v>1788</v>
      </c>
      <c r="B832" s="35">
        <v>609</v>
      </c>
      <c r="C832" s="26">
        <v>6</v>
      </c>
      <c r="D832" s="25" t="s">
        <v>1792</v>
      </c>
      <c r="E832" s="31"/>
      <c r="F832" s="28">
        <v>41.5</v>
      </c>
      <c r="G832" s="29">
        <f t="shared" si="26"/>
        <v>6.916666666666667</v>
      </c>
      <c r="H832" s="30" t="s">
        <v>1952</v>
      </c>
      <c r="I832" s="30" t="s">
        <v>1953</v>
      </c>
      <c r="J832" s="27">
        <v>168</v>
      </c>
      <c r="K832" s="32">
        <v>16</v>
      </c>
      <c r="L832" s="76" t="str">
        <f t="shared" si="27"/>
        <v/>
      </c>
    </row>
    <row r="833" spans="1:12" x14ac:dyDescent="0.25">
      <c r="A833" s="25" t="s">
        <v>545</v>
      </c>
      <c r="B833" s="26">
        <v>467</v>
      </c>
      <c r="C833" s="26">
        <v>6</v>
      </c>
      <c r="D833" s="25" t="s">
        <v>2318</v>
      </c>
      <c r="E833" s="27"/>
      <c r="F833" s="28">
        <v>5.95</v>
      </c>
      <c r="G833" s="29">
        <f t="shared" si="26"/>
        <v>0.9916666666666667</v>
      </c>
      <c r="H833" s="30" t="s">
        <v>1372</v>
      </c>
      <c r="I833" s="30" t="s">
        <v>1373</v>
      </c>
      <c r="J833" s="31">
        <v>1089</v>
      </c>
      <c r="K833" s="32">
        <v>99</v>
      </c>
      <c r="L833" s="77" t="str">
        <f t="shared" si="27"/>
        <v/>
      </c>
    </row>
    <row r="834" spans="1:12" x14ac:dyDescent="0.25">
      <c r="A834" s="25" t="s">
        <v>3269</v>
      </c>
      <c r="B834" s="26">
        <v>629</v>
      </c>
      <c r="C834" s="26">
        <v>6</v>
      </c>
      <c r="D834" s="25" t="s">
        <v>3270</v>
      </c>
      <c r="E834" s="27"/>
      <c r="F834" s="28">
        <v>5.95</v>
      </c>
      <c r="G834" s="29">
        <f t="shared" si="26"/>
        <v>0.9916666666666667</v>
      </c>
      <c r="H834" s="30" t="s">
        <v>3271</v>
      </c>
      <c r="I834" s="30" t="s">
        <v>3272</v>
      </c>
      <c r="J834" s="31">
        <v>1089</v>
      </c>
      <c r="K834" s="32">
        <v>99</v>
      </c>
      <c r="L834" s="77" t="str">
        <f t="shared" si="27"/>
        <v/>
      </c>
    </row>
    <row r="835" spans="1:12" x14ac:dyDescent="0.25">
      <c r="A835" s="25" t="s">
        <v>2708</v>
      </c>
      <c r="B835" s="26">
        <v>255</v>
      </c>
      <c r="C835" s="26">
        <v>6</v>
      </c>
      <c r="D835" s="25" t="s">
        <v>2709</v>
      </c>
      <c r="E835" s="27"/>
      <c r="F835" s="28">
        <v>5.95</v>
      </c>
      <c r="G835" s="28">
        <f t="shared" si="26"/>
        <v>0.9916666666666667</v>
      </c>
      <c r="H835" s="30" t="s">
        <v>2710</v>
      </c>
      <c r="I835" s="30" t="s">
        <v>2711</v>
      </c>
      <c r="J835" s="31">
        <v>1089</v>
      </c>
      <c r="K835" s="32">
        <v>99</v>
      </c>
      <c r="L835" s="76" t="str">
        <f t="shared" si="27"/>
        <v/>
      </c>
    </row>
    <row r="836" spans="1:12" x14ac:dyDescent="0.25">
      <c r="A836" s="25" t="s">
        <v>1420</v>
      </c>
      <c r="B836" s="26">
        <v>1355</v>
      </c>
      <c r="C836" s="26">
        <v>6</v>
      </c>
      <c r="D836" s="25" t="s">
        <v>2365</v>
      </c>
      <c r="E836" s="31"/>
      <c r="F836" s="28">
        <v>5.95</v>
      </c>
      <c r="G836" s="28">
        <f t="shared" si="26"/>
        <v>0.9916666666666667</v>
      </c>
      <c r="H836" s="30" t="s">
        <v>1421</v>
      </c>
      <c r="I836" s="30" t="s">
        <v>1422</v>
      </c>
      <c r="J836" s="31">
        <v>1089</v>
      </c>
      <c r="K836" s="53">
        <v>99</v>
      </c>
      <c r="L836" s="77" t="str">
        <f t="shared" si="27"/>
        <v/>
      </c>
    </row>
    <row r="837" spans="1:12" x14ac:dyDescent="0.25">
      <c r="A837" s="25" t="s">
        <v>2317</v>
      </c>
      <c r="B837" s="26">
        <v>1426</v>
      </c>
      <c r="C837" s="26">
        <v>6</v>
      </c>
      <c r="D837" s="25" t="s">
        <v>2323</v>
      </c>
      <c r="E837" s="31"/>
      <c r="F837" s="28">
        <v>5.95</v>
      </c>
      <c r="G837" s="28">
        <f t="shared" si="26"/>
        <v>0.9916666666666667</v>
      </c>
      <c r="H837" s="30" t="s">
        <v>2324</v>
      </c>
      <c r="I837" s="30" t="s">
        <v>2325</v>
      </c>
      <c r="J837" s="31">
        <v>1089</v>
      </c>
      <c r="K837" s="53">
        <v>99</v>
      </c>
      <c r="L837" s="77" t="str">
        <f t="shared" si="27"/>
        <v/>
      </c>
    </row>
    <row r="838" spans="1:12" x14ac:dyDescent="0.25">
      <c r="A838" s="25" t="s">
        <v>2331</v>
      </c>
      <c r="B838" s="26">
        <v>738</v>
      </c>
      <c r="C838" s="26">
        <v>6</v>
      </c>
      <c r="D838" s="25" t="s">
        <v>2328</v>
      </c>
      <c r="E838" s="27"/>
      <c r="F838" s="28">
        <v>5.95</v>
      </c>
      <c r="G838" s="28">
        <f t="shared" si="26"/>
        <v>0.9916666666666667</v>
      </c>
      <c r="H838" s="30" t="s">
        <v>2329</v>
      </c>
      <c r="I838" s="30" t="s">
        <v>2330</v>
      </c>
      <c r="J838" s="31">
        <v>1089</v>
      </c>
      <c r="K838" s="32">
        <v>99</v>
      </c>
      <c r="L838" s="76" t="str">
        <f t="shared" si="27"/>
        <v/>
      </c>
    </row>
    <row r="839" spans="1:12" x14ac:dyDescent="0.25">
      <c r="A839" s="25" t="s">
        <v>2333</v>
      </c>
      <c r="B839" s="26">
        <v>205</v>
      </c>
      <c r="C839" s="26">
        <v>6</v>
      </c>
      <c r="D839" s="25" t="s">
        <v>2366</v>
      </c>
      <c r="E839" s="27"/>
      <c r="F839" s="28">
        <v>5.95</v>
      </c>
      <c r="G839" s="28">
        <f t="shared" si="26"/>
        <v>0.9916666666666667</v>
      </c>
      <c r="H839" s="30" t="s">
        <v>2334</v>
      </c>
      <c r="I839" s="30" t="s">
        <v>2335</v>
      </c>
      <c r="J839" s="31">
        <v>1089</v>
      </c>
      <c r="K839" s="32">
        <v>99</v>
      </c>
      <c r="L839" s="76" t="str">
        <f t="shared" si="27"/>
        <v/>
      </c>
    </row>
    <row r="840" spans="1:12" x14ac:dyDescent="0.25">
      <c r="A840" s="25" t="s">
        <v>1782</v>
      </c>
      <c r="B840" s="26">
        <v>45</v>
      </c>
      <c r="C840" s="26">
        <v>6</v>
      </c>
      <c r="D840" s="25" t="s">
        <v>1784</v>
      </c>
      <c r="E840" s="27"/>
      <c r="F840" s="28">
        <v>5.95</v>
      </c>
      <c r="G840" s="28">
        <f t="shared" si="26"/>
        <v>0.9916666666666667</v>
      </c>
      <c r="H840" s="30" t="s">
        <v>1785</v>
      </c>
      <c r="I840" s="30" t="s">
        <v>1984</v>
      </c>
      <c r="J840" s="31">
        <v>1089</v>
      </c>
      <c r="K840" s="32">
        <v>99</v>
      </c>
      <c r="L840" s="76" t="str">
        <f t="shared" si="27"/>
        <v/>
      </c>
    </row>
    <row r="841" spans="1:12" x14ac:dyDescent="0.25">
      <c r="A841" s="25" t="s">
        <v>1783</v>
      </c>
      <c r="B841" s="26">
        <v>1096</v>
      </c>
      <c r="C841" s="26">
        <v>6</v>
      </c>
      <c r="D841" s="25" t="s">
        <v>1822</v>
      </c>
      <c r="E841" s="27"/>
      <c r="F841" s="28">
        <v>5.95</v>
      </c>
      <c r="G841" s="28">
        <f t="shared" si="26"/>
        <v>0.9916666666666667</v>
      </c>
      <c r="H841" s="30" t="s">
        <v>1786</v>
      </c>
      <c r="I841" s="30" t="s">
        <v>1823</v>
      </c>
      <c r="J841" s="31">
        <v>1089</v>
      </c>
      <c r="K841" s="32">
        <v>99</v>
      </c>
      <c r="L841" s="76" t="str">
        <f t="shared" si="27"/>
        <v/>
      </c>
    </row>
    <row r="842" spans="1:12" x14ac:dyDescent="0.25">
      <c r="A842" s="25" t="s">
        <v>2316</v>
      </c>
      <c r="B842" s="26">
        <v>312</v>
      </c>
      <c r="C842" s="26">
        <v>6</v>
      </c>
      <c r="D842" s="25" t="s">
        <v>2364</v>
      </c>
      <c r="E842" s="27"/>
      <c r="F842" s="28">
        <v>5.95</v>
      </c>
      <c r="G842" s="28">
        <f t="shared" si="26"/>
        <v>0.9916666666666667</v>
      </c>
      <c r="H842" s="30" t="s">
        <v>2326</v>
      </c>
      <c r="I842" s="30" t="s">
        <v>2327</v>
      </c>
      <c r="J842" s="31">
        <v>1089</v>
      </c>
      <c r="K842" s="32">
        <v>99</v>
      </c>
      <c r="L842" s="76" t="str">
        <f t="shared" si="27"/>
        <v/>
      </c>
    </row>
    <row r="843" spans="1:12" x14ac:dyDescent="0.25">
      <c r="A843" s="25" t="s">
        <v>1554</v>
      </c>
      <c r="B843" s="26">
        <v>440</v>
      </c>
      <c r="C843" s="26">
        <v>6</v>
      </c>
      <c r="D843" s="25" t="s">
        <v>2332</v>
      </c>
      <c r="E843" s="27"/>
      <c r="F843" s="28">
        <v>5.95</v>
      </c>
      <c r="G843" s="28">
        <f t="shared" si="26"/>
        <v>0.9916666666666667</v>
      </c>
      <c r="H843" s="30" t="s">
        <v>1552</v>
      </c>
      <c r="I843" s="30" t="s">
        <v>1553</v>
      </c>
      <c r="J843" s="31">
        <v>1089</v>
      </c>
      <c r="K843" s="32">
        <v>99</v>
      </c>
      <c r="L843" s="76" t="str">
        <f t="shared" si="27"/>
        <v/>
      </c>
    </row>
    <row r="844" spans="1:12" x14ac:dyDescent="0.25">
      <c r="A844" s="25" t="s">
        <v>484</v>
      </c>
      <c r="B844" s="26">
        <v>54</v>
      </c>
      <c r="C844" s="26">
        <v>6</v>
      </c>
      <c r="D844" s="25" t="s">
        <v>485</v>
      </c>
      <c r="E844" s="27"/>
      <c r="F844" s="28">
        <v>7.32</v>
      </c>
      <c r="G844" s="29">
        <f t="shared" si="26"/>
        <v>1.22</v>
      </c>
      <c r="H844" s="30" t="s">
        <v>486</v>
      </c>
      <c r="I844" s="30" t="s">
        <v>487</v>
      </c>
      <c r="J844" s="31">
        <v>560</v>
      </c>
      <c r="K844" s="32">
        <v>80</v>
      </c>
      <c r="L844" s="76" t="str">
        <f t="shared" si="27"/>
        <v/>
      </c>
    </row>
    <row r="845" spans="1:12" x14ac:dyDescent="0.25">
      <c r="A845" s="25" t="s">
        <v>3896</v>
      </c>
      <c r="B845" s="26">
        <v>64</v>
      </c>
      <c r="C845" s="26">
        <v>6</v>
      </c>
      <c r="D845" s="25" t="s">
        <v>3897</v>
      </c>
      <c r="E845" s="27"/>
      <c r="F845" s="28">
        <v>7.32</v>
      </c>
      <c r="G845" s="34">
        <f t="shared" si="26"/>
        <v>1.22</v>
      </c>
      <c r="H845" s="30" t="s">
        <v>3898</v>
      </c>
      <c r="I845" s="30" t="s">
        <v>3899</v>
      </c>
      <c r="J845" s="31">
        <v>560</v>
      </c>
      <c r="K845" s="32">
        <v>80</v>
      </c>
      <c r="L845" s="76" t="str">
        <f t="shared" si="27"/>
        <v/>
      </c>
    </row>
    <row r="846" spans="1:12" x14ac:dyDescent="0.25">
      <c r="A846" s="25" t="s">
        <v>3900</v>
      </c>
      <c r="B846" s="26">
        <v>4</v>
      </c>
      <c r="C846" s="26">
        <v>6</v>
      </c>
      <c r="D846" s="25" t="s">
        <v>3901</v>
      </c>
      <c r="E846" s="27"/>
      <c r="F846" s="28">
        <v>7.32</v>
      </c>
      <c r="G846" s="34">
        <f t="shared" si="26"/>
        <v>1.22</v>
      </c>
      <c r="H846" s="30" t="s">
        <v>3902</v>
      </c>
      <c r="I846" s="30" t="s">
        <v>3903</v>
      </c>
      <c r="J846" s="31">
        <v>560</v>
      </c>
      <c r="K846" s="32">
        <v>80</v>
      </c>
      <c r="L846" s="76" t="str">
        <f t="shared" si="27"/>
        <v/>
      </c>
    </row>
    <row r="847" spans="1:12" x14ac:dyDescent="0.25">
      <c r="A847" s="25" t="s">
        <v>488</v>
      </c>
      <c r="B847" s="26">
        <v>29</v>
      </c>
      <c r="C847" s="26">
        <v>6</v>
      </c>
      <c r="D847" s="25" t="s">
        <v>489</v>
      </c>
      <c r="E847" s="27"/>
      <c r="F847" s="28">
        <v>7.32</v>
      </c>
      <c r="G847" s="34">
        <f t="shared" si="26"/>
        <v>1.22</v>
      </c>
      <c r="H847" s="30" t="s">
        <v>490</v>
      </c>
      <c r="I847" s="30" t="s">
        <v>491</v>
      </c>
      <c r="J847" s="31">
        <v>560</v>
      </c>
      <c r="K847" s="32">
        <v>80</v>
      </c>
      <c r="L847" s="76" t="str">
        <f t="shared" si="27"/>
        <v/>
      </c>
    </row>
    <row r="848" spans="1:12" x14ac:dyDescent="0.25">
      <c r="A848" s="25" t="s">
        <v>2354</v>
      </c>
      <c r="B848" s="26">
        <v>1678</v>
      </c>
      <c r="C848" s="26">
        <v>6</v>
      </c>
      <c r="D848" s="25" t="s">
        <v>2355</v>
      </c>
      <c r="E848" s="27"/>
      <c r="F848" s="28">
        <v>7.32</v>
      </c>
      <c r="G848" s="34">
        <f t="shared" si="26"/>
        <v>1.22</v>
      </c>
      <c r="H848" s="30" t="s">
        <v>2356</v>
      </c>
      <c r="I848" s="30" t="s">
        <v>2357</v>
      </c>
      <c r="J848" s="31">
        <v>560</v>
      </c>
      <c r="K848" s="37"/>
      <c r="L848" s="77" t="str">
        <f t="shared" si="27"/>
        <v/>
      </c>
    </row>
    <row r="849" spans="1:12" x14ac:dyDescent="0.25">
      <c r="A849" s="25" t="s">
        <v>3904</v>
      </c>
      <c r="B849" s="26">
        <v>80</v>
      </c>
      <c r="C849" s="26">
        <v>6</v>
      </c>
      <c r="D849" s="25" t="s">
        <v>3905</v>
      </c>
      <c r="E849" s="27"/>
      <c r="F849" s="28">
        <v>7.32</v>
      </c>
      <c r="G849" s="34">
        <f t="shared" si="26"/>
        <v>1.22</v>
      </c>
      <c r="H849" s="30" t="s">
        <v>3906</v>
      </c>
      <c r="I849" s="30" t="s">
        <v>3907</v>
      </c>
      <c r="J849" s="31">
        <v>560</v>
      </c>
      <c r="K849" s="32">
        <v>80</v>
      </c>
      <c r="L849" s="76" t="str">
        <f t="shared" si="27"/>
        <v/>
      </c>
    </row>
    <row r="850" spans="1:12" x14ac:dyDescent="0.25">
      <c r="A850" s="25" t="s">
        <v>3908</v>
      </c>
      <c r="B850" s="26">
        <v>80</v>
      </c>
      <c r="C850" s="26">
        <v>6</v>
      </c>
      <c r="D850" s="25" t="s">
        <v>3909</v>
      </c>
      <c r="E850" s="27"/>
      <c r="F850" s="28">
        <v>7.32</v>
      </c>
      <c r="G850" s="34">
        <f t="shared" si="26"/>
        <v>1.22</v>
      </c>
      <c r="H850" s="30" t="s">
        <v>3910</v>
      </c>
      <c r="I850" s="30" t="s">
        <v>3911</v>
      </c>
      <c r="J850" s="31">
        <v>560</v>
      </c>
      <c r="K850" s="32">
        <v>80</v>
      </c>
      <c r="L850" s="76" t="str">
        <f t="shared" si="27"/>
        <v/>
      </c>
    </row>
    <row r="851" spans="1:12" x14ac:dyDescent="0.25">
      <c r="A851" s="25" t="s">
        <v>2358</v>
      </c>
      <c r="B851" s="26">
        <v>1063</v>
      </c>
      <c r="C851" s="26">
        <v>6</v>
      </c>
      <c r="D851" s="25" t="s">
        <v>2359</v>
      </c>
      <c r="E851" s="31"/>
      <c r="F851" s="28">
        <v>7.32</v>
      </c>
      <c r="G851" s="29">
        <f t="shared" si="26"/>
        <v>1.22</v>
      </c>
      <c r="H851" s="30" t="s">
        <v>2362</v>
      </c>
      <c r="I851" s="30" t="s">
        <v>2361</v>
      </c>
      <c r="J851" s="31">
        <v>560</v>
      </c>
      <c r="K851" s="53">
        <v>80</v>
      </c>
      <c r="L851" s="76" t="str">
        <f t="shared" si="27"/>
        <v/>
      </c>
    </row>
    <row r="852" spans="1:12" x14ac:dyDescent="0.25">
      <c r="A852" s="25" t="s">
        <v>3735</v>
      </c>
      <c r="B852" s="26">
        <v>169</v>
      </c>
      <c r="C852" s="26">
        <v>6</v>
      </c>
      <c r="D852" s="25" t="s">
        <v>3736</v>
      </c>
      <c r="E852" s="31"/>
      <c r="F852" s="28">
        <v>7.32</v>
      </c>
      <c r="G852" s="29">
        <f t="shared" si="26"/>
        <v>1.22</v>
      </c>
      <c r="H852" s="30" t="s">
        <v>3737</v>
      </c>
      <c r="I852" s="30" t="s">
        <v>3798</v>
      </c>
      <c r="J852" s="31">
        <v>560</v>
      </c>
      <c r="K852" s="53">
        <v>80</v>
      </c>
      <c r="L852" s="76" t="str">
        <f t="shared" si="27"/>
        <v/>
      </c>
    </row>
    <row r="853" spans="1:12" x14ac:dyDescent="0.25">
      <c r="A853" s="25" t="s">
        <v>3431</v>
      </c>
      <c r="B853" s="26">
        <v>204</v>
      </c>
      <c r="C853" s="26">
        <v>6</v>
      </c>
      <c r="D853" s="25" t="s">
        <v>3430</v>
      </c>
      <c r="E853" s="31"/>
      <c r="F853" s="28">
        <v>9.4</v>
      </c>
      <c r="G853" s="29">
        <f t="shared" si="26"/>
        <v>1.5666666666666667</v>
      </c>
      <c r="H853" s="30" t="s">
        <v>3703</v>
      </c>
      <c r="I853" s="30" t="s">
        <v>3704</v>
      </c>
      <c r="J853" s="31">
        <v>400</v>
      </c>
      <c r="K853" s="53">
        <v>80</v>
      </c>
      <c r="L853" s="76" t="str">
        <f t="shared" si="27"/>
        <v/>
      </c>
    </row>
    <row r="854" spans="1:12" x14ac:dyDescent="0.25">
      <c r="A854" s="25" t="s">
        <v>3428</v>
      </c>
      <c r="B854" s="26">
        <v>6</v>
      </c>
      <c r="C854" s="26">
        <v>6</v>
      </c>
      <c r="D854" s="25" t="s">
        <v>3429</v>
      </c>
      <c r="E854" s="31"/>
      <c r="F854" s="28">
        <v>9.4</v>
      </c>
      <c r="G854" s="29">
        <f t="shared" si="26"/>
        <v>1.5666666666666667</v>
      </c>
      <c r="H854" s="30" t="s">
        <v>3488</v>
      </c>
      <c r="I854" s="30" t="s">
        <v>3489</v>
      </c>
      <c r="J854" s="31">
        <v>400</v>
      </c>
      <c r="K854" s="53">
        <v>80</v>
      </c>
      <c r="L854" s="76" t="str">
        <f t="shared" si="27"/>
        <v/>
      </c>
    </row>
    <row r="855" spans="1:12" x14ac:dyDescent="0.25">
      <c r="A855" s="25" t="s">
        <v>3404</v>
      </c>
      <c r="B855" s="26">
        <v>157</v>
      </c>
      <c r="C855" s="26">
        <v>6</v>
      </c>
      <c r="D855" s="25" t="s">
        <v>3405</v>
      </c>
      <c r="E855" s="27"/>
      <c r="F855" s="33">
        <v>9.4</v>
      </c>
      <c r="G855" s="34">
        <f t="shared" si="26"/>
        <v>1.5666666666666667</v>
      </c>
      <c r="H855" s="30" t="s">
        <v>3406</v>
      </c>
      <c r="I855" s="30" t="s">
        <v>3407</v>
      </c>
      <c r="J855" s="31">
        <v>400</v>
      </c>
      <c r="K855" s="53">
        <v>80</v>
      </c>
      <c r="L855" s="76" t="str">
        <f t="shared" si="27"/>
        <v/>
      </c>
    </row>
    <row r="856" spans="1:12" x14ac:dyDescent="0.25">
      <c r="A856" s="25" t="s">
        <v>3412</v>
      </c>
      <c r="B856" s="26">
        <v>180</v>
      </c>
      <c r="C856" s="26">
        <v>6</v>
      </c>
      <c r="D856" s="25" t="s">
        <v>3413</v>
      </c>
      <c r="E856" s="27"/>
      <c r="F856" s="33">
        <v>9.4</v>
      </c>
      <c r="G856" s="34">
        <f t="shared" si="26"/>
        <v>1.5666666666666667</v>
      </c>
      <c r="H856" s="30" t="s">
        <v>3414</v>
      </c>
      <c r="I856" s="30" t="s">
        <v>3415</v>
      </c>
      <c r="J856" s="31">
        <v>400</v>
      </c>
      <c r="K856" s="53">
        <v>80</v>
      </c>
      <c r="L856" s="76" t="str">
        <f t="shared" si="27"/>
        <v/>
      </c>
    </row>
    <row r="857" spans="1:12" x14ac:dyDescent="0.25">
      <c r="A857" s="25" t="s">
        <v>3474</v>
      </c>
      <c r="B857" s="26">
        <v>197</v>
      </c>
      <c r="C857" s="26">
        <v>6</v>
      </c>
      <c r="D857" s="25" t="s">
        <v>3475</v>
      </c>
      <c r="E857" s="27"/>
      <c r="F857" s="33">
        <v>9.4</v>
      </c>
      <c r="G857" s="34">
        <f t="shared" si="26"/>
        <v>1.5666666666666667</v>
      </c>
      <c r="H857" s="30" t="s">
        <v>3490</v>
      </c>
      <c r="I857" s="30" t="s">
        <v>3681</v>
      </c>
      <c r="J857" s="31">
        <v>400</v>
      </c>
      <c r="K857" s="53">
        <v>80</v>
      </c>
      <c r="L857" s="76" t="str">
        <f t="shared" si="27"/>
        <v/>
      </c>
    </row>
    <row r="858" spans="1:12" x14ac:dyDescent="0.25">
      <c r="A858" s="25" t="s">
        <v>3420</v>
      </c>
      <c r="B858" s="26">
        <v>192</v>
      </c>
      <c r="C858" s="26">
        <v>6</v>
      </c>
      <c r="D858" s="25" t="s">
        <v>3421</v>
      </c>
      <c r="E858" s="27"/>
      <c r="F858" s="33">
        <v>9.4</v>
      </c>
      <c r="G858" s="34">
        <f t="shared" si="26"/>
        <v>1.5666666666666667</v>
      </c>
      <c r="H858" s="30" t="s">
        <v>3422</v>
      </c>
      <c r="I858" s="30" t="s">
        <v>3423</v>
      </c>
      <c r="J858" s="31">
        <v>400</v>
      </c>
      <c r="K858" s="53">
        <v>80</v>
      </c>
      <c r="L858" s="76" t="str">
        <f t="shared" si="27"/>
        <v/>
      </c>
    </row>
    <row r="859" spans="1:12" x14ac:dyDescent="0.25">
      <c r="A859" s="25" t="s">
        <v>1910</v>
      </c>
      <c r="B859" s="26">
        <v>98</v>
      </c>
      <c r="C859" s="26">
        <v>6</v>
      </c>
      <c r="D859" s="25" t="s">
        <v>1911</v>
      </c>
      <c r="E859" s="27"/>
      <c r="F859" s="28">
        <v>9.4</v>
      </c>
      <c r="G859" s="29">
        <f t="shared" si="26"/>
        <v>1.5666666666666667</v>
      </c>
      <c r="H859" s="30" t="s">
        <v>1912</v>
      </c>
      <c r="I859" s="30" t="s">
        <v>1913</v>
      </c>
      <c r="J859" s="31">
        <v>400</v>
      </c>
      <c r="K859" s="53">
        <v>80</v>
      </c>
      <c r="L859" s="76" t="str">
        <f t="shared" si="27"/>
        <v/>
      </c>
    </row>
    <row r="860" spans="1:12" x14ac:dyDescent="0.25">
      <c r="A860" s="36" t="s">
        <v>3432</v>
      </c>
      <c r="B860" s="26">
        <v>201</v>
      </c>
      <c r="C860" s="53">
        <v>6</v>
      </c>
      <c r="D860" s="25" t="s">
        <v>3433</v>
      </c>
      <c r="E860" s="32"/>
      <c r="F860" s="61">
        <v>9.4</v>
      </c>
      <c r="G860" s="61">
        <f t="shared" si="26"/>
        <v>1.5666666666666667</v>
      </c>
      <c r="H860" s="59" t="s">
        <v>3486</v>
      </c>
      <c r="I860" s="59" t="s">
        <v>3487</v>
      </c>
      <c r="J860" s="32">
        <v>400</v>
      </c>
      <c r="K860" s="32">
        <v>80</v>
      </c>
      <c r="L860" s="76" t="str">
        <f t="shared" si="27"/>
        <v/>
      </c>
    </row>
    <row r="861" spans="1:12" x14ac:dyDescent="0.25">
      <c r="A861" s="25" t="s">
        <v>3408</v>
      </c>
      <c r="B861" s="26">
        <v>211</v>
      </c>
      <c r="C861" s="26">
        <v>6</v>
      </c>
      <c r="D861" s="25" t="s">
        <v>3409</v>
      </c>
      <c r="E861" s="27"/>
      <c r="F861" s="33">
        <v>9.4</v>
      </c>
      <c r="G861" s="34">
        <f t="shared" si="26"/>
        <v>1.5666666666666667</v>
      </c>
      <c r="H861" s="30" t="s">
        <v>3410</v>
      </c>
      <c r="I861" s="30" t="s">
        <v>3411</v>
      </c>
      <c r="J861" s="31">
        <v>400</v>
      </c>
      <c r="K861" s="53">
        <v>80</v>
      </c>
      <c r="L861" s="76" t="str">
        <f t="shared" si="27"/>
        <v/>
      </c>
    </row>
    <row r="862" spans="1:12" x14ac:dyDescent="0.25">
      <c r="A862" s="25" t="s">
        <v>3424</v>
      </c>
      <c r="B862" s="26">
        <v>92</v>
      </c>
      <c r="C862" s="26">
        <v>6</v>
      </c>
      <c r="D862" s="25" t="s">
        <v>3425</v>
      </c>
      <c r="E862" s="27"/>
      <c r="F862" s="33">
        <v>9.4</v>
      </c>
      <c r="G862" s="34">
        <f t="shared" si="26"/>
        <v>1.5666666666666667</v>
      </c>
      <c r="H862" s="30" t="s">
        <v>3426</v>
      </c>
      <c r="I862" s="30" t="s">
        <v>3427</v>
      </c>
      <c r="J862" s="31">
        <v>400</v>
      </c>
      <c r="K862" s="32">
        <v>80</v>
      </c>
      <c r="L862" s="76" t="str">
        <f t="shared" si="27"/>
        <v/>
      </c>
    </row>
    <row r="863" spans="1:12" x14ac:dyDescent="0.25">
      <c r="A863" s="25" t="s">
        <v>3416</v>
      </c>
      <c r="B863" s="26">
        <v>195</v>
      </c>
      <c r="C863" s="26">
        <v>6</v>
      </c>
      <c r="D863" s="25" t="s">
        <v>3417</v>
      </c>
      <c r="E863" s="27"/>
      <c r="F863" s="33">
        <v>9.4</v>
      </c>
      <c r="G863" s="34">
        <f t="shared" si="26"/>
        <v>1.5666666666666667</v>
      </c>
      <c r="H863" s="30" t="s">
        <v>3418</v>
      </c>
      <c r="I863" s="30" t="s">
        <v>3419</v>
      </c>
      <c r="J863" s="31">
        <v>400</v>
      </c>
      <c r="K863" s="32">
        <v>80</v>
      </c>
      <c r="L863" s="76" t="str">
        <f t="shared" si="27"/>
        <v/>
      </c>
    </row>
    <row r="864" spans="1:12" x14ac:dyDescent="0.25">
      <c r="A864" s="25" t="s">
        <v>3759</v>
      </c>
      <c r="B864" s="26">
        <v>258</v>
      </c>
      <c r="C864" s="26">
        <v>6</v>
      </c>
      <c r="D864" s="25" t="s">
        <v>3761</v>
      </c>
      <c r="E864" s="31"/>
      <c r="F864" s="28">
        <v>10.8</v>
      </c>
      <c r="G864" s="29">
        <f t="shared" si="26"/>
        <v>1.8</v>
      </c>
      <c r="H864" s="30" t="s">
        <v>3794</v>
      </c>
      <c r="I864" s="30" t="s">
        <v>3796</v>
      </c>
      <c r="J864" s="31">
        <v>276</v>
      </c>
      <c r="K864" s="32">
        <v>46</v>
      </c>
      <c r="L864" s="76" t="str">
        <f t="shared" si="27"/>
        <v/>
      </c>
    </row>
    <row r="865" spans="1:12" x14ac:dyDescent="0.25">
      <c r="A865" s="25" t="s">
        <v>3760</v>
      </c>
      <c r="B865" s="26">
        <v>270</v>
      </c>
      <c r="C865" s="26">
        <v>6</v>
      </c>
      <c r="D865" s="25" t="s">
        <v>3762</v>
      </c>
      <c r="E865" s="31"/>
      <c r="F865" s="28">
        <v>10.8</v>
      </c>
      <c r="G865" s="29">
        <f t="shared" si="26"/>
        <v>1.8</v>
      </c>
      <c r="H865" s="30" t="s">
        <v>3795</v>
      </c>
      <c r="I865" s="30" t="s">
        <v>3797</v>
      </c>
      <c r="J865" s="31">
        <v>276</v>
      </c>
      <c r="K865" s="32">
        <v>46</v>
      </c>
      <c r="L865" s="76" t="str">
        <f t="shared" si="27"/>
        <v/>
      </c>
    </row>
    <row r="866" spans="1:12" x14ac:dyDescent="0.25">
      <c r="A866" s="25" t="s">
        <v>269</v>
      </c>
      <c r="B866" s="26">
        <v>72</v>
      </c>
      <c r="C866" s="26">
        <v>10</v>
      </c>
      <c r="D866" s="25" t="s">
        <v>270</v>
      </c>
      <c r="E866" s="27"/>
      <c r="F866" s="28">
        <v>3.9</v>
      </c>
      <c r="G866" s="29">
        <f t="shared" si="26"/>
        <v>0.39</v>
      </c>
      <c r="H866" s="30" t="s">
        <v>283</v>
      </c>
      <c r="I866" s="30" t="s">
        <v>284</v>
      </c>
      <c r="J866" s="31">
        <v>126</v>
      </c>
      <c r="K866" s="32">
        <v>42</v>
      </c>
      <c r="L866" s="76" t="str">
        <f t="shared" si="27"/>
        <v/>
      </c>
    </row>
    <row r="867" spans="1:12" x14ac:dyDescent="0.25">
      <c r="A867" s="25" t="s">
        <v>332</v>
      </c>
      <c r="B867" s="26">
        <v>20</v>
      </c>
      <c r="C867" s="26">
        <v>10</v>
      </c>
      <c r="D867" s="25" t="s">
        <v>333</v>
      </c>
      <c r="E867" s="27"/>
      <c r="F867" s="28">
        <v>6.6</v>
      </c>
      <c r="G867" s="29">
        <f t="shared" si="26"/>
        <v>0.65999999999999992</v>
      </c>
      <c r="H867" s="30" t="s">
        <v>336</v>
      </c>
      <c r="I867" s="30" t="s">
        <v>337</v>
      </c>
      <c r="J867" s="31"/>
      <c r="K867" s="32"/>
      <c r="L867" s="76" t="str">
        <f t="shared" si="27"/>
        <v/>
      </c>
    </row>
    <row r="868" spans="1:12" x14ac:dyDescent="0.25">
      <c r="A868" s="25" t="s">
        <v>268</v>
      </c>
      <c r="B868" s="26">
        <v>11</v>
      </c>
      <c r="C868" s="26">
        <v>10</v>
      </c>
      <c r="D868" s="25" t="s">
        <v>341</v>
      </c>
      <c r="E868" s="27"/>
      <c r="F868" s="28">
        <v>6.6</v>
      </c>
      <c r="G868" s="29">
        <f t="shared" si="26"/>
        <v>0.65999999999999992</v>
      </c>
      <c r="H868" s="30" t="s">
        <v>825</v>
      </c>
      <c r="I868" s="30" t="s">
        <v>824</v>
      </c>
      <c r="J868" s="31"/>
      <c r="K868" s="32"/>
      <c r="L868" s="76" t="str">
        <f t="shared" si="27"/>
        <v/>
      </c>
    </row>
    <row r="869" spans="1:12" x14ac:dyDescent="0.25">
      <c r="A869" s="25" t="s">
        <v>1102</v>
      </c>
      <c r="B869" s="26">
        <v>16</v>
      </c>
      <c r="C869" s="26">
        <v>10</v>
      </c>
      <c r="D869" s="25" t="s">
        <v>1103</v>
      </c>
      <c r="E869" s="27"/>
      <c r="F869" s="28">
        <v>5.4</v>
      </c>
      <c r="G869" s="29">
        <f t="shared" si="26"/>
        <v>0.54</v>
      </c>
      <c r="H869" s="30" t="s">
        <v>1110</v>
      </c>
      <c r="I869" s="30" t="s">
        <v>1111</v>
      </c>
      <c r="J869" s="31"/>
      <c r="K869" s="32"/>
      <c r="L869" s="76" t="str">
        <f t="shared" si="27"/>
        <v/>
      </c>
    </row>
    <row r="870" spans="1:12" x14ac:dyDescent="0.25">
      <c r="A870" s="25" t="s">
        <v>266</v>
      </c>
      <c r="B870" s="26">
        <v>36</v>
      </c>
      <c r="C870" s="26">
        <v>10</v>
      </c>
      <c r="D870" s="25" t="s">
        <v>267</v>
      </c>
      <c r="E870" s="27"/>
      <c r="F870" s="28">
        <v>4.4000000000000004</v>
      </c>
      <c r="G870" s="29">
        <f t="shared" si="26"/>
        <v>0.44000000000000006</v>
      </c>
      <c r="H870" s="30" t="s">
        <v>281</v>
      </c>
      <c r="I870" s="30" t="s">
        <v>282</v>
      </c>
      <c r="J870" s="31"/>
      <c r="K870" s="32"/>
      <c r="L870" s="76" t="str">
        <f t="shared" si="27"/>
        <v/>
      </c>
    </row>
    <row r="871" spans="1:12" x14ac:dyDescent="0.25">
      <c r="A871" s="25" t="s">
        <v>2755</v>
      </c>
      <c r="B871" s="26">
        <v>215</v>
      </c>
      <c r="C871" s="26">
        <v>6</v>
      </c>
      <c r="D871" s="25" t="s">
        <v>2756</v>
      </c>
      <c r="E871" s="31"/>
      <c r="F871" s="33">
        <v>11.4</v>
      </c>
      <c r="G871" s="33">
        <f t="shared" si="26"/>
        <v>1.9000000000000001</v>
      </c>
      <c r="H871" s="30" t="s">
        <v>2757</v>
      </c>
      <c r="I871" s="30" t="s">
        <v>2758</v>
      </c>
      <c r="J871" s="31">
        <v>336</v>
      </c>
      <c r="K871" s="53">
        <v>56</v>
      </c>
      <c r="L871" s="77" t="str">
        <f t="shared" si="27"/>
        <v/>
      </c>
    </row>
    <row r="872" spans="1:12" x14ac:dyDescent="0.25">
      <c r="A872" s="25" t="s">
        <v>2751</v>
      </c>
      <c r="B872" s="26">
        <v>74</v>
      </c>
      <c r="C872" s="26">
        <v>12</v>
      </c>
      <c r="D872" s="25" t="s">
        <v>2752</v>
      </c>
      <c r="E872" s="27"/>
      <c r="F872" s="33">
        <v>20.399999999999999</v>
      </c>
      <c r="G872" s="34">
        <f t="shared" si="26"/>
        <v>1.7</v>
      </c>
      <c r="H872" s="30" t="s">
        <v>2753</v>
      </c>
      <c r="I872" s="30" t="s">
        <v>2754</v>
      </c>
      <c r="J872" s="31">
        <v>144</v>
      </c>
      <c r="K872" s="32">
        <v>16</v>
      </c>
      <c r="L872" s="76" t="str">
        <f t="shared" si="27"/>
        <v/>
      </c>
    </row>
    <row r="873" spans="1:12" x14ac:dyDescent="0.25">
      <c r="A873" s="36" t="s">
        <v>532</v>
      </c>
      <c r="B873" s="54">
        <v>475</v>
      </c>
      <c r="C873" s="53">
        <v>8</v>
      </c>
      <c r="D873" s="36" t="s">
        <v>533</v>
      </c>
      <c r="E873" s="27"/>
      <c r="F873" s="33">
        <v>13.6</v>
      </c>
      <c r="G873" s="34">
        <f t="shared" si="26"/>
        <v>1.7</v>
      </c>
      <c r="H873" s="56" t="s">
        <v>534</v>
      </c>
      <c r="I873" s="56" t="s">
        <v>535</v>
      </c>
      <c r="J873" s="54">
        <v>128</v>
      </c>
      <c r="K873" s="32">
        <v>16</v>
      </c>
      <c r="L873" s="76" t="str">
        <f t="shared" si="27"/>
        <v/>
      </c>
    </row>
    <row r="874" spans="1:12" x14ac:dyDescent="0.25">
      <c r="A874" s="25" t="s">
        <v>3434</v>
      </c>
      <c r="B874" s="26">
        <v>119</v>
      </c>
      <c r="C874" s="26">
        <v>12</v>
      </c>
      <c r="D874" s="25" t="s">
        <v>2268</v>
      </c>
      <c r="E874" s="27"/>
      <c r="F874" s="33">
        <v>20.399999999999999</v>
      </c>
      <c r="G874" s="34">
        <f t="shared" si="26"/>
        <v>1.7</v>
      </c>
      <c r="H874" s="30" t="s">
        <v>3435</v>
      </c>
      <c r="I874" s="30" t="s">
        <v>3436</v>
      </c>
      <c r="J874" s="31"/>
      <c r="K874" s="32"/>
      <c r="L874" s="76" t="str">
        <f t="shared" si="27"/>
        <v/>
      </c>
    </row>
    <row r="875" spans="1:12" x14ac:dyDescent="0.25">
      <c r="A875" s="25" t="s">
        <v>382</v>
      </c>
      <c r="B875" s="26">
        <v>307</v>
      </c>
      <c r="C875" s="26">
        <v>6</v>
      </c>
      <c r="D875" s="25" t="s">
        <v>388</v>
      </c>
      <c r="E875" s="27"/>
      <c r="F875" s="28">
        <v>16.8</v>
      </c>
      <c r="G875" s="29">
        <f t="shared" si="26"/>
        <v>2.8000000000000003</v>
      </c>
      <c r="H875" s="30" t="s">
        <v>384</v>
      </c>
      <c r="I875" s="30" t="s">
        <v>385</v>
      </c>
      <c r="J875" s="31">
        <v>672</v>
      </c>
      <c r="K875" s="32">
        <v>168</v>
      </c>
      <c r="L875" s="76" t="str">
        <f t="shared" si="27"/>
        <v/>
      </c>
    </row>
    <row r="876" spans="1:12" x14ac:dyDescent="0.25">
      <c r="A876" s="25" t="s">
        <v>383</v>
      </c>
      <c r="B876" s="26">
        <v>148</v>
      </c>
      <c r="C876" s="26">
        <v>6</v>
      </c>
      <c r="D876" s="25" t="s">
        <v>389</v>
      </c>
      <c r="E876" s="27"/>
      <c r="F876" s="28">
        <v>16.8</v>
      </c>
      <c r="G876" s="29">
        <f t="shared" ref="G876:G937" si="28">F876/C876</f>
        <v>2.8000000000000003</v>
      </c>
      <c r="H876" s="30" t="s">
        <v>386</v>
      </c>
      <c r="I876" s="30" t="s">
        <v>387</v>
      </c>
      <c r="J876" s="31">
        <v>672</v>
      </c>
      <c r="K876" s="32">
        <v>168</v>
      </c>
      <c r="L876" s="76" t="str">
        <f t="shared" ref="L876:L937" si="29">IF(E876,E876*F876,"")</f>
        <v/>
      </c>
    </row>
    <row r="877" spans="1:12" x14ac:dyDescent="0.25">
      <c r="A877" s="25" t="s">
        <v>2336</v>
      </c>
      <c r="B877" s="26">
        <v>499</v>
      </c>
      <c r="C877" s="26">
        <v>6</v>
      </c>
      <c r="D877" s="25" t="s">
        <v>2337</v>
      </c>
      <c r="E877" s="27"/>
      <c r="F877" s="28">
        <v>7.2</v>
      </c>
      <c r="G877" s="29">
        <f t="shared" si="28"/>
        <v>1.2</v>
      </c>
      <c r="H877" s="30" t="s">
        <v>2338</v>
      </c>
      <c r="I877" s="30" t="s">
        <v>2339</v>
      </c>
      <c r="J877" s="31"/>
      <c r="K877" s="37"/>
      <c r="L877" s="76" t="str">
        <f t="shared" si="29"/>
        <v/>
      </c>
    </row>
    <row r="878" spans="1:12" x14ac:dyDescent="0.25">
      <c r="A878" s="36" t="s">
        <v>2340</v>
      </c>
      <c r="B878" s="54">
        <v>284</v>
      </c>
      <c r="C878" s="53">
        <v>6</v>
      </c>
      <c r="D878" s="36" t="s">
        <v>2341</v>
      </c>
      <c r="E878" s="27"/>
      <c r="F878" s="28">
        <v>7.2</v>
      </c>
      <c r="G878" s="29">
        <f t="shared" si="28"/>
        <v>1.2</v>
      </c>
      <c r="H878" s="30" t="s">
        <v>2342</v>
      </c>
      <c r="I878" s="56" t="s">
        <v>2343</v>
      </c>
      <c r="J878" s="54"/>
      <c r="K878" s="37"/>
      <c r="L878" s="76" t="str">
        <f t="shared" si="29"/>
        <v/>
      </c>
    </row>
    <row r="879" spans="1:12" x14ac:dyDescent="0.25">
      <c r="A879" s="25" t="s">
        <v>2344</v>
      </c>
      <c r="B879" s="26">
        <v>177</v>
      </c>
      <c r="C879" s="26">
        <v>6</v>
      </c>
      <c r="D879" s="25" t="s">
        <v>2345</v>
      </c>
      <c r="E879" s="27"/>
      <c r="F879" s="28">
        <v>9.9499999999999993</v>
      </c>
      <c r="G879" s="29">
        <f t="shared" si="28"/>
        <v>1.6583333333333332</v>
      </c>
      <c r="H879" s="30" t="s">
        <v>2346</v>
      </c>
      <c r="I879" s="30" t="s">
        <v>2347</v>
      </c>
      <c r="J879" s="31">
        <v>410</v>
      </c>
      <c r="K879" s="53">
        <v>82</v>
      </c>
      <c r="L879" s="76" t="str">
        <f t="shared" si="29"/>
        <v/>
      </c>
    </row>
    <row r="880" spans="1:12" x14ac:dyDescent="0.25">
      <c r="A880" s="25" t="s">
        <v>2594</v>
      </c>
      <c r="B880" s="26">
        <v>12</v>
      </c>
      <c r="C880" s="26">
        <v>6</v>
      </c>
      <c r="D880" s="25" t="s">
        <v>2595</v>
      </c>
      <c r="E880" s="27"/>
      <c r="F880" s="28">
        <v>14</v>
      </c>
      <c r="G880" s="29">
        <f t="shared" si="28"/>
        <v>2.3333333333333335</v>
      </c>
      <c r="H880" s="30" t="s">
        <v>2597</v>
      </c>
      <c r="I880" s="30" t="s">
        <v>2596</v>
      </c>
      <c r="J880" s="31">
        <v>410</v>
      </c>
      <c r="K880" s="53">
        <v>82</v>
      </c>
      <c r="L880" s="76" t="str">
        <f t="shared" si="29"/>
        <v/>
      </c>
    </row>
    <row r="881" spans="1:12" x14ac:dyDescent="0.25">
      <c r="A881" s="25" t="s">
        <v>2866</v>
      </c>
      <c r="B881" s="26">
        <v>29</v>
      </c>
      <c r="C881" s="26">
        <v>6</v>
      </c>
      <c r="D881" s="25" t="s">
        <v>2867</v>
      </c>
      <c r="E881" s="27"/>
      <c r="F881" s="28">
        <v>13.2</v>
      </c>
      <c r="G881" s="29">
        <f t="shared" si="28"/>
        <v>2.1999999999999997</v>
      </c>
      <c r="H881" s="30" t="s">
        <v>2868</v>
      </c>
      <c r="I881" s="30" t="s">
        <v>2924</v>
      </c>
      <c r="J881" s="31"/>
      <c r="K881" s="53"/>
      <c r="L881" s="76" t="str">
        <f t="shared" si="29"/>
        <v/>
      </c>
    </row>
    <row r="882" spans="1:12" x14ac:dyDescent="0.25">
      <c r="A882" s="25" t="s">
        <v>3564</v>
      </c>
      <c r="B882" s="26">
        <v>594</v>
      </c>
      <c r="C882" s="26">
        <v>6</v>
      </c>
      <c r="D882" s="25" t="s">
        <v>3750</v>
      </c>
      <c r="E882" s="27"/>
      <c r="F882" s="28">
        <v>7.2</v>
      </c>
      <c r="G882" s="29">
        <f t="shared" si="28"/>
        <v>1.2</v>
      </c>
      <c r="H882" s="30" t="s">
        <v>3565</v>
      </c>
      <c r="I882" s="30" t="s">
        <v>3566</v>
      </c>
      <c r="J882" s="31">
        <v>528</v>
      </c>
      <c r="K882" s="53">
        <v>66</v>
      </c>
      <c r="L882" s="76" t="str">
        <f t="shared" si="29"/>
        <v/>
      </c>
    </row>
    <row r="883" spans="1:12" x14ac:dyDescent="0.25">
      <c r="A883" s="25" t="s">
        <v>3747</v>
      </c>
      <c r="B883" s="26">
        <v>54</v>
      </c>
      <c r="C883" s="26">
        <v>6</v>
      </c>
      <c r="D883" s="25" t="s">
        <v>3751</v>
      </c>
      <c r="E883" s="27"/>
      <c r="F883" s="28">
        <v>7.2</v>
      </c>
      <c r="G883" s="29">
        <f t="shared" si="28"/>
        <v>1.2</v>
      </c>
      <c r="H883" s="30" t="s">
        <v>3748</v>
      </c>
      <c r="I883" s="30" t="s">
        <v>3749</v>
      </c>
      <c r="J883" s="31">
        <v>528</v>
      </c>
      <c r="K883" s="53">
        <v>66</v>
      </c>
      <c r="L883" s="76" t="str">
        <f t="shared" si="29"/>
        <v/>
      </c>
    </row>
    <row r="884" spans="1:12" x14ac:dyDescent="0.25">
      <c r="A884" s="25" t="s">
        <v>3567</v>
      </c>
      <c r="B884" s="26">
        <v>56</v>
      </c>
      <c r="C884" s="26">
        <v>12</v>
      </c>
      <c r="D884" s="25" t="s">
        <v>3568</v>
      </c>
      <c r="E884" s="27"/>
      <c r="F884" s="28">
        <v>4.8</v>
      </c>
      <c r="G884" s="29">
        <f t="shared" si="28"/>
        <v>0.39999999999999997</v>
      </c>
      <c r="H884" s="30" t="s">
        <v>3569</v>
      </c>
      <c r="I884" s="30" t="s">
        <v>3570</v>
      </c>
      <c r="J884" s="31"/>
      <c r="K884" s="53"/>
      <c r="L884" s="76" t="str">
        <f t="shared" si="29"/>
        <v/>
      </c>
    </row>
    <row r="885" spans="1:12" x14ac:dyDescent="0.25">
      <c r="A885" s="25" t="s">
        <v>2796</v>
      </c>
      <c r="B885" s="26">
        <v>68</v>
      </c>
      <c r="C885" s="26">
        <v>6</v>
      </c>
      <c r="D885" s="25" t="s">
        <v>2797</v>
      </c>
      <c r="E885" s="27"/>
      <c r="F885" s="33">
        <v>9</v>
      </c>
      <c r="G885" s="34">
        <f t="shared" si="28"/>
        <v>1.5</v>
      </c>
      <c r="H885" s="30" t="s">
        <v>2798</v>
      </c>
      <c r="I885" s="30" t="s">
        <v>2799</v>
      </c>
      <c r="J885" s="31">
        <v>504</v>
      </c>
      <c r="K885" s="53">
        <v>72</v>
      </c>
      <c r="L885" s="76" t="str">
        <f t="shared" si="29"/>
        <v/>
      </c>
    </row>
    <row r="886" spans="1:12" x14ac:dyDescent="0.25">
      <c r="A886" s="25" t="s">
        <v>3654</v>
      </c>
      <c r="B886" s="26">
        <v>106</v>
      </c>
      <c r="C886" s="26">
        <v>6</v>
      </c>
      <c r="D886" s="25" t="s">
        <v>3653</v>
      </c>
      <c r="E886" s="27"/>
      <c r="F886" s="33">
        <v>9</v>
      </c>
      <c r="G886" s="34">
        <f t="shared" si="28"/>
        <v>1.5</v>
      </c>
      <c r="H886" s="30" t="s">
        <v>3666</v>
      </c>
      <c r="I886" s="30" t="s">
        <v>3667</v>
      </c>
      <c r="J886" s="31">
        <v>504</v>
      </c>
      <c r="K886" s="53">
        <v>72</v>
      </c>
      <c r="L886" s="76" t="str">
        <f t="shared" si="29"/>
        <v/>
      </c>
    </row>
    <row r="887" spans="1:12" x14ac:dyDescent="0.25">
      <c r="A887" s="25" t="s">
        <v>3744</v>
      </c>
      <c r="B887" s="26">
        <v>44</v>
      </c>
      <c r="C887" s="26">
        <v>6</v>
      </c>
      <c r="D887" s="25" t="s">
        <v>3739</v>
      </c>
      <c r="E887" s="27"/>
      <c r="F887" s="33">
        <v>11.8</v>
      </c>
      <c r="G887" s="34">
        <f t="shared" si="28"/>
        <v>1.9666666666666668</v>
      </c>
      <c r="H887" s="30" t="s">
        <v>3738</v>
      </c>
      <c r="I887" s="30" t="s">
        <v>3777</v>
      </c>
      <c r="J887" s="31">
        <v>340</v>
      </c>
      <c r="K887" s="53">
        <v>68</v>
      </c>
      <c r="L887" s="76" t="str">
        <f t="shared" si="29"/>
        <v/>
      </c>
    </row>
    <row r="888" spans="1:12" x14ac:dyDescent="0.25">
      <c r="A888" s="25" t="s">
        <v>3746</v>
      </c>
      <c r="B888" s="26">
        <v>23</v>
      </c>
      <c r="C888" s="26">
        <v>6</v>
      </c>
      <c r="D888" s="25" t="s">
        <v>3742</v>
      </c>
      <c r="E888" s="27"/>
      <c r="F888" s="33">
        <v>11.8</v>
      </c>
      <c r="G888" s="34">
        <f t="shared" si="28"/>
        <v>1.9666666666666668</v>
      </c>
      <c r="H888" s="30" t="s">
        <v>3741</v>
      </c>
      <c r="I888" s="30" t="s">
        <v>3775</v>
      </c>
      <c r="J888" s="31">
        <v>340</v>
      </c>
      <c r="K888" s="53">
        <v>68</v>
      </c>
      <c r="L888" s="76" t="str">
        <f t="shared" si="29"/>
        <v/>
      </c>
    </row>
    <row r="889" spans="1:12" x14ac:dyDescent="0.25">
      <c r="A889" s="25" t="s">
        <v>3209</v>
      </c>
      <c r="B889" s="26">
        <v>44</v>
      </c>
      <c r="C889" s="26">
        <v>6</v>
      </c>
      <c r="D889" s="25" t="s">
        <v>3248</v>
      </c>
      <c r="E889" s="27"/>
      <c r="F889" s="33">
        <v>12.95</v>
      </c>
      <c r="G889" s="34">
        <f t="shared" si="28"/>
        <v>2.1583333333333332</v>
      </c>
      <c r="H889" s="30" t="s">
        <v>3210</v>
      </c>
      <c r="I889" s="30" t="s">
        <v>3273</v>
      </c>
      <c r="J889" s="31">
        <v>378</v>
      </c>
      <c r="K889" s="53">
        <v>63</v>
      </c>
      <c r="L889" s="76" t="str">
        <f t="shared" si="29"/>
        <v/>
      </c>
    </row>
    <row r="890" spans="1:12" x14ac:dyDescent="0.25">
      <c r="A890" s="25" t="s">
        <v>3924</v>
      </c>
      <c r="B890" s="26">
        <v>175</v>
      </c>
      <c r="C890" s="26">
        <v>6</v>
      </c>
      <c r="D890" s="25" t="s">
        <v>3925</v>
      </c>
      <c r="E890" s="27"/>
      <c r="F890" s="33">
        <v>12.95</v>
      </c>
      <c r="G890" s="34">
        <f t="shared" si="28"/>
        <v>2.1583333333333332</v>
      </c>
      <c r="H890" s="30" t="s">
        <v>3926</v>
      </c>
      <c r="I890" s="30" t="s">
        <v>3927</v>
      </c>
      <c r="J890" s="31">
        <v>378</v>
      </c>
      <c r="K890" s="53">
        <v>63</v>
      </c>
      <c r="L890" s="76" t="str">
        <f t="shared" si="29"/>
        <v/>
      </c>
    </row>
    <row r="891" spans="1:12" x14ac:dyDescent="0.25">
      <c r="A891" s="25" t="s">
        <v>3745</v>
      </c>
      <c r="B891" s="26">
        <v>342</v>
      </c>
      <c r="C891" s="26">
        <v>6</v>
      </c>
      <c r="D891" s="25" t="s">
        <v>3740</v>
      </c>
      <c r="E891" s="27"/>
      <c r="F891" s="33">
        <v>14.8</v>
      </c>
      <c r="G891" s="34">
        <f t="shared" si="28"/>
        <v>2.4666666666666668</v>
      </c>
      <c r="H891" s="30" t="s">
        <v>3743</v>
      </c>
      <c r="I891" s="30" t="s">
        <v>3776</v>
      </c>
      <c r="J891" s="31">
        <v>265</v>
      </c>
      <c r="K891" s="53">
        <v>53</v>
      </c>
      <c r="L891" s="76" t="str">
        <f t="shared" si="29"/>
        <v/>
      </c>
    </row>
    <row r="892" spans="1:12" x14ac:dyDescent="0.25">
      <c r="A892" s="25" t="s">
        <v>3917</v>
      </c>
      <c r="B892" s="26">
        <v>147</v>
      </c>
      <c r="C892" s="26">
        <v>6</v>
      </c>
      <c r="D892" s="25" t="s">
        <v>3916</v>
      </c>
      <c r="E892" s="27"/>
      <c r="F892" s="33">
        <v>14.8</v>
      </c>
      <c r="G892" s="34">
        <f t="shared" si="28"/>
        <v>2.4666666666666668</v>
      </c>
      <c r="H892" s="30" t="s">
        <v>3918</v>
      </c>
      <c r="I892" s="30" t="s">
        <v>3919</v>
      </c>
      <c r="J892" s="31">
        <v>265</v>
      </c>
      <c r="K892" s="53">
        <v>53</v>
      </c>
      <c r="L892" s="76" t="str">
        <f t="shared" si="29"/>
        <v/>
      </c>
    </row>
    <row r="893" spans="1:12" x14ac:dyDescent="0.25">
      <c r="A893" s="25" t="s">
        <v>3920</v>
      </c>
      <c r="B893" s="26">
        <v>414</v>
      </c>
      <c r="C893" s="26">
        <v>6</v>
      </c>
      <c r="D893" s="25" t="s">
        <v>3921</v>
      </c>
      <c r="E893" s="27"/>
      <c r="F893" s="33">
        <v>14.8</v>
      </c>
      <c r="G893" s="34">
        <f t="shared" si="28"/>
        <v>2.4666666666666668</v>
      </c>
      <c r="H893" s="30" t="s">
        <v>3922</v>
      </c>
      <c r="I893" s="30" t="s">
        <v>3923</v>
      </c>
      <c r="J893" s="31">
        <v>265</v>
      </c>
      <c r="K893" s="53">
        <v>53</v>
      </c>
      <c r="L893" s="76" t="str">
        <f t="shared" si="29"/>
        <v/>
      </c>
    </row>
    <row r="894" spans="1:12" x14ac:dyDescent="0.25">
      <c r="A894" s="25" t="s">
        <v>2869</v>
      </c>
      <c r="B894" s="26">
        <v>338</v>
      </c>
      <c r="C894" s="26">
        <v>6</v>
      </c>
      <c r="D894" s="25" t="s">
        <v>2872</v>
      </c>
      <c r="E894" s="27"/>
      <c r="F894" s="33">
        <v>13.2</v>
      </c>
      <c r="G894" s="34">
        <f t="shared" si="28"/>
        <v>2.1999999999999997</v>
      </c>
      <c r="H894" s="30" t="s">
        <v>2875</v>
      </c>
      <c r="I894" s="30" t="s">
        <v>2926</v>
      </c>
      <c r="J894" s="31"/>
      <c r="K894" s="53"/>
      <c r="L894" s="76" t="str">
        <f t="shared" si="29"/>
        <v/>
      </c>
    </row>
    <row r="895" spans="1:12" x14ac:dyDescent="0.25">
      <c r="A895" s="25" t="s">
        <v>2870</v>
      </c>
      <c r="B895" s="26">
        <v>366</v>
      </c>
      <c r="C895" s="26">
        <v>6</v>
      </c>
      <c r="D895" s="25" t="s">
        <v>2873</v>
      </c>
      <c r="E895" s="27"/>
      <c r="F895" s="33">
        <v>13.2</v>
      </c>
      <c r="G895" s="34">
        <f t="shared" si="28"/>
        <v>2.1999999999999997</v>
      </c>
      <c r="H895" s="30" t="s">
        <v>2876</v>
      </c>
      <c r="I895" s="30" t="s">
        <v>2923</v>
      </c>
      <c r="J895" s="31">
        <v>504</v>
      </c>
      <c r="K895" s="53">
        <v>72</v>
      </c>
      <c r="L895" s="76" t="str">
        <f t="shared" si="29"/>
        <v/>
      </c>
    </row>
    <row r="896" spans="1:12" x14ac:dyDescent="0.25">
      <c r="A896" s="25" t="s">
        <v>2871</v>
      </c>
      <c r="B896" s="26">
        <v>186</v>
      </c>
      <c r="C896" s="26">
        <v>6</v>
      </c>
      <c r="D896" s="25" t="s">
        <v>2874</v>
      </c>
      <c r="E896" s="27"/>
      <c r="F896" s="33">
        <v>13.2</v>
      </c>
      <c r="G896" s="34">
        <f t="shared" si="28"/>
        <v>2.1999999999999997</v>
      </c>
      <c r="H896" s="30" t="s">
        <v>2877</v>
      </c>
      <c r="I896" s="30" t="s">
        <v>2922</v>
      </c>
      <c r="J896" s="31">
        <v>504</v>
      </c>
      <c r="K896" s="53">
        <v>72</v>
      </c>
      <c r="L896" s="76" t="str">
        <f t="shared" si="29"/>
        <v/>
      </c>
    </row>
    <row r="897" spans="1:12" x14ac:dyDescent="0.25">
      <c r="A897" s="25" t="s">
        <v>1774</v>
      </c>
      <c r="B897" s="26">
        <v>608</v>
      </c>
      <c r="C897" s="26">
        <v>6</v>
      </c>
      <c r="D897" s="25" t="s">
        <v>1775</v>
      </c>
      <c r="E897" s="27"/>
      <c r="F897" s="28">
        <v>14.4</v>
      </c>
      <c r="G897" s="29">
        <f t="shared" si="28"/>
        <v>2.4</v>
      </c>
      <c r="H897" s="30" t="s">
        <v>1776</v>
      </c>
      <c r="I897" s="30" t="s">
        <v>1872</v>
      </c>
      <c r="J897" s="31">
        <v>224</v>
      </c>
      <c r="K897" s="32">
        <v>16</v>
      </c>
      <c r="L897" s="76" t="str">
        <f t="shared" si="29"/>
        <v/>
      </c>
    </row>
    <row r="898" spans="1:12" x14ac:dyDescent="0.25">
      <c r="A898" s="25" t="s">
        <v>1914</v>
      </c>
      <c r="B898" s="26">
        <v>292</v>
      </c>
      <c r="C898" s="26">
        <v>6</v>
      </c>
      <c r="D898" s="25" t="s">
        <v>1915</v>
      </c>
      <c r="E898" s="27"/>
      <c r="F898" s="28">
        <v>14.4</v>
      </c>
      <c r="G898" s="29">
        <f t="shared" si="28"/>
        <v>2.4</v>
      </c>
      <c r="H898" s="30" t="s">
        <v>1916</v>
      </c>
      <c r="I898" s="30" t="s">
        <v>1917</v>
      </c>
      <c r="J898" s="31">
        <v>224</v>
      </c>
      <c r="K898" s="32">
        <v>16</v>
      </c>
      <c r="L898" s="76" t="str">
        <f t="shared" si="29"/>
        <v/>
      </c>
    </row>
    <row r="899" spans="1:12" x14ac:dyDescent="0.25">
      <c r="A899" s="25" t="s">
        <v>3598</v>
      </c>
      <c r="B899" s="26">
        <v>206</v>
      </c>
      <c r="C899" s="26">
        <v>6</v>
      </c>
      <c r="D899" s="25" t="s">
        <v>3597</v>
      </c>
      <c r="E899" s="27"/>
      <c r="F899" s="28">
        <v>14.4</v>
      </c>
      <c r="G899" s="29">
        <f t="shared" si="28"/>
        <v>2.4</v>
      </c>
      <c r="H899" s="30" t="s">
        <v>3599</v>
      </c>
      <c r="I899" s="30" t="s">
        <v>3627</v>
      </c>
      <c r="J899" s="31">
        <v>224</v>
      </c>
      <c r="K899" s="32">
        <v>16</v>
      </c>
      <c r="L899" s="76" t="str">
        <f t="shared" si="29"/>
        <v/>
      </c>
    </row>
    <row r="900" spans="1:12" x14ac:dyDescent="0.25">
      <c r="A900" s="25" t="s">
        <v>3613</v>
      </c>
      <c r="B900" s="26">
        <v>17</v>
      </c>
      <c r="C900" s="26">
        <v>6</v>
      </c>
      <c r="D900" s="25" t="s">
        <v>3670</v>
      </c>
      <c r="E900" s="27"/>
      <c r="F900" s="28">
        <v>7.65</v>
      </c>
      <c r="G900" s="29">
        <f t="shared" si="28"/>
        <v>1.2750000000000001</v>
      </c>
      <c r="H900" s="30" t="s">
        <v>3614</v>
      </c>
      <c r="I900" s="30" t="s">
        <v>3671</v>
      </c>
      <c r="J900" s="31">
        <v>462</v>
      </c>
      <c r="K900" s="32">
        <v>66</v>
      </c>
      <c r="L900" s="76" t="str">
        <f t="shared" si="29"/>
        <v/>
      </c>
    </row>
    <row r="901" spans="1:12" x14ac:dyDescent="0.25">
      <c r="A901" s="25" t="s">
        <v>3606</v>
      </c>
      <c r="B901" s="26">
        <v>94</v>
      </c>
      <c r="C901" s="26">
        <v>6</v>
      </c>
      <c r="D901" s="25" t="s">
        <v>3604</v>
      </c>
      <c r="E901" s="27"/>
      <c r="F901" s="28">
        <v>7.65</v>
      </c>
      <c r="G901" s="29">
        <f t="shared" si="28"/>
        <v>1.2750000000000001</v>
      </c>
      <c r="H901" s="30" t="s">
        <v>3605</v>
      </c>
      <c r="I901" s="30" t="s">
        <v>3669</v>
      </c>
      <c r="J901" s="31">
        <v>462</v>
      </c>
      <c r="K901" s="32">
        <v>66</v>
      </c>
      <c r="L901" s="76" t="str">
        <f t="shared" si="29"/>
        <v/>
      </c>
    </row>
    <row r="902" spans="1:12" x14ac:dyDescent="0.25">
      <c r="A902" s="25" t="s">
        <v>3610</v>
      </c>
      <c r="B902" s="26">
        <v>33</v>
      </c>
      <c r="C902" s="26">
        <v>6</v>
      </c>
      <c r="D902" s="25" t="s">
        <v>3611</v>
      </c>
      <c r="E902" s="27"/>
      <c r="F902" s="28">
        <v>7.2</v>
      </c>
      <c r="G902" s="29">
        <f t="shared" si="28"/>
        <v>1.2</v>
      </c>
      <c r="H902" s="30" t="s">
        <v>3612</v>
      </c>
      <c r="I902" s="30" t="s">
        <v>3668</v>
      </c>
      <c r="J902" s="31">
        <v>462</v>
      </c>
      <c r="K902" s="32">
        <v>66</v>
      </c>
      <c r="L902" s="76" t="str">
        <f t="shared" si="29"/>
        <v/>
      </c>
    </row>
    <row r="903" spans="1:12" x14ac:dyDescent="0.25">
      <c r="A903" s="25" t="s">
        <v>3150</v>
      </c>
      <c r="B903" s="26">
        <v>19</v>
      </c>
      <c r="C903" s="26">
        <v>6</v>
      </c>
      <c r="D903" s="25" t="s">
        <v>3151</v>
      </c>
      <c r="E903" s="27"/>
      <c r="F903" s="28">
        <v>7.65</v>
      </c>
      <c r="G903" s="29">
        <f t="shared" si="28"/>
        <v>1.2750000000000001</v>
      </c>
      <c r="H903" s="59">
        <v>8720181474002</v>
      </c>
      <c r="I903" s="30" t="s">
        <v>3299</v>
      </c>
      <c r="J903" s="31">
        <v>462</v>
      </c>
      <c r="K903" s="32">
        <v>66</v>
      </c>
      <c r="L903" s="76" t="str">
        <f t="shared" si="29"/>
        <v/>
      </c>
    </row>
    <row r="904" spans="1:12" x14ac:dyDescent="0.25">
      <c r="A904" s="25" t="s">
        <v>3600</v>
      </c>
      <c r="B904" s="26">
        <v>9</v>
      </c>
      <c r="C904" s="26">
        <v>6</v>
      </c>
      <c r="D904" s="25" t="s">
        <v>3601</v>
      </c>
      <c r="E904" s="27"/>
      <c r="F904" s="28">
        <v>7.2</v>
      </c>
      <c r="G904" s="29">
        <f t="shared" si="28"/>
        <v>1.2</v>
      </c>
      <c r="H904" s="59" t="s">
        <v>3602</v>
      </c>
      <c r="I904" s="30" t="s">
        <v>3603</v>
      </c>
      <c r="J904" s="31">
        <v>462</v>
      </c>
      <c r="K904" s="32">
        <v>66</v>
      </c>
      <c r="L904" s="76" t="str">
        <f t="shared" si="29"/>
        <v/>
      </c>
    </row>
    <row r="905" spans="1:12" x14ac:dyDescent="0.25">
      <c r="A905" s="25" t="s">
        <v>3770</v>
      </c>
      <c r="B905" s="26">
        <v>6</v>
      </c>
      <c r="C905" s="26">
        <v>6</v>
      </c>
      <c r="D905" s="25" t="s">
        <v>3769</v>
      </c>
      <c r="E905" s="27"/>
      <c r="F905" s="28"/>
      <c r="G905" s="29">
        <f t="shared" si="28"/>
        <v>0</v>
      </c>
      <c r="H905" s="59">
        <v>8720181699863</v>
      </c>
      <c r="I905" s="30" t="s">
        <v>3774</v>
      </c>
      <c r="J905" s="31">
        <v>252</v>
      </c>
      <c r="K905" s="32">
        <v>42</v>
      </c>
      <c r="L905" s="76" t="str">
        <f t="shared" si="29"/>
        <v/>
      </c>
    </row>
    <row r="906" spans="1:12" x14ac:dyDescent="0.25">
      <c r="A906" s="25" t="s">
        <v>3615</v>
      </c>
      <c r="B906" s="26">
        <v>125</v>
      </c>
      <c r="C906" s="26">
        <v>6</v>
      </c>
      <c r="D906" s="25" t="s">
        <v>3628</v>
      </c>
      <c r="E906" s="27"/>
      <c r="F906" s="28">
        <v>8.65</v>
      </c>
      <c r="G906" s="29">
        <f t="shared" si="28"/>
        <v>1.4416666666666667</v>
      </c>
      <c r="H906" s="59" t="s">
        <v>3616</v>
      </c>
      <c r="I906" s="30" t="s">
        <v>3629</v>
      </c>
      <c r="J906" s="31">
        <v>252</v>
      </c>
      <c r="K906" s="32">
        <v>42</v>
      </c>
      <c r="L906" s="76" t="str">
        <f t="shared" si="29"/>
        <v/>
      </c>
    </row>
    <row r="907" spans="1:12" x14ac:dyDescent="0.25">
      <c r="A907" s="25" t="s">
        <v>3622</v>
      </c>
      <c r="B907" s="26">
        <v>1</v>
      </c>
      <c r="C907" s="26">
        <v>6</v>
      </c>
      <c r="D907" s="25" t="s">
        <v>3630</v>
      </c>
      <c r="E907" s="27"/>
      <c r="F907" s="28">
        <v>8.4</v>
      </c>
      <c r="G907" s="29">
        <f t="shared" si="28"/>
        <v>1.4000000000000001</v>
      </c>
      <c r="H907" s="59" t="s">
        <v>3623</v>
      </c>
      <c r="I907" s="30" t="s">
        <v>3631</v>
      </c>
      <c r="J907" s="31">
        <v>252</v>
      </c>
      <c r="K907" s="32">
        <v>42</v>
      </c>
      <c r="L907" s="76" t="str">
        <f t="shared" si="29"/>
        <v/>
      </c>
    </row>
    <row r="908" spans="1:12" x14ac:dyDescent="0.25">
      <c r="A908" s="25" t="s">
        <v>225</v>
      </c>
      <c r="B908" s="26">
        <v>59</v>
      </c>
      <c r="C908" s="26">
        <v>12</v>
      </c>
      <c r="D908" s="25" t="s">
        <v>90</v>
      </c>
      <c r="E908" s="27"/>
      <c r="F908" s="28">
        <v>6.3</v>
      </c>
      <c r="G908" s="29">
        <f t="shared" si="28"/>
        <v>0.52500000000000002</v>
      </c>
      <c r="H908" s="30" t="s">
        <v>21</v>
      </c>
      <c r="I908" s="30" t="s">
        <v>1159</v>
      </c>
      <c r="J908" s="31">
        <v>320</v>
      </c>
      <c r="K908" s="32">
        <v>64</v>
      </c>
      <c r="L908" s="76" t="str">
        <f t="shared" si="29"/>
        <v/>
      </c>
    </row>
    <row r="909" spans="1:12" x14ac:dyDescent="0.25">
      <c r="A909" s="25" t="s">
        <v>226</v>
      </c>
      <c r="B909" s="26">
        <v>39</v>
      </c>
      <c r="C909" s="26">
        <v>12</v>
      </c>
      <c r="D909" s="25" t="s">
        <v>91</v>
      </c>
      <c r="E909" s="27"/>
      <c r="F909" s="28">
        <v>6.3</v>
      </c>
      <c r="G909" s="29">
        <f t="shared" si="28"/>
        <v>0.52500000000000002</v>
      </c>
      <c r="H909" s="30" t="s">
        <v>93</v>
      </c>
      <c r="I909" s="30" t="s">
        <v>1160</v>
      </c>
      <c r="J909" s="31">
        <v>320</v>
      </c>
      <c r="K909" s="32">
        <v>64</v>
      </c>
      <c r="L909" s="76" t="str">
        <f t="shared" si="29"/>
        <v/>
      </c>
    </row>
    <row r="910" spans="1:12" x14ac:dyDescent="0.25">
      <c r="A910" s="25" t="s">
        <v>227</v>
      </c>
      <c r="B910" s="26">
        <v>39</v>
      </c>
      <c r="C910" s="26">
        <v>12</v>
      </c>
      <c r="D910" s="25" t="s">
        <v>92</v>
      </c>
      <c r="E910" s="27"/>
      <c r="F910" s="28">
        <v>6.3</v>
      </c>
      <c r="G910" s="29">
        <f t="shared" si="28"/>
        <v>0.52500000000000002</v>
      </c>
      <c r="H910" s="30" t="s">
        <v>94</v>
      </c>
      <c r="I910" s="30" t="s">
        <v>1138</v>
      </c>
      <c r="J910" s="31">
        <v>320</v>
      </c>
      <c r="K910" s="32">
        <v>64</v>
      </c>
      <c r="L910" s="76" t="str">
        <f t="shared" si="29"/>
        <v/>
      </c>
    </row>
    <row r="911" spans="1:12" x14ac:dyDescent="0.25">
      <c r="A911" s="25" t="s">
        <v>630</v>
      </c>
      <c r="B911" s="26">
        <v>39</v>
      </c>
      <c r="C911" s="26">
        <v>12</v>
      </c>
      <c r="D911" s="25" t="s">
        <v>631</v>
      </c>
      <c r="E911" s="27"/>
      <c r="F911" s="28">
        <v>6.3</v>
      </c>
      <c r="G911" s="28">
        <f t="shared" si="28"/>
        <v>0.52500000000000002</v>
      </c>
      <c r="H911" s="30" t="s">
        <v>632</v>
      </c>
      <c r="I911" s="30" t="s">
        <v>1139</v>
      </c>
      <c r="J911" s="31">
        <v>320</v>
      </c>
      <c r="K911" s="32">
        <v>64</v>
      </c>
      <c r="L911" s="76" t="str">
        <f t="shared" si="29"/>
        <v/>
      </c>
    </row>
    <row r="912" spans="1:12" x14ac:dyDescent="0.25">
      <c r="A912" s="25" t="s">
        <v>1071</v>
      </c>
      <c r="B912" s="26">
        <v>51</v>
      </c>
      <c r="C912" s="26">
        <v>12</v>
      </c>
      <c r="D912" s="25" t="s">
        <v>1072</v>
      </c>
      <c r="E912" s="27"/>
      <c r="F912" s="28">
        <v>6.3</v>
      </c>
      <c r="G912" s="28">
        <f t="shared" si="28"/>
        <v>0.52500000000000002</v>
      </c>
      <c r="H912" s="30" t="s">
        <v>1076</v>
      </c>
      <c r="I912" s="30" t="s">
        <v>1077</v>
      </c>
      <c r="J912" s="31">
        <v>320</v>
      </c>
      <c r="K912" s="32">
        <v>64</v>
      </c>
      <c r="L912" s="76" t="str">
        <f t="shared" si="29"/>
        <v/>
      </c>
    </row>
    <row r="913" spans="1:12" x14ac:dyDescent="0.25">
      <c r="A913" s="25" t="s">
        <v>1393</v>
      </c>
      <c r="B913" s="26">
        <v>31</v>
      </c>
      <c r="C913" s="26">
        <v>12</v>
      </c>
      <c r="D913" s="25" t="s">
        <v>1394</v>
      </c>
      <c r="E913" s="27"/>
      <c r="F913" s="28">
        <v>6.96</v>
      </c>
      <c r="G913" s="29">
        <f t="shared" si="28"/>
        <v>0.57999999999999996</v>
      </c>
      <c r="H913" s="30" t="s">
        <v>1395</v>
      </c>
      <c r="I913" s="30" t="s">
        <v>1396</v>
      </c>
      <c r="J913" s="31">
        <v>112</v>
      </c>
      <c r="K913" s="53">
        <v>14</v>
      </c>
      <c r="L913" s="76" t="str">
        <f t="shared" si="29"/>
        <v/>
      </c>
    </row>
    <row r="914" spans="1:12" x14ac:dyDescent="0.25">
      <c r="A914" s="25" t="s">
        <v>1748</v>
      </c>
      <c r="B914" s="26">
        <v>41</v>
      </c>
      <c r="C914" s="26">
        <v>12</v>
      </c>
      <c r="D914" s="25" t="s">
        <v>1749</v>
      </c>
      <c r="E914" s="27"/>
      <c r="F914" s="28">
        <v>6.96</v>
      </c>
      <c r="G914" s="29">
        <f t="shared" si="28"/>
        <v>0.57999999999999996</v>
      </c>
      <c r="H914" s="30" t="s">
        <v>1903</v>
      </c>
      <c r="I914" s="30" t="s">
        <v>1904</v>
      </c>
      <c r="J914" s="31">
        <v>112</v>
      </c>
      <c r="K914" s="53">
        <v>14</v>
      </c>
      <c r="L914" s="76" t="str">
        <f t="shared" si="29"/>
        <v/>
      </c>
    </row>
    <row r="915" spans="1:12" x14ac:dyDescent="0.25">
      <c r="A915" s="25" t="s">
        <v>1750</v>
      </c>
      <c r="B915" s="26">
        <v>44</v>
      </c>
      <c r="C915" s="26">
        <v>12</v>
      </c>
      <c r="D915" s="25" t="s">
        <v>1751</v>
      </c>
      <c r="E915" s="27"/>
      <c r="F915" s="28">
        <v>6.96</v>
      </c>
      <c r="G915" s="29">
        <f t="shared" si="28"/>
        <v>0.57999999999999996</v>
      </c>
      <c r="H915" s="30" t="s">
        <v>1901</v>
      </c>
      <c r="I915" s="30" t="s">
        <v>1902</v>
      </c>
      <c r="J915" s="31">
        <v>112</v>
      </c>
      <c r="K915" s="53">
        <v>14</v>
      </c>
      <c r="L915" s="76" t="str">
        <f t="shared" si="29"/>
        <v/>
      </c>
    </row>
    <row r="916" spans="1:12" x14ac:dyDescent="0.25">
      <c r="A916" s="25" t="s">
        <v>1752</v>
      </c>
      <c r="B916" s="26">
        <v>30</v>
      </c>
      <c r="C916" s="26">
        <v>12</v>
      </c>
      <c r="D916" s="25" t="s">
        <v>1753</v>
      </c>
      <c r="E916" s="27"/>
      <c r="F916" s="28">
        <v>6.96</v>
      </c>
      <c r="G916" s="29">
        <f t="shared" si="28"/>
        <v>0.57999999999999996</v>
      </c>
      <c r="H916" s="30" t="s">
        <v>1899</v>
      </c>
      <c r="I916" s="30" t="s">
        <v>1900</v>
      </c>
      <c r="J916" s="31">
        <v>112</v>
      </c>
      <c r="K916" s="53">
        <v>14</v>
      </c>
      <c r="L916" s="76" t="str">
        <f t="shared" si="29"/>
        <v/>
      </c>
    </row>
    <row r="917" spans="1:12" x14ac:dyDescent="0.25">
      <c r="A917" s="25" t="s">
        <v>829</v>
      </c>
      <c r="B917" s="26">
        <v>48</v>
      </c>
      <c r="C917" s="26">
        <v>48</v>
      </c>
      <c r="D917" s="25" t="s">
        <v>883</v>
      </c>
      <c r="E917" s="27"/>
      <c r="F917" s="28">
        <v>34.56</v>
      </c>
      <c r="G917" s="29">
        <f t="shared" si="28"/>
        <v>0.72000000000000008</v>
      </c>
      <c r="H917" s="30" t="s">
        <v>838</v>
      </c>
      <c r="I917" s="30" t="s">
        <v>839</v>
      </c>
      <c r="J917" s="31">
        <v>66</v>
      </c>
      <c r="K917" s="32">
        <v>11</v>
      </c>
      <c r="L917" s="76" t="str">
        <f t="shared" si="29"/>
        <v/>
      </c>
    </row>
    <row r="918" spans="1:12" x14ac:dyDescent="0.25">
      <c r="A918" s="25" t="s">
        <v>1737</v>
      </c>
      <c r="B918" s="26">
        <v>26</v>
      </c>
      <c r="C918" s="26">
        <v>48</v>
      </c>
      <c r="D918" s="25" t="s">
        <v>1738</v>
      </c>
      <c r="E918" s="27"/>
      <c r="F918" s="28">
        <v>34.56</v>
      </c>
      <c r="G918" s="29">
        <f t="shared" si="28"/>
        <v>0.72000000000000008</v>
      </c>
      <c r="H918" s="30" t="s">
        <v>1739</v>
      </c>
      <c r="I918" s="30" t="s">
        <v>1740</v>
      </c>
      <c r="J918" s="31">
        <v>66</v>
      </c>
      <c r="K918" s="32">
        <v>11</v>
      </c>
      <c r="L918" s="76" t="str">
        <f t="shared" si="29"/>
        <v/>
      </c>
    </row>
    <row r="919" spans="1:12" x14ac:dyDescent="0.25">
      <c r="A919" s="25" t="s">
        <v>2886</v>
      </c>
      <c r="B919" s="26">
        <v>86</v>
      </c>
      <c r="C919" s="26">
        <v>6</v>
      </c>
      <c r="D919" s="25" t="s">
        <v>2925</v>
      </c>
      <c r="E919" s="27"/>
      <c r="F919" s="28">
        <v>6.9</v>
      </c>
      <c r="G919" s="29">
        <f t="shared" si="28"/>
        <v>1.1500000000000001</v>
      </c>
      <c r="H919" s="30" t="s">
        <v>3049</v>
      </c>
      <c r="I919" s="30" t="s">
        <v>3050</v>
      </c>
      <c r="J919" s="31"/>
      <c r="K919" s="32"/>
      <c r="L919" s="76" t="str">
        <f t="shared" si="29"/>
        <v/>
      </c>
    </row>
    <row r="920" spans="1:12" x14ac:dyDescent="0.25">
      <c r="A920" s="25" t="s">
        <v>2547</v>
      </c>
      <c r="B920" s="26">
        <v>329</v>
      </c>
      <c r="C920" s="26">
        <v>6</v>
      </c>
      <c r="D920" s="25" t="s">
        <v>2548</v>
      </c>
      <c r="E920" s="27"/>
      <c r="F920" s="28">
        <v>7.2</v>
      </c>
      <c r="G920" s="29">
        <f t="shared" si="28"/>
        <v>1.2</v>
      </c>
      <c r="H920" s="30" t="s">
        <v>2576</v>
      </c>
      <c r="I920" s="30" t="s">
        <v>2577</v>
      </c>
      <c r="J920" s="31">
        <v>792</v>
      </c>
      <c r="K920" s="32">
        <v>72</v>
      </c>
      <c r="L920" s="76" t="str">
        <f t="shared" si="29"/>
        <v/>
      </c>
    </row>
    <row r="921" spans="1:12" x14ac:dyDescent="0.25">
      <c r="A921" s="25" t="s">
        <v>759</v>
      </c>
      <c r="B921" s="26">
        <v>862</v>
      </c>
      <c r="C921" s="26">
        <v>6</v>
      </c>
      <c r="D921" s="25" t="s">
        <v>760</v>
      </c>
      <c r="E921" s="31"/>
      <c r="F921" s="28">
        <v>6.18</v>
      </c>
      <c r="G921" s="29">
        <f t="shared" si="28"/>
        <v>1.03</v>
      </c>
      <c r="H921" s="30" t="s">
        <v>796</v>
      </c>
      <c r="I921" s="30" t="s">
        <v>797</v>
      </c>
      <c r="J921" s="31">
        <v>440</v>
      </c>
      <c r="K921" s="32">
        <v>55</v>
      </c>
      <c r="L921" s="76" t="str">
        <f t="shared" si="29"/>
        <v/>
      </c>
    </row>
    <row r="922" spans="1:12" x14ac:dyDescent="0.25">
      <c r="A922" s="25" t="s">
        <v>939</v>
      </c>
      <c r="B922" s="26">
        <v>1205</v>
      </c>
      <c r="C922" s="26">
        <v>6</v>
      </c>
      <c r="D922" s="25" t="s">
        <v>940</v>
      </c>
      <c r="E922" s="31"/>
      <c r="F922" s="28">
        <v>7.2</v>
      </c>
      <c r="G922" s="29">
        <f t="shared" si="28"/>
        <v>1.2</v>
      </c>
      <c r="H922" s="30" t="s">
        <v>941</v>
      </c>
      <c r="I922" s="30" t="s">
        <v>942</v>
      </c>
      <c r="J922" s="31">
        <v>525</v>
      </c>
      <c r="K922" s="32">
        <v>75</v>
      </c>
      <c r="L922" s="76" t="str">
        <f t="shared" si="29"/>
        <v/>
      </c>
    </row>
    <row r="923" spans="1:12" x14ac:dyDescent="0.25">
      <c r="A923" s="25" t="s">
        <v>1348</v>
      </c>
      <c r="B923" s="26">
        <v>59</v>
      </c>
      <c r="C923" s="26">
        <v>12</v>
      </c>
      <c r="D923" s="25" t="s">
        <v>1354</v>
      </c>
      <c r="E923" s="31"/>
      <c r="F923" s="28">
        <v>34.950000000000003</v>
      </c>
      <c r="G923" s="29">
        <f t="shared" si="28"/>
        <v>2.9125000000000001</v>
      </c>
      <c r="H923" s="30" t="s">
        <v>1349</v>
      </c>
      <c r="I923" s="30" t="s">
        <v>1369</v>
      </c>
      <c r="J923" s="31">
        <v>102</v>
      </c>
      <c r="K923" s="53">
        <v>17</v>
      </c>
      <c r="L923" s="76" t="str">
        <f t="shared" si="29"/>
        <v/>
      </c>
    </row>
    <row r="924" spans="1:12" x14ac:dyDescent="0.25">
      <c r="A924" s="25" t="s">
        <v>206</v>
      </c>
      <c r="B924" s="26">
        <v>1120</v>
      </c>
      <c r="C924" s="26">
        <v>6</v>
      </c>
      <c r="D924" s="25" t="s">
        <v>129</v>
      </c>
      <c r="E924" s="27"/>
      <c r="F924" s="28">
        <v>7.2</v>
      </c>
      <c r="G924" s="29">
        <f t="shared" si="28"/>
        <v>1.2</v>
      </c>
      <c r="H924" s="30" t="s">
        <v>66</v>
      </c>
      <c r="I924" s="30" t="s">
        <v>67</v>
      </c>
      <c r="J924" s="31">
        <v>525</v>
      </c>
      <c r="K924" s="32">
        <v>75</v>
      </c>
      <c r="L924" s="76" t="str">
        <f t="shared" si="29"/>
        <v/>
      </c>
    </row>
    <row r="925" spans="1:12" x14ac:dyDescent="0.25">
      <c r="A925" s="25" t="s">
        <v>1053</v>
      </c>
      <c r="B925" s="26">
        <v>839</v>
      </c>
      <c r="C925" s="26">
        <v>6</v>
      </c>
      <c r="D925" s="25" t="s">
        <v>1054</v>
      </c>
      <c r="E925" s="31"/>
      <c r="F925" s="28">
        <v>12.95</v>
      </c>
      <c r="G925" s="29">
        <f t="shared" si="28"/>
        <v>2.1583333333333332</v>
      </c>
      <c r="H925" s="30" t="s">
        <v>1055</v>
      </c>
      <c r="I925" s="30" t="s">
        <v>1065</v>
      </c>
      <c r="J925" s="31">
        <v>282</v>
      </c>
      <c r="K925" s="32">
        <v>47</v>
      </c>
      <c r="L925" s="76" t="str">
        <f t="shared" si="29"/>
        <v/>
      </c>
    </row>
    <row r="926" spans="1:12" x14ac:dyDescent="0.25">
      <c r="A926" s="25" t="s">
        <v>1218</v>
      </c>
      <c r="B926" s="26">
        <v>88</v>
      </c>
      <c r="C926" s="26">
        <v>12</v>
      </c>
      <c r="D926" s="25" t="s">
        <v>1219</v>
      </c>
      <c r="E926" s="31"/>
      <c r="F926" s="28">
        <v>34.950000000000003</v>
      </c>
      <c r="G926" s="29">
        <f t="shared" si="28"/>
        <v>2.9125000000000001</v>
      </c>
      <c r="H926" s="30" t="s">
        <v>1220</v>
      </c>
      <c r="I926" s="30" t="s">
        <v>1221</v>
      </c>
      <c r="J926" s="31">
        <v>102</v>
      </c>
      <c r="K926" s="32">
        <v>17</v>
      </c>
      <c r="L926" s="76" t="str">
        <f t="shared" si="29"/>
        <v/>
      </c>
    </row>
    <row r="927" spans="1:12" x14ac:dyDescent="0.25">
      <c r="A927" s="25" t="s">
        <v>886</v>
      </c>
      <c r="B927" s="26">
        <v>750</v>
      </c>
      <c r="C927" s="26">
        <v>6</v>
      </c>
      <c r="D927" s="25" t="s">
        <v>887</v>
      </c>
      <c r="E927" s="31"/>
      <c r="F927" s="28">
        <v>7.2</v>
      </c>
      <c r="G927" s="28">
        <f t="shared" si="28"/>
        <v>1.2</v>
      </c>
      <c r="H927" s="30" t="s">
        <v>888</v>
      </c>
      <c r="I927" s="30" t="s">
        <v>889</v>
      </c>
      <c r="J927" s="31">
        <v>525</v>
      </c>
      <c r="K927" s="32">
        <v>75</v>
      </c>
      <c r="L927" s="76" t="str">
        <f t="shared" si="29"/>
        <v/>
      </c>
    </row>
    <row r="928" spans="1:12" x14ac:dyDescent="0.25">
      <c r="A928" s="25" t="s">
        <v>205</v>
      </c>
      <c r="B928" s="26">
        <v>813</v>
      </c>
      <c r="C928" s="26">
        <v>6</v>
      </c>
      <c r="D928" s="25" t="s">
        <v>58</v>
      </c>
      <c r="E928" s="27"/>
      <c r="F928" s="28">
        <v>12.95</v>
      </c>
      <c r="G928" s="29">
        <f t="shared" si="28"/>
        <v>2.1583333333333332</v>
      </c>
      <c r="H928" s="30" t="s">
        <v>57</v>
      </c>
      <c r="I928" s="30" t="s">
        <v>1090</v>
      </c>
      <c r="J928" s="31">
        <v>282</v>
      </c>
      <c r="K928" s="32">
        <v>47</v>
      </c>
      <c r="L928" s="77" t="str">
        <f t="shared" si="29"/>
        <v/>
      </c>
    </row>
    <row r="929" spans="1:12" x14ac:dyDescent="0.25">
      <c r="A929" s="25" t="s">
        <v>1264</v>
      </c>
      <c r="B929" s="26">
        <v>99</v>
      </c>
      <c r="C929" s="26">
        <v>12</v>
      </c>
      <c r="D929" s="25" t="s">
        <v>1266</v>
      </c>
      <c r="E929" s="27"/>
      <c r="F929" s="28">
        <v>34.950000000000003</v>
      </c>
      <c r="G929" s="29">
        <f t="shared" si="28"/>
        <v>2.9125000000000001</v>
      </c>
      <c r="H929" s="30" t="s">
        <v>1265</v>
      </c>
      <c r="I929" s="30" t="s">
        <v>1331</v>
      </c>
      <c r="J929" s="31">
        <v>102</v>
      </c>
      <c r="K929" s="32">
        <v>17</v>
      </c>
      <c r="L929" s="77" t="str">
        <f t="shared" si="29"/>
        <v/>
      </c>
    </row>
    <row r="930" spans="1:12" x14ac:dyDescent="0.25">
      <c r="A930" s="25" t="s">
        <v>3228</v>
      </c>
      <c r="B930" s="26">
        <v>167</v>
      </c>
      <c r="C930" s="26">
        <v>12</v>
      </c>
      <c r="D930" s="25" t="s">
        <v>3229</v>
      </c>
      <c r="E930" s="27"/>
      <c r="F930" s="28">
        <v>37.950000000000003</v>
      </c>
      <c r="G930" s="29">
        <f t="shared" si="28"/>
        <v>3.1625000000000001</v>
      </c>
      <c r="H930" s="30" t="s">
        <v>3230</v>
      </c>
      <c r="I930" s="30" t="s">
        <v>3231</v>
      </c>
      <c r="J930" s="31">
        <v>60</v>
      </c>
      <c r="K930" s="32">
        <v>15</v>
      </c>
      <c r="L930" s="77" t="str">
        <f t="shared" si="29"/>
        <v/>
      </c>
    </row>
    <row r="931" spans="1:12" x14ac:dyDescent="0.25">
      <c r="A931" s="25" t="s">
        <v>1073</v>
      </c>
      <c r="B931" s="26">
        <v>2666</v>
      </c>
      <c r="C931" s="26">
        <v>6</v>
      </c>
      <c r="D931" s="25" t="s">
        <v>1074</v>
      </c>
      <c r="E931" s="27"/>
      <c r="F931" s="28">
        <v>7.2</v>
      </c>
      <c r="G931" s="29">
        <f t="shared" si="28"/>
        <v>1.2</v>
      </c>
      <c r="H931" s="30" t="s">
        <v>1088</v>
      </c>
      <c r="I931" s="30" t="s">
        <v>1089</v>
      </c>
      <c r="J931" s="31">
        <v>525</v>
      </c>
      <c r="K931" s="32">
        <v>75</v>
      </c>
      <c r="L931" s="76" t="str">
        <f t="shared" si="29"/>
        <v/>
      </c>
    </row>
    <row r="932" spans="1:12" x14ac:dyDescent="0.25">
      <c r="A932" s="25" t="s">
        <v>971</v>
      </c>
      <c r="B932" s="26">
        <v>1288</v>
      </c>
      <c r="C932" s="26">
        <v>6</v>
      </c>
      <c r="D932" s="25" t="s">
        <v>972</v>
      </c>
      <c r="E932" s="31"/>
      <c r="F932" s="28">
        <v>12.95</v>
      </c>
      <c r="G932" s="29">
        <f t="shared" si="28"/>
        <v>2.1583333333333332</v>
      </c>
      <c r="H932" s="30" t="s">
        <v>973</v>
      </c>
      <c r="I932" s="30" t="s">
        <v>1536</v>
      </c>
      <c r="J932" s="31">
        <v>282</v>
      </c>
      <c r="K932" s="32">
        <v>47</v>
      </c>
      <c r="L932" s="77" t="str">
        <f t="shared" si="29"/>
        <v/>
      </c>
    </row>
    <row r="933" spans="1:12" x14ac:dyDescent="0.25">
      <c r="A933" s="25" t="s">
        <v>953</v>
      </c>
      <c r="B933" s="26">
        <v>273</v>
      </c>
      <c r="C933" s="26">
        <v>12</v>
      </c>
      <c r="D933" s="25" t="s">
        <v>954</v>
      </c>
      <c r="E933" s="31"/>
      <c r="F933" s="28">
        <v>34.950000000000003</v>
      </c>
      <c r="G933" s="29">
        <f t="shared" si="28"/>
        <v>2.9125000000000001</v>
      </c>
      <c r="H933" s="30" t="s">
        <v>956</v>
      </c>
      <c r="I933" s="30" t="s">
        <v>959</v>
      </c>
      <c r="J933" s="31">
        <v>102</v>
      </c>
      <c r="K933" s="32">
        <v>17</v>
      </c>
      <c r="L933" s="76" t="str">
        <f t="shared" si="29"/>
        <v/>
      </c>
    </row>
    <row r="934" spans="1:12" x14ac:dyDescent="0.25">
      <c r="A934" s="25" t="s">
        <v>3037</v>
      </c>
      <c r="B934" s="26">
        <v>918</v>
      </c>
      <c r="C934" s="26">
        <v>6</v>
      </c>
      <c r="D934" s="25" t="s">
        <v>3038</v>
      </c>
      <c r="E934" s="31"/>
      <c r="F934" s="33">
        <v>6.6</v>
      </c>
      <c r="G934" s="34">
        <f t="shared" si="28"/>
        <v>1.0999999999999999</v>
      </c>
      <c r="H934" s="30" t="s">
        <v>3039</v>
      </c>
      <c r="I934" s="30" t="s">
        <v>3040</v>
      </c>
      <c r="J934" s="31">
        <v>768</v>
      </c>
      <c r="K934" s="32">
        <v>96</v>
      </c>
      <c r="L934" s="76" t="str">
        <f t="shared" si="29"/>
        <v/>
      </c>
    </row>
    <row r="935" spans="1:12" x14ac:dyDescent="0.25">
      <c r="A935" s="25" t="s">
        <v>1079</v>
      </c>
      <c r="B935" s="26">
        <v>1091</v>
      </c>
      <c r="C935" s="26">
        <v>6</v>
      </c>
      <c r="D935" s="25" t="s">
        <v>1080</v>
      </c>
      <c r="E935" s="31"/>
      <c r="F935" s="28">
        <v>7.2</v>
      </c>
      <c r="G935" s="28">
        <f t="shared" si="28"/>
        <v>1.2</v>
      </c>
      <c r="H935" s="30" t="s">
        <v>1081</v>
      </c>
      <c r="I935" s="30" t="s">
        <v>1082</v>
      </c>
      <c r="J935" s="31">
        <v>525</v>
      </c>
      <c r="K935" s="32">
        <v>75</v>
      </c>
      <c r="L935" s="76" t="str">
        <f t="shared" si="29"/>
        <v/>
      </c>
    </row>
    <row r="936" spans="1:12" x14ac:dyDescent="0.25">
      <c r="A936" s="25" t="s">
        <v>963</v>
      </c>
      <c r="B936" s="26">
        <v>1221</v>
      </c>
      <c r="C936" s="26">
        <v>6</v>
      </c>
      <c r="D936" s="25" t="s">
        <v>964</v>
      </c>
      <c r="E936" s="27"/>
      <c r="F936" s="28">
        <v>12.95</v>
      </c>
      <c r="G936" s="29">
        <f t="shared" si="28"/>
        <v>2.1583333333333332</v>
      </c>
      <c r="H936" s="30" t="s">
        <v>965</v>
      </c>
      <c r="I936" s="30" t="s">
        <v>974</v>
      </c>
      <c r="J936" s="31">
        <v>282</v>
      </c>
      <c r="K936" s="32">
        <v>47</v>
      </c>
      <c r="L936" s="76" t="str">
        <f t="shared" si="29"/>
        <v/>
      </c>
    </row>
    <row r="937" spans="1:12" x14ac:dyDescent="0.25">
      <c r="A937" s="25" t="s">
        <v>952</v>
      </c>
      <c r="B937" s="26">
        <v>221</v>
      </c>
      <c r="C937" s="26">
        <v>12</v>
      </c>
      <c r="D937" s="25" t="s">
        <v>955</v>
      </c>
      <c r="E937" s="31"/>
      <c r="F937" s="28">
        <v>34.950000000000003</v>
      </c>
      <c r="G937" s="29">
        <f t="shared" si="28"/>
        <v>2.9125000000000001</v>
      </c>
      <c r="H937" s="30" t="s">
        <v>957</v>
      </c>
      <c r="I937" s="30" t="s">
        <v>958</v>
      </c>
      <c r="J937" s="31">
        <v>102</v>
      </c>
      <c r="K937" s="32">
        <v>17</v>
      </c>
      <c r="L937" s="76" t="str">
        <f t="shared" si="29"/>
        <v/>
      </c>
    </row>
    <row r="938" spans="1:12" x14ac:dyDescent="0.25">
      <c r="A938" s="25" t="s">
        <v>2200</v>
      </c>
      <c r="B938" s="26">
        <v>4</v>
      </c>
      <c r="C938" s="26">
        <v>12</v>
      </c>
      <c r="D938" s="25" t="s">
        <v>2201</v>
      </c>
      <c r="E938" s="31"/>
      <c r="F938" s="28">
        <v>37.950000000000003</v>
      </c>
      <c r="G938" s="29">
        <f t="shared" ref="G938:G997" si="30">F938/C938</f>
        <v>3.1625000000000001</v>
      </c>
      <c r="H938" s="30" t="s">
        <v>2202</v>
      </c>
      <c r="I938" s="30" t="s">
        <v>2233</v>
      </c>
      <c r="J938" s="31">
        <v>60</v>
      </c>
      <c r="K938" s="32">
        <v>15</v>
      </c>
      <c r="L938" s="76" t="str">
        <f t="shared" ref="L938:L997" si="31">IF(E938,E938*F938,"")</f>
        <v/>
      </c>
    </row>
    <row r="939" spans="1:12" x14ac:dyDescent="0.25">
      <c r="A939" s="25" t="s">
        <v>2011</v>
      </c>
      <c r="B939" s="26">
        <v>52</v>
      </c>
      <c r="C939" s="26">
        <v>12</v>
      </c>
      <c r="D939" s="25" t="s">
        <v>2012</v>
      </c>
      <c r="E939" s="31"/>
      <c r="F939" s="28">
        <v>34.950000000000003</v>
      </c>
      <c r="G939" s="29">
        <f t="shared" si="30"/>
        <v>2.9125000000000001</v>
      </c>
      <c r="H939" s="30" t="s">
        <v>2013</v>
      </c>
      <c r="I939" s="30" t="s">
        <v>2016</v>
      </c>
      <c r="J939" s="31">
        <v>102</v>
      </c>
      <c r="K939" s="32">
        <v>17</v>
      </c>
      <c r="L939" s="76" t="str">
        <f t="shared" si="31"/>
        <v/>
      </c>
    </row>
    <row r="940" spans="1:12" x14ac:dyDescent="0.25">
      <c r="A940" s="25" t="s">
        <v>271</v>
      </c>
      <c r="B940" s="26">
        <v>309</v>
      </c>
      <c r="C940" s="26">
        <v>6</v>
      </c>
      <c r="D940" s="25" t="s">
        <v>296</v>
      </c>
      <c r="E940" s="27"/>
      <c r="F940" s="28">
        <v>12.95</v>
      </c>
      <c r="G940" s="29">
        <f t="shared" si="30"/>
        <v>2.1583333333333332</v>
      </c>
      <c r="H940" s="30" t="s">
        <v>285</v>
      </c>
      <c r="I940" s="30" t="s">
        <v>286</v>
      </c>
      <c r="J940" s="31">
        <v>282</v>
      </c>
      <c r="K940" s="32">
        <v>47</v>
      </c>
      <c r="L940" s="76" t="str">
        <f t="shared" si="31"/>
        <v/>
      </c>
    </row>
    <row r="941" spans="1:12" x14ac:dyDescent="0.25">
      <c r="A941" s="25" t="s">
        <v>2004</v>
      </c>
      <c r="B941" s="26">
        <v>287</v>
      </c>
      <c r="C941" s="26">
        <v>6</v>
      </c>
      <c r="D941" s="25" t="s">
        <v>2005</v>
      </c>
      <c r="E941" s="27"/>
      <c r="F941" s="28">
        <v>21.75</v>
      </c>
      <c r="G941" s="29">
        <f t="shared" si="30"/>
        <v>3.625</v>
      </c>
      <c r="H941" s="30" t="s">
        <v>2014</v>
      </c>
      <c r="I941" s="30" t="s">
        <v>2019</v>
      </c>
      <c r="J941" s="31">
        <v>540</v>
      </c>
      <c r="K941" s="32">
        <v>90</v>
      </c>
      <c r="L941" s="76" t="str">
        <f t="shared" si="31"/>
        <v/>
      </c>
    </row>
    <row r="942" spans="1:12" x14ac:dyDescent="0.25">
      <c r="A942" s="25" t="s">
        <v>2006</v>
      </c>
      <c r="B942" s="26">
        <v>877</v>
      </c>
      <c r="C942" s="26">
        <v>6</v>
      </c>
      <c r="D942" s="25" t="s">
        <v>2017</v>
      </c>
      <c r="E942" s="27"/>
      <c r="F942" s="28">
        <v>21.75</v>
      </c>
      <c r="G942" s="29">
        <f t="shared" si="30"/>
        <v>3.625</v>
      </c>
      <c r="H942" s="30" t="s">
        <v>2015</v>
      </c>
      <c r="I942" s="30" t="s">
        <v>2018</v>
      </c>
      <c r="J942" s="31">
        <v>540</v>
      </c>
      <c r="K942" s="32">
        <v>90</v>
      </c>
      <c r="L942" s="76" t="str">
        <f t="shared" si="31"/>
        <v/>
      </c>
    </row>
    <row r="943" spans="1:12" x14ac:dyDescent="0.25">
      <c r="A943" s="25" t="s">
        <v>2611</v>
      </c>
      <c r="B943" s="26">
        <v>460</v>
      </c>
      <c r="C943" s="26">
        <v>6</v>
      </c>
      <c r="D943" s="25" t="s">
        <v>2607</v>
      </c>
      <c r="E943" s="27"/>
      <c r="F943" s="28">
        <v>21.75</v>
      </c>
      <c r="G943" s="29">
        <f t="shared" si="30"/>
        <v>3.625</v>
      </c>
      <c r="H943" s="30" t="s">
        <v>2608</v>
      </c>
      <c r="I943" s="30" t="s">
        <v>2767</v>
      </c>
      <c r="J943" s="31">
        <v>540</v>
      </c>
      <c r="K943" s="32">
        <v>90</v>
      </c>
      <c r="L943" s="76" t="str">
        <f t="shared" si="31"/>
        <v/>
      </c>
    </row>
    <row r="944" spans="1:12" x14ac:dyDescent="0.25">
      <c r="A944" s="25" t="s">
        <v>2612</v>
      </c>
      <c r="B944" s="26">
        <v>71</v>
      </c>
      <c r="C944" s="26">
        <v>6</v>
      </c>
      <c r="D944" s="25" t="s">
        <v>2609</v>
      </c>
      <c r="E944" s="27"/>
      <c r="F944" s="28">
        <v>21.75</v>
      </c>
      <c r="G944" s="29">
        <f t="shared" si="30"/>
        <v>3.625</v>
      </c>
      <c r="H944" s="30" t="s">
        <v>2610</v>
      </c>
      <c r="I944" s="30" t="s">
        <v>2768</v>
      </c>
      <c r="J944" s="31">
        <v>540</v>
      </c>
      <c r="K944" s="32">
        <v>90</v>
      </c>
      <c r="L944" s="76" t="str">
        <f t="shared" si="31"/>
        <v/>
      </c>
    </row>
    <row r="945" spans="1:12" x14ac:dyDescent="0.25">
      <c r="A945" s="25" t="s">
        <v>3943</v>
      </c>
      <c r="B945" s="26">
        <v>598</v>
      </c>
      <c r="C945" s="26">
        <v>6</v>
      </c>
      <c r="D945" s="25" t="s">
        <v>3942</v>
      </c>
      <c r="E945" s="27"/>
      <c r="F945" s="28">
        <v>21.75</v>
      </c>
      <c r="G945" s="29">
        <f t="shared" si="30"/>
        <v>3.625</v>
      </c>
      <c r="H945" s="30" t="s">
        <v>3960</v>
      </c>
      <c r="I945" s="30" t="s">
        <v>3961</v>
      </c>
      <c r="J945" s="31">
        <v>540</v>
      </c>
      <c r="K945" s="32">
        <v>90</v>
      </c>
      <c r="L945" s="76" t="str">
        <f t="shared" si="31"/>
        <v/>
      </c>
    </row>
    <row r="946" spans="1:12" x14ac:dyDescent="0.25">
      <c r="A946" s="25" t="s">
        <v>1834</v>
      </c>
      <c r="B946" s="26">
        <v>608</v>
      </c>
      <c r="C946" s="26">
        <v>6</v>
      </c>
      <c r="D946" s="25" t="s">
        <v>1835</v>
      </c>
      <c r="E946" s="27"/>
      <c r="F946" s="28">
        <v>4.2</v>
      </c>
      <c r="G946" s="29">
        <f t="shared" si="30"/>
        <v>0.70000000000000007</v>
      </c>
      <c r="H946" s="30" t="s">
        <v>1836</v>
      </c>
      <c r="I946" s="30" t="s">
        <v>1837</v>
      </c>
      <c r="J946" s="31">
        <v>504</v>
      </c>
      <c r="K946" s="32">
        <v>84</v>
      </c>
      <c r="L946" s="76" t="str">
        <f t="shared" si="31"/>
        <v/>
      </c>
    </row>
    <row r="947" spans="1:12" x14ac:dyDescent="0.25">
      <c r="A947" s="25" t="s">
        <v>3339</v>
      </c>
      <c r="B947" s="26">
        <v>163</v>
      </c>
      <c r="C947" s="26">
        <v>6</v>
      </c>
      <c r="D947" s="25" t="s">
        <v>3340</v>
      </c>
      <c r="E947" s="27"/>
      <c r="F947" s="33">
        <v>14.8</v>
      </c>
      <c r="G947" s="34">
        <f t="shared" si="30"/>
        <v>2.4666666666666668</v>
      </c>
      <c r="H947" s="30" t="s">
        <v>3341</v>
      </c>
      <c r="I947" s="30" t="s">
        <v>3342</v>
      </c>
      <c r="J947" s="31">
        <v>434</v>
      </c>
      <c r="K947" s="32">
        <v>62</v>
      </c>
      <c r="L947" s="76" t="str">
        <f t="shared" si="31"/>
        <v/>
      </c>
    </row>
    <row r="948" spans="1:12" x14ac:dyDescent="0.25">
      <c r="A948" s="25" t="s">
        <v>3591</v>
      </c>
      <c r="B948" s="26">
        <v>2455</v>
      </c>
      <c r="C948" s="26">
        <v>12</v>
      </c>
      <c r="D948" s="25" t="s">
        <v>3617</v>
      </c>
      <c r="E948" s="27"/>
      <c r="F948" s="33">
        <v>9.6</v>
      </c>
      <c r="G948" s="34">
        <f t="shared" si="30"/>
        <v>0.79999999999999993</v>
      </c>
      <c r="H948" s="30" t="s">
        <v>3592</v>
      </c>
      <c r="I948" s="30" t="s">
        <v>3593</v>
      </c>
      <c r="J948" s="31"/>
      <c r="K948" s="32"/>
      <c r="L948" s="76" t="str">
        <f t="shared" si="31"/>
        <v/>
      </c>
    </row>
    <row r="949" spans="1:12" x14ac:dyDescent="0.25">
      <c r="A949" s="25" t="s">
        <v>3343</v>
      </c>
      <c r="B949" s="26">
        <v>11</v>
      </c>
      <c r="C949" s="26">
        <v>8</v>
      </c>
      <c r="D949" s="25" t="s">
        <v>3344</v>
      </c>
      <c r="E949" s="27"/>
      <c r="F949" s="33">
        <v>5.7</v>
      </c>
      <c r="G949" s="34">
        <f t="shared" si="30"/>
        <v>0.71250000000000002</v>
      </c>
      <c r="H949" s="30" t="s">
        <v>3345</v>
      </c>
      <c r="I949" s="30" t="s">
        <v>3485</v>
      </c>
      <c r="J949" s="31">
        <v>612</v>
      </c>
      <c r="K949" s="32">
        <v>68</v>
      </c>
      <c r="L949" s="76" t="str">
        <f t="shared" si="31"/>
        <v/>
      </c>
    </row>
    <row r="950" spans="1:12" x14ac:dyDescent="0.25">
      <c r="A950" s="25" t="s">
        <v>2533</v>
      </c>
      <c r="B950" s="26">
        <v>218</v>
      </c>
      <c r="C950" s="26">
        <v>12</v>
      </c>
      <c r="D950" s="25" t="s">
        <v>2532</v>
      </c>
      <c r="E950" s="27"/>
      <c r="F950" s="28">
        <v>7.99</v>
      </c>
      <c r="G950" s="29">
        <f t="shared" si="30"/>
        <v>0.66583333333333339</v>
      </c>
      <c r="H950" s="30" t="s">
        <v>2592</v>
      </c>
      <c r="I950" s="30" t="s">
        <v>2593</v>
      </c>
      <c r="J950" s="31">
        <v>1485</v>
      </c>
      <c r="K950" s="32">
        <v>45</v>
      </c>
      <c r="L950" s="76" t="str">
        <f t="shared" si="31"/>
        <v/>
      </c>
    </row>
    <row r="951" spans="1:12" x14ac:dyDescent="0.25">
      <c r="A951" s="25" t="s">
        <v>369</v>
      </c>
      <c r="B951" s="26">
        <v>2825</v>
      </c>
      <c r="C951" s="26">
        <v>12</v>
      </c>
      <c r="D951" s="25" t="s">
        <v>370</v>
      </c>
      <c r="E951" s="27"/>
      <c r="F951" s="28">
        <v>8.6</v>
      </c>
      <c r="G951" s="29">
        <f t="shared" si="30"/>
        <v>0.71666666666666667</v>
      </c>
      <c r="H951" s="30" t="s">
        <v>1145</v>
      </c>
      <c r="I951" s="30" t="s">
        <v>1146</v>
      </c>
      <c r="J951" s="31">
        <v>1485</v>
      </c>
      <c r="K951" s="32">
        <v>45</v>
      </c>
      <c r="L951" s="76" t="str">
        <f t="shared" si="31"/>
        <v/>
      </c>
    </row>
    <row r="952" spans="1:12" x14ac:dyDescent="0.25">
      <c r="A952" s="25" t="s">
        <v>207</v>
      </c>
      <c r="B952" s="26">
        <v>5624</v>
      </c>
      <c r="C952" s="26">
        <v>12</v>
      </c>
      <c r="D952" s="25" t="s">
        <v>22</v>
      </c>
      <c r="E952" s="27"/>
      <c r="F952" s="28">
        <v>8.6</v>
      </c>
      <c r="G952" s="29">
        <f t="shared" si="30"/>
        <v>0.71666666666666667</v>
      </c>
      <c r="H952" s="30" t="s">
        <v>23</v>
      </c>
      <c r="I952" s="30" t="s">
        <v>1149</v>
      </c>
      <c r="J952" s="31">
        <v>1485</v>
      </c>
      <c r="K952" s="32">
        <v>45</v>
      </c>
      <c r="L952" s="76" t="str">
        <f t="shared" si="31"/>
        <v/>
      </c>
    </row>
    <row r="953" spans="1:12" x14ac:dyDescent="0.25">
      <c r="A953" s="25" t="s">
        <v>761</v>
      </c>
      <c r="B953" s="26">
        <v>2043</v>
      </c>
      <c r="C953" s="26">
        <v>12</v>
      </c>
      <c r="D953" s="25" t="s">
        <v>762</v>
      </c>
      <c r="E953" s="31"/>
      <c r="F953" s="28">
        <v>9</v>
      </c>
      <c r="G953" s="29">
        <f t="shared" si="30"/>
        <v>0.75</v>
      </c>
      <c r="H953" s="30" t="s">
        <v>1147</v>
      </c>
      <c r="I953" s="30" t="s">
        <v>1148</v>
      </c>
      <c r="J953" s="31">
        <v>1485</v>
      </c>
      <c r="K953" s="32">
        <v>45</v>
      </c>
      <c r="L953" s="76" t="str">
        <f t="shared" si="31"/>
        <v/>
      </c>
    </row>
    <row r="954" spans="1:12" x14ac:dyDescent="0.25">
      <c r="A954" s="25" t="s">
        <v>960</v>
      </c>
      <c r="B954" s="26">
        <v>5127</v>
      </c>
      <c r="C954" s="26">
        <v>12</v>
      </c>
      <c r="D954" s="25" t="s">
        <v>961</v>
      </c>
      <c r="E954" s="31"/>
      <c r="F954" s="28">
        <v>9.6</v>
      </c>
      <c r="G954" s="29">
        <f t="shared" si="30"/>
        <v>0.79999999999999993</v>
      </c>
      <c r="H954" s="30" t="s">
        <v>962</v>
      </c>
      <c r="I954" s="30" t="s">
        <v>1150</v>
      </c>
      <c r="J954" s="31">
        <v>1694</v>
      </c>
      <c r="K954" s="32">
        <v>77</v>
      </c>
      <c r="L954" s="76" t="str">
        <f t="shared" si="31"/>
        <v/>
      </c>
    </row>
    <row r="955" spans="1:12" x14ac:dyDescent="0.25">
      <c r="A955" s="25" t="s">
        <v>208</v>
      </c>
      <c r="B955" s="26">
        <v>2191</v>
      </c>
      <c r="C955" s="26">
        <v>12</v>
      </c>
      <c r="D955" s="25" t="s">
        <v>24</v>
      </c>
      <c r="E955" s="27"/>
      <c r="F955" s="28">
        <v>7.4</v>
      </c>
      <c r="G955" s="29">
        <f t="shared" si="30"/>
        <v>0.6166666666666667</v>
      </c>
      <c r="H955" s="30" t="s">
        <v>25</v>
      </c>
      <c r="I955" s="30" t="s">
        <v>1142</v>
      </c>
      <c r="J955" s="31">
        <v>720</v>
      </c>
      <c r="K955" s="32">
        <v>72</v>
      </c>
      <c r="L955" s="76" t="str">
        <f t="shared" si="31"/>
        <v/>
      </c>
    </row>
    <row r="956" spans="1:12" x14ac:dyDescent="0.25">
      <c r="A956" s="25" t="s">
        <v>2545</v>
      </c>
      <c r="B956" s="26">
        <v>414</v>
      </c>
      <c r="C956" s="26">
        <v>12</v>
      </c>
      <c r="D956" s="25" t="s">
        <v>2546</v>
      </c>
      <c r="E956" s="31"/>
      <c r="F956" s="28">
        <v>7.4</v>
      </c>
      <c r="G956" s="29">
        <f t="shared" si="30"/>
        <v>0.6166666666666667</v>
      </c>
      <c r="H956" s="30" t="s">
        <v>2582</v>
      </c>
      <c r="I956" s="30" t="s">
        <v>2583</v>
      </c>
      <c r="J956" s="31">
        <v>720</v>
      </c>
      <c r="K956" s="53">
        <v>72</v>
      </c>
      <c r="L956" s="76" t="str">
        <f t="shared" si="31"/>
        <v/>
      </c>
    </row>
    <row r="957" spans="1:12" x14ac:dyDescent="0.25">
      <c r="A957" s="25" t="s">
        <v>2459</v>
      </c>
      <c r="B957" s="26">
        <v>342</v>
      </c>
      <c r="C957" s="26">
        <v>12</v>
      </c>
      <c r="D957" s="25" t="s">
        <v>2460</v>
      </c>
      <c r="E957" s="31"/>
      <c r="F957" s="28">
        <v>7.4</v>
      </c>
      <c r="G957" s="28">
        <f t="shared" si="30"/>
        <v>0.6166666666666667</v>
      </c>
      <c r="H957" s="30" t="s">
        <v>2520</v>
      </c>
      <c r="I957" s="30" t="s">
        <v>2521</v>
      </c>
      <c r="J957" s="31">
        <v>720</v>
      </c>
      <c r="K957" s="53">
        <v>72</v>
      </c>
      <c r="L957" s="77" t="str">
        <f t="shared" si="31"/>
        <v/>
      </c>
    </row>
    <row r="958" spans="1:12" x14ac:dyDescent="0.25">
      <c r="A958" s="25" t="s">
        <v>2451</v>
      </c>
      <c r="B958" s="26">
        <v>904</v>
      </c>
      <c r="C958" s="26">
        <v>12</v>
      </c>
      <c r="D958" s="25" t="s">
        <v>2452</v>
      </c>
      <c r="E958" s="31"/>
      <c r="F958" s="28">
        <v>7.4</v>
      </c>
      <c r="G958" s="29">
        <f t="shared" si="30"/>
        <v>0.6166666666666667</v>
      </c>
      <c r="H958" s="30" t="s">
        <v>2518</v>
      </c>
      <c r="I958" s="30" t="s">
        <v>2519</v>
      </c>
      <c r="J958" s="31">
        <v>720</v>
      </c>
      <c r="K958" s="53">
        <v>72</v>
      </c>
      <c r="L958" s="76" t="str">
        <f t="shared" si="31"/>
        <v/>
      </c>
    </row>
    <row r="959" spans="1:12" x14ac:dyDescent="0.25">
      <c r="A959" s="25" t="s">
        <v>209</v>
      </c>
      <c r="B959" s="26">
        <v>2985</v>
      </c>
      <c r="C959" s="26">
        <v>12</v>
      </c>
      <c r="D959" s="25" t="s">
        <v>26</v>
      </c>
      <c r="E959" s="27"/>
      <c r="F959" s="28">
        <v>10.4</v>
      </c>
      <c r="G959" s="29">
        <f t="shared" si="30"/>
        <v>0.8666666666666667</v>
      </c>
      <c r="H959" s="30" t="s">
        <v>27</v>
      </c>
      <c r="I959" s="30" t="s">
        <v>1143</v>
      </c>
      <c r="J959" s="31">
        <v>384</v>
      </c>
      <c r="K959" s="32">
        <v>48</v>
      </c>
      <c r="L959" s="76" t="str">
        <f t="shared" si="31"/>
        <v/>
      </c>
    </row>
    <row r="960" spans="1:12" x14ac:dyDescent="0.25">
      <c r="A960" s="25" t="s">
        <v>2543</v>
      </c>
      <c r="B960" s="26">
        <v>352</v>
      </c>
      <c r="C960" s="26">
        <v>12</v>
      </c>
      <c r="D960" s="25" t="s">
        <v>2544</v>
      </c>
      <c r="E960" s="31"/>
      <c r="F960" s="28">
        <v>10.8</v>
      </c>
      <c r="G960" s="29">
        <f t="shared" si="30"/>
        <v>0.9</v>
      </c>
      <c r="H960" s="30" t="s">
        <v>2578</v>
      </c>
      <c r="I960" s="30" t="s">
        <v>2579</v>
      </c>
      <c r="J960" s="31">
        <v>384</v>
      </c>
      <c r="K960" s="53">
        <v>48</v>
      </c>
      <c r="L960" s="76" t="str">
        <f t="shared" si="31"/>
        <v/>
      </c>
    </row>
    <row r="961" spans="1:12" x14ac:dyDescent="0.25">
      <c r="A961" s="25" t="s">
        <v>2453</v>
      </c>
      <c r="B961" s="26">
        <v>622</v>
      </c>
      <c r="C961" s="26">
        <v>12</v>
      </c>
      <c r="D961" s="25" t="s">
        <v>2454</v>
      </c>
      <c r="E961" s="31"/>
      <c r="F961" s="28">
        <v>10.8</v>
      </c>
      <c r="G961" s="29">
        <f t="shared" si="30"/>
        <v>0.9</v>
      </c>
      <c r="H961" s="30" t="s">
        <v>2526</v>
      </c>
      <c r="I961" s="30" t="s">
        <v>2527</v>
      </c>
      <c r="J961" s="31">
        <v>384</v>
      </c>
      <c r="K961" s="53">
        <v>48</v>
      </c>
      <c r="L961" s="76" t="str">
        <f t="shared" si="31"/>
        <v/>
      </c>
    </row>
    <row r="962" spans="1:12" x14ac:dyDescent="0.25">
      <c r="A962" s="25" t="s">
        <v>210</v>
      </c>
      <c r="B962" s="26">
        <v>5202</v>
      </c>
      <c r="C962" s="26">
        <v>6</v>
      </c>
      <c r="D962" s="25" t="s">
        <v>28</v>
      </c>
      <c r="E962" s="27"/>
      <c r="F962" s="28">
        <v>13.2</v>
      </c>
      <c r="G962" s="29">
        <f t="shared" si="30"/>
        <v>2.1999999999999997</v>
      </c>
      <c r="H962" s="30" t="s">
        <v>29</v>
      </c>
      <c r="I962" s="30" t="s">
        <v>1144</v>
      </c>
      <c r="J962" s="31">
        <v>336</v>
      </c>
      <c r="K962" s="32">
        <v>48</v>
      </c>
      <c r="L962" s="76" t="str">
        <f t="shared" si="31"/>
        <v/>
      </c>
    </row>
    <row r="963" spans="1:12" x14ac:dyDescent="0.25">
      <c r="A963" s="25" t="s">
        <v>2455</v>
      </c>
      <c r="B963" s="26">
        <v>614</v>
      </c>
      <c r="C963" s="26">
        <v>6</v>
      </c>
      <c r="D963" s="25" t="s">
        <v>2456</v>
      </c>
      <c r="E963" s="31"/>
      <c r="F963" s="28">
        <v>13.2</v>
      </c>
      <c r="G963" s="29">
        <f t="shared" si="30"/>
        <v>2.1999999999999997</v>
      </c>
      <c r="H963" s="30" t="s">
        <v>2522</v>
      </c>
      <c r="I963" s="30" t="s">
        <v>2523</v>
      </c>
      <c r="J963" s="31">
        <v>336</v>
      </c>
      <c r="K963" s="53">
        <v>48</v>
      </c>
      <c r="L963" s="76" t="str">
        <f t="shared" si="31"/>
        <v/>
      </c>
    </row>
    <row r="964" spans="1:12" x14ac:dyDescent="0.25">
      <c r="A964" s="25" t="s">
        <v>2457</v>
      </c>
      <c r="B964" s="26">
        <v>654</v>
      </c>
      <c r="C964" s="26">
        <v>6</v>
      </c>
      <c r="D964" s="25" t="s">
        <v>2458</v>
      </c>
      <c r="E964" s="31"/>
      <c r="F964" s="28">
        <v>13.2</v>
      </c>
      <c r="G964" s="28">
        <f t="shared" si="30"/>
        <v>2.1999999999999997</v>
      </c>
      <c r="H964" s="30" t="s">
        <v>2524</v>
      </c>
      <c r="I964" s="30" t="s">
        <v>2525</v>
      </c>
      <c r="J964" s="31">
        <v>336</v>
      </c>
      <c r="K964" s="53">
        <v>48</v>
      </c>
      <c r="L964" s="77" t="str">
        <f t="shared" si="31"/>
        <v/>
      </c>
    </row>
    <row r="965" spans="1:12" x14ac:dyDescent="0.25">
      <c r="A965" s="25" t="s">
        <v>2895</v>
      </c>
      <c r="B965" s="26">
        <v>447</v>
      </c>
      <c r="C965" s="26">
        <v>6</v>
      </c>
      <c r="D965" s="25" t="s">
        <v>2896</v>
      </c>
      <c r="E965" s="27"/>
      <c r="F965" s="33">
        <v>13.2</v>
      </c>
      <c r="G965" s="34">
        <f t="shared" si="30"/>
        <v>2.1999999999999997</v>
      </c>
      <c r="H965" s="30" t="s">
        <v>2927</v>
      </c>
      <c r="I965" s="30" t="s">
        <v>2928</v>
      </c>
      <c r="J965" s="31">
        <v>336</v>
      </c>
      <c r="K965" s="53">
        <v>48</v>
      </c>
      <c r="L965" s="76" t="str">
        <f t="shared" si="31"/>
        <v/>
      </c>
    </row>
    <row r="966" spans="1:12" x14ac:dyDescent="0.25">
      <c r="A966" s="36" t="s">
        <v>504</v>
      </c>
      <c r="B966" s="53">
        <v>6</v>
      </c>
      <c r="C966" s="53">
        <v>10</v>
      </c>
      <c r="D966" s="36" t="s">
        <v>505</v>
      </c>
      <c r="E966" s="27"/>
      <c r="F966" s="28">
        <v>14.5</v>
      </c>
      <c r="G966" s="29">
        <f t="shared" si="30"/>
        <v>1.45</v>
      </c>
      <c r="H966" s="56" t="s">
        <v>506</v>
      </c>
      <c r="I966" s="56" t="s">
        <v>507</v>
      </c>
      <c r="J966" s="32">
        <v>76</v>
      </c>
      <c r="K966" s="32">
        <v>19</v>
      </c>
      <c r="L966" s="76" t="str">
        <f t="shared" si="31"/>
        <v/>
      </c>
    </row>
    <row r="967" spans="1:12" x14ac:dyDescent="0.25">
      <c r="A967" s="36" t="s">
        <v>2771</v>
      </c>
      <c r="B967" s="53">
        <v>108</v>
      </c>
      <c r="C967" s="53">
        <v>6</v>
      </c>
      <c r="D967" s="36" t="s">
        <v>2772</v>
      </c>
      <c r="E967" s="27"/>
      <c r="F967" s="28">
        <v>17.399999999999999</v>
      </c>
      <c r="G967" s="29">
        <f t="shared" si="30"/>
        <v>2.9</v>
      </c>
      <c r="H967" s="56" t="s">
        <v>2773</v>
      </c>
      <c r="I967" s="56" t="s">
        <v>2860</v>
      </c>
      <c r="J967" s="32"/>
      <c r="K967" s="32"/>
      <c r="L967" s="76" t="str">
        <f t="shared" si="31"/>
        <v/>
      </c>
    </row>
    <row r="968" spans="1:12" x14ac:dyDescent="0.25">
      <c r="A968" s="36" t="s">
        <v>3187</v>
      </c>
      <c r="B968" s="53">
        <v>1</v>
      </c>
      <c r="C968" s="53">
        <v>6</v>
      </c>
      <c r="D968" s="36" t="s">
        <v>3188</v>
      </c>
      <c r="E968" s="27"/>
      <c r="F968" s="28">
        <v>16.8</v>
      </c>
      <c r="G968" s="29">
        <f t="shared" si="30"/>
        <v>2.8000000000000003</v>
      </c>
      <c r="H968" s="56" t="s">
        <v>3189</v>
      </c>
      <c r="I968" s="56" t="s">
        <v>3190</v>
      </c>
      <c r="J968" s="32"/>
      <c r="K968" s="32"/>
      <c r="L968" s="76" t="str">
        <f t="shared" si="31"/>
        <v/>
      </c>
    </row>
    <row r="969" spans="1:12" x14ac:dyDescent="0.25">
      <c r="A969" s="36" t="s">
        <v>2857</v>
      </c>
      <c r="B969" s="53">
        <v>8</v>
      </c>
      <c r="C969" s="53">
        <v>6</v>
      </c>
      <c r="D969" s="36" t="s">
        <v>2858</v>
      </c>
      <c r="E969" s="27"/>
      <c r="F969" s="28">
        <v>18.95</v>
      </c>
      <c r="G969" s="29">
        <f t="shared" si="30"/>
        <v>3.1583333333333332</v>
      </c>
      <c r="H969" s="56" t="s">
        <v>2859</v>
      </c>
      <c r="I969" s="56" t="s">
        <v>2861</v>
      </c>
      <c r="J969" s="32"/>
      <c r="K969" s="32"/>
      <c r="L969" s="76" t="str">
        <f t="shared" si="31"/>
        <v/>
      </c>
    </row>
    <row r="970" spans="1:12" x14ac:dyDescent="0.25">
      <c r="A970" s="36" t="s">
        <v>400</v>
      </c>
      <c r="B970" s="53">
        <v>608</v>
      </c>
      <c r="C970" s="53">
        <v>6</v>
      </c>
      <c r="D970" s="36" t="s">
        <v>401</v>
      </c>
      <c r="E970" s="27"/>
      <c r="F970" s="28">
        <v>12.95</v>
      </c>
      <c r="G970" s="29">
        <f t="shared" si="30"/>
        <v>2.1583333333333332</v>
      </c>
      <c r="H970" s="65">
        <v>8001090507747</v>
      </c>
      <c r="I970" s="59" t="s">
        <v>1141</v>
      </c>
      <c r="J970" s="32">
        <v>1152</v>
      </c>
      <c r="K970" s="32">
        <v>288</v>
      </c>
      <c r="L970" s="76" t="str">
        <f t="shared" si="31"/>
        <v/>
      </c>
    </row>
    <row r="971" spans="1:12" x14ac:dyDescent="0.25">
      <c r="A971" s="36" t="s">
        <v>408</v>
      </c>
      <c r="B971" s="53">
        <v>2680</v>
      </c>
      <c r="C971" s="53">
        <v>6</v>
      </c>
      <c r="D971" s="36" t="s">
        <v>409</v>
      </c>
      <c r="E971" s="27"/>
      <c r="F971" s="28">
        <v>13.44</v>
      </c>
      <c r="G971" s="29">
        <f t="shared" si="30"/>
        <v>2.2399999999999998</v>
      </c>
      <c r="H971" s="56" t="s">
        <v>410</v>
      </c>
      <c r="I971" s="56" t="s">
        <v>411</v>
      </c>
      <c r="J971" s="32">
        <v>1152</v>
      </c>
      <c r="K971" s="32">
        <v>288</v>
      </c>
      <c r="L971" s="76" t="str">
        <f t="shared" si="31"/>
        <v/>
      </c>
    </row>
    <row r="972" spans="1:12" x14ac:dyDescent="0.25">
      <c r="A972" s="36" t="s">
        <v>2416</v>
      </c>
      <c r="B972" s="53">
        <v>161</v>
      </c>
      <c r="C972" s="53">
        <v>6</v>
      </c>
      <c r="D972" s="36" t="s">
        <v>2417</v>
      </c>
      <c r="E972" s="27"/>
      <c r="F972" s="28">
        <v>22.4</v>
      </c>
      <c r="G972" s="29">
        <f t="shared" si="30"/>
        <v>3.7333333333333329</v>
      </c>
      <c r="H972" s="56" t="s">
        <v>2418</v>
      </c>
      <c r="I972" s="56" t="s">
        <v>2419</v>
      </c>
      <c r="J972" s="32">
        <v>768</v>
      </c>
      <c r="K972" s="53">
        <v>96</v>
      </c>
      <c r="L972" s="76" t="str">
        <f t="shared" si="31"/>
        <v/>
      </c>
    </row>
    <row r="973" spans="1:12" x14ac:dyDescent="0.25">
      <c r="A973" s="36" t="s">
        <v>1489</v>
      </c>
      <c r="B973" s="53">
        <v>129</v>
      </c>
      <c r="C973" s="53">
        <v>8</v>
      </c>
      <c r="D973" s="36" t="s">
        <v>1487</v>
      </c>
      <c r="E973" s="74"/>
      <c r="F973" s="28">
        <v>18.2</v>
      </c>
      <c r="G973" s="29">
        <f t="shared" si="30"/>
        <v>2.2749999999999999</v>
      </c>
      <c r="H973" s="56" t="s">
        <v>1488</v>
      </c>
      <c r="I973" s="56" t="s">
        <v>1528</v>
      </c>
      <c r="J973" s="32">
        <v>960</v>
      </c>
      <c r="K973" s="53">
        <v>120</v>
      </c>
      <c r="L973" s="76" t="str">
        <f t="shared" si="31"/>
        <v/>
      </c>
    </row>
    <row r="974" spans="1:12" x14ac:dyDescent="0.25">
      <c r="A974" s="36" t="s">
        <v>884</v>
      </c>
      <c r="B974" s="53">
        <v>874</v>
      </c>
      <c r="C974" s="53">
        <v>12</v>
      </c>
      <c r="D974" s="36" t="s">
        <v>885</v>
      </c>
      <c r="E974" s="74"/>
      <c r="F974" s="28">
        <v>14</v>
      </c>
      <c r="G974" s="29">
        <f t="shared" si="30"/>
        <v>1.1666666666666667</v>
      </c>
      <c r="H974" s="56" t="s">
        <v>936</v>
      </c>
      <c r="I974" s="56" t="s">
        <v>937</v>
      </c>
      <c r="J974" s="32">
        <v>693</v>
      </c>
      <c r="K974" s="32">
        <v>48</v>
      </c>
      <c r="L974" s="76" t="str">
        <f t="shared" si="31"/>
        <v/>
      </c>
    </row>
    <row r="975" spans="1:12" x14ac:dyDescent="0.25">
      <c r="A975" s="25" t="s">
        <v>212</v>
      </c>
      <c r="B975" s="26">
        <v>3352</v>
      </c>
      <c r="C975" s="26">
        <v>20</v>
      </c>
      <c r="D975" s="25" t="s">
        <v>30</v>
      </c>
      <c r="E975" s="27"/>
      <c r="F975" s="28">
        <v>9.4</v>
      </c>
      <c r="G975" s="29">
        <f t="shared" si="30"/>
        <v>0.47000000000000003</v>
      </c>
      <c r="H975" s="30" t="s">
        <v>31</v>
      </c>
      <c r="I975" s="30" t="s">
        <v>35</v>
      </c>
      <c r="J975" s="31">
        <v>2400</v>
      </c>
      <c r="K975" s="32">
        <v>600</v>
      </c>
      <c r="L975" s="76" t="str">
        <f t="shared" si="31"/>
        <v/>
      </c>
    </row>
    <row r="976" spans="1:12" x14ac:dyDescent="0.25">
      <c r="A976" s="25" t="s">
        <v>2743</v>
      </c>
      <c r="B976" s="26">
        <v>144</v>
      </c>
      <c r="C976" s="26">
        <v>6</v>
      </c>
      <c r="D976" s="25" t="s">
        <v>2744</v>
      </c>
      <c r="E976" s="31"/>
      <c r="F976" s="33">
        <v>3.42</v>
      </c>
      <c r="G976" s="34">
        <f t="shared" si="30"/>
        <v>0.56999999999999995</v>
      </c>
      <c r="H976" s="30" t="s">
        <v>2745</v>
      </c>
      <c r="I976" s="30" t="s">
        <v>2746</v>
      </c>
      <c r="J976" s="31">
        <v>1250</v>
      </c>
      <c r="K976" s="53">
        <v>125</v>
      </c>
      <c r="L976" s="76" t="str">
        <f t="shared" si="31"/>
        <v/>
      </c>
    </row>
    <row r="977" spans="1:12" x14ac:dyDescent="0.25">
      <c r="A977" s="25" t="s">
        <v>2747</v>
      </c>
      <c r="B977" s="26">
        <v>144</v>
      </c>
      <c r="C977" s="26">
        <v>10</v>
      </c>
      <c r="D977" s="25" t="s">
        <v>2748</v>
      </c>
      <c r="E977" s="31"/>
      <c r="F977" s="33">
        <v>6.84</v>
      </c>
      <c r="G977" s="34">
        <f t="shared" si="30"/>
        <v>0.68399999999999994</v>
      </c>
      <c r="H977" s="30" t="s">
        <v>2749</v>
      </c>
      <c r="I977" s="30" t="s">
        <v>2750</v>
      </c>
      <c r="J977" s="31">
        <v>768</v>
      </c>
      <c r="K977" s="53">
        <v>96</v>
      </c>
      <c r="L977" s="76" t="str">
        <f t="shared" si="31"/>
        <v/>
      </c>
    </row>
    <row r="978" spans="1:12" x14ac:dyDescent="0.25">
      <c r="A978" s="25" t="s">
        <v>1496</v>
      </c>
      <c r="B978" s="26">
        <v>144</v>
      </c>
      <c r="C978" s="26">
        <v>12</v>
      </c>
      <c r="D978" s="25" t="s">
        <v>1497</v>
      </c>
      <c r="E978" s="27"/>
      <c r="F978" s="28">
        <v>8.0399999999999991</v>
      </c>
      <c r="G978" s="29">
        <f t="shared" si="30"/>
        <v>0.66999999999999993</v>
      </c>
      <c r="H978" s="30" t="s">
        <v>1498</v>
      </c>
      <c r="I978" s="30" t="s">
        <v>1499</v>
      </c>
      <c r="J978" s="31">
        <v>768</v>
      </c>
      <c r="K978" s="53">
        <v>96</v>
      </c>
      <c r="L978" s="76" t="str">
        <f t="shared" si="31"/>
        <v/>
      </c>
    </row>
    <row r="979" spans="1:12" x14ac:dyDescent="0.25">
      <c r="A979" s="25" t="s">
        <v>833</v>
      </c>
      <c r="B979" s="26">
        <v>74</v>
      </c>
      <c r="C979" s="26">
        <v>12</v>
      </c>
      <c r="D979" s="25" t="s">
        <v>834</v>
      </c>
      <c r="E979" s="27"/>
      <c r="F979" s="28">
        <v>4.5</v>
      </c>
      <c r="G979" s="29">
        <f t="shared" si="30"/>
        <v>0.375</v>
      </c>
      <c r="H979" s="30" t="s">
        <v>835</v>
      </c>
      <c r="I979" s="30" t="s">
        <v>840</v>
      </c>
      <c r="J979" s="31">
        <v>384</v>
      </c>
      <c r="K979" s="32">
        <v>96</v>
      </c>
      <c r="L979" s="76" t="str">
        <f t="shared" si="31"/>
        <v/>
      </c>
    </row>
    <row r="980" spans="1:12" x14ac:dyDescent="0.25">
      <c r="A980" s="25" t="s">
        <v>3944</v>
      </c>
      <c r="B980" s="26">
        <v>144</v>
      </c>
      <c r="C980" s="26">
        <v>12</v>
      </c>
      <c r="D980" s="25" t="s">
        <v>3945</v>
      </c>
      <c r="E980" s="27"/>
      <c r="F980" s="33">
        <v>4.5</v>
      </c>
      <c r="G980" s="34">
        <f t="shared" si="30"/>
        <v>0.375</v>
      </c>
      <c r="H980" s="30" t="s">
        <v>3946</v>
      </c>
      <c r="I980" s="30" t="s">
        <v>3947</v>
      </c>
      <c r="J980" s="31">
        <v>384</v>
      </c>
      <c r="K980" s="32">
        <v>96</v>
      </c>
      <c r="L980" s="76" t="str">
        <f t="shared" si="31"/>
        <v/>
      </c>
    </row>
    <row r="981" spans="1:12" x14ac:dyDescent="0.25">
      <c r="A981" s="25" t="s">
        <v>211</v>
      </c>
      <c r="B981" s="26">
        <v>45</v>
      </c>
      <c r="C981" s="26">
        <v>6</v>
      </c>
      <c r="D981" s="25" t="s">
        <v>1040</v>
      </c>
      <c r="E981" s="27"/>
      <c r="F981" s="28">
        <v>13.2</v>
      </c>
      <c r="G981" s="29">
        <f t="shared" si="30"/>
        <v>2.1999999999999997</v>
      </c>
      <c r="H981" s="30" t="s">
        <v>655</v>
      </c>
      <c r="I981" s="30" t="s">
        <v>656</v>
      </c>
      <c r="J981" s="31">
        <v>310</v>
      </c>
      <c r="K981" s="32">
        <v>31</v>
      </c>
      <c r="L981" s="76" t="str">
        <f t="shared" si="31"/>
        <v/>
      </c>
    </row>
    <row r="982" spans="1:12" x14ac:dyDescent="0.25">
      <c r="A982" s="25" t="s">
        <v>1826</v>
      </c>
      <c r="B982" s="26">
        <v>154</v>
      </c>
      <c r="C982" s="26">
        <v>6</v>
      </c>
      <c r="D982" s="25" t="s">
        <v>1827</v>
      </c>
      <c r="E982" s="27"/>
      <c r="F982" s="28">
        <v>4.4000000000000004</v>
      </c>
      <c r="G982" s="29">
        <f t="shared" si="30"/>
        <v>0.73333333333333339</v>
      </c>
      <c r="H982" s="30" t="s">
        <v>1828</v>
      </c>
      <c r="I982" s="30" t="s">
        <v>1829</v>
      </c>
      <c r="J982" s="31">
        <v>720</v>
      </c>
      <c r="K982" s="32">
        <v>120</v>
      </c>
      <c r="L982" s="76" t="str">
        <f t="shared" si="31"/>
        <v/>
      </c>
    </row>
    <row r="983" spans="1:12" x14ac:dyDescent="0.25">
      <c r="A983" s="25" t="s">
        <v>1824</v>
      </c>
      <c r="B983" s="26">
        <v>93</v>
      </c>
      <c r="C983" s="26">
        <v>6</v>
      </c>
      <c r="D983" s="25" t="s">
        <v>1825</v>
      </c>
      <c r="E983" s="27"/>
      <c r="F983" s="28">
        <v>4.4000000000000004</v>
      </c>
      <c r="G983" s="29">
        <f t="shared" si="30"/>
        <v>0.73333333333333339</v>
      </c>
      <c r="H983" s="30" t="s">
        <v>1873</v>
      </c>
      <c r="I983" s="30" t="s">
        <v>1874</v>
      </c>
      <c r="J983" s="31">
        <v>720</v>
      </c>
      <c r="K983" s="32">
        <v>120</v>
      </c>
      <c r="L983" s="76" t="str">
        <f t="shared" si="31"/>
        <v/>
      </c>
    </row>
    <row r="984" spans="1:12" x14ac:dyDescent="0.25">
      <c r="A984" s="25" t="s">
        <v>657</v>
      </c>
      <c r="B984" s="26">
        <v>78</v>
      </c>
      <c r="C984" s="26">
        <v>6</v>
      </c>
      <c r="D984" s="25" t="s">
        <v>658</v>
      </c>
      <c r="E984" s="27"/>
      <c r="F984" s="28">
        <v>4.4000000000000004</v>
      </c>
      <c r="G984" s="29">
        <f t="shared" si="30"/>
        <v>0.73333333333333339</v>
      </c>
      <c r="H984" s="30" t="s">
        <v>662</v>
      </c>
      <c r="I984" s="30" t="s">
        <v>663</v>
      </c>
      <c r="J984" s="31">
        <v>720</v>
      </c>
      <c r="K984" s="32">
        <v>120</v>
      </c>
      <c r="L984" s="76" t="str">
        <f t="shared" si="31"/>
        <v/>
      </c>
    </row>
    <row r="985" spans="1:12" x14ac:dyDescent="0.25">
      <c r="A985" s="25" t="s">
        <v>1841</v>
      </c>
      <c r="B985" s="26">
        <v>102</v>
      </c>
      <c r="C985" s="26">
        <v>6</v>
      </c>
      <c r="D985" s="25" t="s">
        <v>1842</v>
      </c>
      <c r="E985" s="27"/>
      <c r="F985" s="28">
        <v>4.4000000000000004</v>
      </c>
      <c r="G985" s="29">
        <f t="shared" si="30"/>
        <v>0.73333333333333339</v>
      </c>
      <c r="H985" s="30" t="s">
        <v>1843</v>
      </c>
      <c r="I985" s="30" t="s">
        <v>1844</v>
      </c>
      <c r="J985" s="31">
        <v>720</v>
      </c>
      <c r="K985" s="32">
        <v>120</v>
      </c>
      <c r="L985" s="76" t="str">
        <f t="shared" si="31"/>
        <v/>
      </c>
    </row>
    <row r="986" spans="1:12" x14ac:dyDescent="0.25">
      <c r="A986" s="25" t="s">
        <v>3645</v>
      </c>
      <c r="B986" s="26">
        <v>114</v>
      </c>
      <c r="C986" s="26">
        <v>6</v>
      </c>
      <c r="D986" s="25" t="s">
        <v>3646</v>
      </c>
      <c r="E986" s="27"/>
      <c r="F986" s="33">
        <v>4.4000000000000004</v>
      </c>
      <c r="G986" s="34">
        <f t="shared" si="30"/>
        <v>0.73333333333333339</v>
      </c>
      <c r="H986" s="30" t="s">
        <v>3647</v>
      </c>
      <c r="I986" s="30" t="s">
        <v>3648</v>
      </c>
      <c r="J986" s="31">
        <v>720</v>
      </c>
      <c r="K986" s="32">
        <v>120</v>
      </c>
      <c r="L986" s="76" t="str">
        <f t="shared" si="31"/>
        <v/>
      </c>
    </row>
    <row r="987" spans="1:12" x14ac:dyDescent="0.25">
      <c r="A987" s="25" t="s">
        <v>3649</v>
      </c>
      <c r="B987" s="26">
        <v>119</v>
      </c>
      <c r="C987" s="26">
        <v>6</v>
      </c>
      <c r="D987" s="25" t="s">
        <v>3650</v>
      </c>
      <c r="E987" s="27"/>
      <c r="F987" s="33">
        <v>4.4000000000000004</v>
      </c>
      <c r="G987" s="34">
        <f t="shared" si="30"/>
        <v>0.73333333333333339</v>
      </c>
      <c r="H987" s="30" t="s">
        <v>3651</v>
      </c>
      <c r="I987" s="30" t="s">
        <v>3652</v>
      </c>
      <c r="J987" s="31">
        <v>720</v>
      </c>
      <c r="K987" s="53">
        <v>120</v>
      </c>
      <c r="L987" s="76" t="str">
        <f t="shared" si="31"/>
        <v/>
      </c>
    </row>
    <row r="988" spans="1:12" x14ac:dyDescent="0.25">
      <c r="A988" s="25" t="s">
        <v>161</v>
      </c>
      <c r="B988" s="26">
        <v>2011</v>
      </c>
      <c r="C988" s="26">
        <v>6</v>
      </c>
      <c r="D988" s="25" t="s">
        <v>8</v>
      </c>
      <c r="E988" s="27"/>
      <c r="F988" s="28">
        <v>0.6</v>
      </c>
      <c r="G988" s="29">
        <f t="shared" si="30"/>
        <v>9.9999999999999992E-2</v>
      </c>
      <c r="H988" s="62" t="s">
        <v>243</v>
      </c>
      <c r="I988" s="62" t="s">
        <v>237</v>
      </c>
      <c r="J988" s="31"/>
      <c r="K988" s="32"/>
      <c r="L988" s="76" t="str">
        <f t="shared" si="31"/>
        <v/>
      </c>
    </row>
    <row r="989" spans="1:12" x14ac:dyDescent="0.25">
      <c r="A989" s="25" t="s">
        <v>994</v>
      </c>
      <c r="B989" s="26">
        <v>1040</v>
      </c>
      <c r="C989" s="26">
        <v>6</v>
      </c>
      <c r="D989" s="25" t="s">
        <v>1005</v>
      </c>
      <c r="E989" s="27"/>
      <c r="F989" s="28">
        <v>6</v>
      </c>
      <c r="G989" s="29">
        <f t="shared" si="30"/>
        <v>1</v>
      </c>
      <c r="H989" s="30" t="s">
        <v>995</v>
      </c>
      <c r="I989" s="30" t="s">
        <v>237</v>
      </c>
      <c r="J989" s="31"/>
      <c r="K989" s="32"/>
      <c r="L989" s="77" t="str">
        <f t="shared" si="31"/>
        <v/>
      </c>
    </row>
    <row r="990" spans="1:12" x14ac:dyDescent="0.25">
      <c r="A990" s="25" t="s">
        <v>987</v>
      </c>
      <c r="B990" s="26">
        <v>866</v>
      </c>
      <c r="C990" s="26">
        <v>6</v>
      </c>
      <c r="D990" s="25" t="s">
        <v>988</v>
      </c>
      <c r="E990" s="27"/>
      <c r="F990" s="28">
        <v>6</v>
      </c>
      <c r="G990" s="29">
        <f t="shared" si="30"/>
        <v>1</v>
      </c>
      <c r="H990" s="30" t="s">
        <v>989</v>
      </c>
      <c r="I990" s="30" t="s">
        <v>237</v>
      </c>
      <c r="J990" s="31"/>
      <c r="K990" s="32"/>
      <c r="L990" s="77" t="str">
        <f t="shared" si="31"/>
        <v/>
      </c>
    </row>
    <row r="991" spans="1:12" x14ac:dyDescent="0.25">
      <c r="A991" s="25" t="s">
        <v>1028</v>
      </c>
      <c r="B991" s="26">
        <v>1312</v>
      </c>
      <c r="C991" s="26">
        <v>2</v>
      </c>
      <c r="D991" s="25" t="s">
        <v>1033</v>
      </c>
      <c r="E991" s="31"/>
      <c r="F991" s="28">
        <v>0.8</v>
      </c>
      <c r="G991" s="28">
        <f t="shared" si="30"/>
        <v>0.4</v>
      </c>
      <c r="H991" s="30" t="s">
        <v>1031</v>
      </c>
      <c r="I991" s="30" t="s">
        <v>237</v>
      </c>
      <c r="J991" s="31"/>
      <c r="K991" s="32"/>
      <c r="L991" s="77" t="str">
        <f t="shared" si="31"/>
        <v/>
      </c>
    </row>
    <row r="992" spans="1:12" x14ac:dyDescent="0.25">
      <c r="A992" s="25" t="s">
        <v>1029</v>
      </c>
      <c r="B992" s="26">
        <v>1620</v>
      </c>
      <c r="C992" s="26">
        <v>2</v>
      </c>
      <c r="D992" s="25" t="s">
        <v>1034</v>
      </c>
      <c r="E992" s="31"/>
      <c r="F992" s="28">
        <v>0.8</v>
      </c>
      <c r="G992" s="28">
        <f t="shared" si="30"/>
        <v>0.4</v>
      </c>
      <c r="H992" s="30" t="s">
        <v>1030</v>
      </c>
      <c r="I992" s="30" t="s">
        <v>237</v>
      </c>
      <c r="J992" s="31"/>
      <c r="K992" s="32"/>
      <c r="L992" s="76" t="str">
        <f t="shared" si="31"/>
        <v/>
      </c>
    </row>
    <row r="993" spans="1:12" x14ac:dyDescent="0.25">
      <c r="A993" s="25" t="s">
        <v>1027</v>
      </c>
      <c r="B993" s="26">
        <v>1525</v>
      </c>
      <c r="C993" s="26">
        <v>2</v>
      </c>
      <c r="D993" s="25" t="s">
        <v>1035</v>
      </c>
      <c r="E993" s="31"/>
      <c r="F993" s="28">
        <v>1</v>
      </c>
      <c r="G993" s="28">
        <f t="shared" si="30"/>
        <v>0.5</v>
      </c>
      <c r="H993" s="30" t="s">
        <v>1032</v>
      </c>
      <c r="I993" s="30" t="s">
        <v>237</v>
      </c>
      <c r="J993" s="31"/>
      <c r="K993" s="32"/>
      <c r="L993" s="76" t="str">
        <f t="shared" si="31"/>
        <v/>
      </c>
    </row>
    <row r="994" spans="1:12" x14ac:dyDescent="0.25">
      <c r="A994" s="25" t="s">
        <v>999</v>
      </c>
      <c r="B994" s="26">
        <v>1655</v>
      </c>
      <c r="C994" s="26">
        <v>6</v>
      </c>
      <c r="D994" s="25" t="s">
        <v>1000</v>
      </c>
      <c r="E994" s="27"/>
      <c r="F994" s="28">
        <v>6</v>
      </c>
      <c r="G994" s="29">
        <f t="shared" si="30"/>
        <v>1</v>
      </c>
      <c r="H994" s="30" t="s">
        <v>1001</v>
      </c>
      <c r="I994" s="30" t="s">
        <v>237</v>
      </c>
      <c r="J994" s="31"/>
      <c r="K994" s="32"/>
      <c r="L994" s="76" t="str">
        <f t="shared" si="31"/>
        <v/>
      </c>
    </row>
    <row r="995" spans="1:12" x14ac:dyDescent="0.25">
      <c r="A995" s="25" t="s">
        <v>990</v>
      </c>
      <c r="B995" s="26">
        <v>576</v>
      </c>
      <c r="C995" s="26">
        <v>6</v>
      </c>
      <c r="D995" s="25" t="s">
        <v>1004</v>
      </c>
      <c r="E995" s="27"/>
      <c r="F995" s="28">
        <v>4.8</v>
      </c>
      <c r="G995" s="29">
        <f t="shared" si="30"/>
        <v>0.79999999999999993</v>
      </c>
      <c r="H995" s="62" t="s">
        <v>992</v>
      </c>
      <c r="I995" s="62" t="s">
        <v>237</v>
      </c>
      <c r="J995" s="31"/>
      <c r="K995" s="32"/>
      <c r="L995" s="76" t="str">
        <f t="shared" si="31"/>
        <v/>
      </c>
    </row>
    <row r="996" spans="1:12" x14ac:dyDescent="0.25">
      <c r="A996" s="25" t="s">
        <v>991</v>
      </c>
      <c r="B996" s="26">
        <v>1546</v>
      </c>
      <c r="C996" s="26">
        <v>6</v>
      </c>
      <c r="D996" s="25" t="s">
        <v>1003</v>
      </c>
      <c r="E996" s="27"/>
      <c r="F996" s="28">
        <v>6</v>
      </c>
      <c r="G996" s="29">
        <f t="shared" si="30"/>
        <v>1</v>
      </c>
      <c r="H996" s="62" t="s">
        <v>993</v>
      </c>
      <c r="I996" s="62" t="s">
        <v>237</v>
      </c>
      <c r="J996" s="31"/>
      <c r="K996" s="32"/>
      <c r="L996" s="76" t="str">
        <f t="shared" si="31"/>
        <v/>
      </c>
    </row>
    <row r="997" spans="1:12" x14ac:dyDescent="0.25">
      <c r="A997" s="25" t="s">
        <v>996</v>
      </c>
      <c r="B997" s="26">
        <v>3672</v>
      </c>
      <c r="C997" s="26">
        <v>12</v>
      </c>
      <c r="D997" s="25" t="s">
        <v>997</v>
      </c>
      <c r="E997" s="27"/>
      <c r="F997" s="28">
        <v>7.2</v>
      </c>
      <c r="G997" s="29">
        <f t="shared" si="30"/>
        <v>0.6</v>
      </c>
      <c r="H997" s="30" t="s">
        <v>998</v>
      </c>
      <c r="I997" s="30" t="s">
        <v>237</v>
      </c>
      <c r="J997" s="31"/>
      <c r="K997" s="32"/>
      <c r="L997" s="76" t="str">
        <f t="shared" si="31"/>
        <v/>
      </c>
    </row>
    <row r="998" spans="1:12" x14ac:dyDescent="0.25">
      <c r="A998" s="1"/>
      <c r="B998" s="4"/>
      <c r="C998" s="2"/>
      <c r="D998" s="1"/>
      <c r="E998" s="8"/>
      <c r="F998" s="14"/>
      <c r="G998" s="14"/>
      <c r="H998" s="18"/>
      <c r="I998" s="19"/>
      <c r="J998" s="5"/>
      <c r="L998" s="1"/>
    </row>
    <row r="999" spans="1:12" x14ac:dyDescent="0.25">
      <c r="A999" s="1"/>
      <c r="B999" s="4"/>
      <c r="C999" s="2"/>
      <c r="D999" s="1"/>
      <c r="E999" s="8"/>
      <c r="F999" s="15"/>
      <c r="G999" s="15"/>
      <c r="H999" s="20"/>
      <c r="I999" s="19"/>
      <c r="J999" s="5"/>
      <c r="L999" s="1"/>
    </row>
    <row r="1000" spans="1:12" x14ac:dyDescent="0.25">
      <c r="A1000" s="1"/>
      <c r="B1000" s="4"/>
      <c r="C1000" s="2"/>
      <c r="D1000" s="1"/>
      <c r="E1000" s="8"/>
      <c r="F1000" s="15"/>
      <c r="G1000" s="15"/>
      <c r="H1000" s="18"/>
      <c r="I1000" s="19"/>
      <c r="J1000" s="5"/>
      <c r="L1000" s="1"/>
    </row>
    <row r="1001" spans="1:12" x14ac:dyDescent="0.25">
      <c r="A1001" s="1"/>
      <c r="B1001" s="4"/>
      <c r="C1001" s="2"/>
      <c r="D1001" s="1"/>
      <c r="E1001" s="8"/>
      <c r="F1001" s="14"/>
      <c r="G1001" s="14"/>
      <c r="H1001" s="18"/>
      <c r="I1001" s="19"/>
      <c r="J1001" s="5"/>
      <c r="L1001" s="1"/>
    </row>
    <row r="1002" spans="1:12" x14ac:dyDescent="0.25">
      <c r="A1002" s="1"/>
      <c r="B1002" s="4"/>
      <c r="C1002" s="2"/>
      <c r="D1002" s="1"/>
      <c r="E1002" s="8"/>
      <c r="F1002" s="14"/>
      <c r="G1002" s="14"/>
      <c r="H1002" s="18"/>
      <c r="I1002" s="19"/>
      <c r="J1002" s="5"/>
      <c r="L1002" s="1"/>
    </row>
    <row r="1003" spans="1:12" x14ac:dyDescent="0.25">
      <c r="A1003" s="1"/>
      <c r="B1003" s="4"/>
      <c r="C1003" s="2"/>
      <c r="D1003" s="1"/>
      <c r="E1003" s="8"/>
      <c r="F1003" s="14"/>
      <c r="G1003" s="14"/>
      <c r="H1003" s="18"/>
      <c r="I1003" s="19"/>
      <c r="J1003" s="5"/>
      <c r="L1003" s="1"/>
    </row>
    <row r="1004" spans="1:12" x14ac:dyDescent="0.25">
      <c r="A1004" s="1"/>
      <c r="B1004" s="4"/>
      <c r="C1004" s="2"/>
      <c r="D1004" s="1"/>
      <c r="E1004" s="8"/>
      <c r="F1004" s="14"/>
      <c r="G1004" s="14"/>
      <c r="H1004" s="18"/>
      <c r="I1004" s="19"/>
      <c r="J1004" s="5"/>
      <c r="L1004" s="1"/>
    </row>
    <row r="1005" spans="1:12" x14ac:dyDescent="0.25">
      <c r="A1005" s="1"/>
      <c r="B1005" s="4"/>
      <c r="C1005" s="2"/>
      <c r="D1005" s="1"/>
      <c r="E1005" s="8"/>
      <c r="F1005" s="14"/>
      <c r="G1005" s="14"/>
      <c r="H1005" s="18"/>
      <c r="I1005" s="19"/>
      <c r="J1005" s="5"/>
      <c r="L1005" s="1"/>
    </row>
    <row r="1006" spans="1:12" x14ac:dyDescent="0.25">
      <c r="A1006" s="1"/>
      <c r="B1006" s="4"/>
      <c r="C1006" s="2"/>
      <c r="D1006" s="1"/>
      <c r="E1006" s="8"/>
      <c r="F1006" s="14"/>
      <c r="G1006" s="14"/>
      <c r="H1006" s="18"/>
      <c r="I1006" s="19"/>
      <c r="J1006" s="5"/>
      <c r="L1006" s="1"/>
    </row>
    <row r="1007" spans="1:12" x14ac:dyDescent="0.25">
      <c r="A1007" s="1"/>
      <c r="B1007" s="4"/>
      <c r="C1007" s="2"/>
      <c r="D1007" s="1"/>
      <c r="E1007" s="8"/>
      <c r="F1007" s="14"/>
      <c r="G1007" s="14"/>
      <c r="H1007" s="18"/>
      <c r="I1007" s="19"/>
      <c r="J1007" s="5"/>
      <c r="L1007" s="1"/>
    </row>
    <row r="1008" spans="1:12" x14ac:dyDescent="0.25">
      <c r="A1008" s="1"/>
      <c r="B1008" s="4"/>
      <c r="C1008" s="2"/>
      <c r="D1008" s="1"/>
      <c r="E1008" s="8"/>
      <c r="F1008" s="14"/>
      <c r="G1008" s="14"/>
      <c r="H1008" s="18"/>
      <c r="I1008" s="19"/>
      <c r="J1008" s="5"/>
      <c r="L1008" s="1"/>
    </row>
    <row r="1009" spans="1:12" x14ac:dyDescent="0.25">
      <c r="A1009" s="1"/>
      <c r="B1009" s="4"/>
      <c r="C1009" s="2"/>
      <c r="D1009" s="1"/>
      <c r="E1009" s="8"/>
      <c r="F1009" s="14"/>
      <c r="G1009" s="14"/>
      <c r="H1009" s="18"/>
      <c r="I1009" s="19"/>
      <c r="J1009" s="5"/>
      <c r="L1009" s="1"/>
    </row>
    <row r="1010" spans="1:12" x14ac:dyDescent="0.25">
      <c r="A1010" s="1"/>
      <c r="B1010" s="4"/>
      <c r="C1010" s="2"/>
      <c r="D1010" s="1"/>
      <c r="E1010" s="8"/>
      <c r="F1010" s="14"/>
      <c r="G1010" s="14"/>
      <c r="H1010" s="18"/>
      <c r="I1010" s="19"/>
      <c r="J1010" s="5"/>
      <c r="L1010" s="1"/>
    </row>
    <row r="1011" spans="1:12" x14ac:dyDescent="0.25">
      <c r="A1011" s="1"/>
      <c r="B1011" s="4"/>
      <c r="C1011" s="2"/>
      <c r="D1011" s="1"/>
      <c r="E1011" s="8"/>
      <c r="F1011" s="14"/>
      <c r="G1011" s="14"/>
      <c r="H1011" s="18"/>
      <c r="I1011" s="19"/>
      <c r="J1011" s="5"/>
      <c r="L1011" s="1"/>
    </row>
    <row r="1012" spans="1:12" x14ac:dyDescent="0.25">
      <c r="A1012" s="1"/>
      <c r="B1012" s="4"/>
      <c r="C1012" s="2"/>
      <c r="D1012" s="1"/>
      <c r="E1012" s="8"/>
      <c r="F1012" s="14"/>
      <c r="G1012" s="14"/>
      <c r="H1012" s="18"/>
      <c r="I1012" s="19"/>
      <c r="J1012" s="5"/>
      <c r="L1012" s="1"/>
    </row>
    <row r="1013" spans="1:12" x14ac:dyDescent="0.25">
      <c r="A1013" s="1"/>
      <c r="B1013" s="4"/>
      <c r="C1013" s="2"/>
      <c r="D1013" s="1"/>
      <c r="E1013" s="8"/>
      <c r="F1013" s="14"/>
      <c r="G1013" s="14"/>
      <c r="H1013" s="18"/>
      <c r="I1013" s="19"/>
      <c r="J1013" s="5"/>
      <c r="L1013" s="1"/>
    </row>
    <row r="1014" spans="1:12" x14ac:dyDescent="0.25">
      <c r="A1014" s="1"/>
      <c r="B1014" s="4"/>
      <c r="C1014" s="2"/>
      <c r="D1014" s="1"/>
      <c r="E1014" s="8"/>
      <c r="F1014" s="14"/>
      <c r="G1014" s="14"/>
      <c r="H1014" s="18"/>
      <c r="I1014" s="19"/>
      <c r="J1014" s="5"/>
      <c r="L1014" s="1"/>
    </row>
    <row r="1015" spans="1:12" x14ac:dyDescent="0.25">
      <c r="A1015" s="1"/>
      <c r="B1015" s="4"/>
      <c r="C1015" s="2"/>
      <c r="D1015" s="1"/>
      <c r="E1015" s="8"/>
      <c r="F1015" s="14"/>
      <c r="G1015" s="14"/>
      <c r="H1015" s="18"/>
      <c r="I1015" s="19"/>
      <c r="J1015" s="5"/>
      <c r="L1015" s="1"/>
    </row>
    <row r="1016" spans="1:12" x14ac:dyDescent="0.25">
      <c r="A1016" s="1"/>
      <c r="B1016" s="4"/>
      <c r="C1016" s="2"/>
      <c r="D1016" s="1"/>
      <c r="E1016" s="8"/>
      <c r="F1016" s="14"/>
      <c r="G1016" s="14"/>
      <c r="H1016" s="18"/>
      <c r="I1016" s="19"/>
      <c r="J1016" s="5"/>
      <c r="L1016" s="1"/>
    </row>
    <row r="1017" spans="1:12" x14ac:dyDescent="0.25">
      <c r="A1017" s="1"/>
      <c r="B1017" s="4"/>
      <c r="C1017" s="2"/>
      <c r="D1017" s="1"/>
      <c r="E1017" s="8"/>
      <c r="F1017" s="14"/>
      <c r="G1017" s="14"/>
      <c r="H1017" s="18"/>
      <c r="I1017" s="19"/>
      <c r="J1017" s="5"/>
      <c r="L1017" s="1"/>
    </row>
    <row r="1018" spans="1:12" x14ac:dyDescent="0.25">
      <c r="A1018" s="1"/>
      <c r="B1018" s="4"/>
      <c r="C1018" s="2"/>
      <c r="D1018" s="1"/>
      <c r="E1018" s="8"/>
      <c r="F1018" s="14"/>
      <c r="G1018" s="14"/>
      <c r="H1018" s="18"/>
      <c r="I1018" s="19"/>
      <c r="J1018" s="5"/>
      <c r="L1018" s="1"/>
    </row>
    <row r="1019" spans="1:12" x14ac:dyDescent="0.25">
      <c r="A1019" s="1"/>
      <c r="B1019" s="4"/>
      <c r="C1019" s="2"/>
      <c r="D1019" s="1"/>
      <c r="E1019" s="8"/>
      <c r="F1019" s="14"/>
      <c r="G1019" s="14"/>
      <c r="H1019" s="18"/>
      <c r="I1019" s="19"/>
      <c r="J1019" s="5"/>
      <c r="L1019" s="1"/>
    </row>
    <row r="1020" spans="1:12" x14ac:dyDescent="0.25">
      <c r="A1020" s="1"/>
      <c r="B1020" s="4"/>
      <c r="C1020" s="2"/>
      <c r="D1020" s="1"/>
      <c r="E1020" s="8"/>
      <c r="F1020" s="14"/>
      <c r="G1020" s="14"/>
      <c r="H1020" s="18"/>
      <c r="I1020" s="19"/>
      <c r="J1020" s="5"/>
      <c r="L1020" s="1"/>
    </row>
    <row r="1021" spans="1:12" x14ac:dyDescent="0.25">
      <c r="A1021" s="1"/>
      <c r="B1021" s="4"/>
      <c r="C1021" s="2"/>
      <c r="D1021" s="1"/>
      <c r="E1021" s="8"/>
      <c r="F1021" s="14"/>
      <c r="G1021" s="14"/>
      <c r="H1021" s="18"/>
      <c r="I1021" s="19"/>
      <c r="J1021" s="5"/>
      <c r="L1021" s="1"/>
    </row>
    <row r="1022" spans="1:12" x14ac:dyDescent="0.25">
      <c r="A1022" s="1"/>
      <c r="B1022" s="4"/>
      <c r="C1022" s="2"/>
      <c r="D1022" s="1"/>
      <c r="E1022" s="8"/>
      <c r="F1022" s="14"/>
      <c r="G1022" s="14"/>
      <c r="H1022" s="18"/>
      <c r="I1022" s="19"/>
      <c r="J1022" s="5"/>
      <c r="L1022" s="1"/>
    </row>
    <row r="1023" spans="1:12" x14ac:dyDescent="0.25">
      <c r="A1023" s="1"/>
      <c r="B1023" s="4"/>
      <c r="C1023" s="2"/>
      <c r="D1023" s="1"/>
      <c r="E1023" s="8"/>
      <c r="F1023" s="14"/>
      <c r="G1023" s="14"/>
      <c r="H1023" s="18"/>
      <c r="I1023" s="19"/>
      <c r="J1023" s="5"/>
      <c r="L1023" s="1"/>
    </row>
    <row r="1024" spans="1:12" x14ac:dyDescent="0.25">
      <c r="A1024" s="1"/>
      <c r="B1024" s="4"/>
      <c r="C1024" s="2"/>
      <c r="D1024" s="1"/>
      <c r="E1024" s="8"/>
      <c r="F1024" s="14"/>
      <c r="G1024" s="14"/>
      <c r="H1024" s="18"/>
      <c r="I1024" s="19"/>
      <c r="J1024" s="5"/>
      <c r="L1024" s="1"/>
    </row>
    <row r="1025" spans="1:12" x14ac:dyDescent="0.25">
      <c r="A1025" s="1"/>
      <c r="B1025" s="4"/>
      <c r="C1025" s="2"/>
      <c r="D1025" s="1"/>
      <c r="E1025" s="8"/>
      <c r="F1025" s="14"/>
      <c r="G1025" s="14"/>
      <c r="H1025" s="18"/>
      <c r="I1025" s="19"/>
      <c r="J1025" s="5"/>
      <c r="L1025" s="1"/>
    </row>
    <row r="1026" spans="1:12" x14ac:dyDescent="0.25">
      <c r="A1026" s="1"/>
      <c r="B1026" s="4"/>
      <c r="C1026" s="2"/>
      <c r="D1026" s="1"/>
      <c r="E1026" s="8"/>
      <c r="F1026" s="14"/>
      <c r="G1026" s="14"/>
      <c r="H1026" s="18"/>
      <c r="I1026" s="19"/>
      <c r="J1026" s="5"/>
      <c r="L1026" s="1"/>
    </row>
    <row r="1027" spans="1:12" x14ac:dyDescent="0.25">
      <c r="A1027" s="1"/>
      <c r="B1027" s="4"/>
      <c r="C1027" s="2"/>
      <c r="D1027" s="1"/>
      <c r="E1027" s="8"/>
      <c r="F1027" s="14"/>
      <c r="G1027" s="14"/>
      <c r="H1027" s="18"/>
      <c r="I1027" s="19"/>
      <c r="J1027" s="5"/>
      <c r="L1027" s="1"/>
    </row>
    <row r="1028" spans="1:12" x14ac:dyDescent="0.25">
      <c r="A1028" s="1"/>
      <c r="B1028" s="4"/>
      <c r="C1028" s="2"/>
      <c r="D1028" s="1"/>
      <c r="E1028" s="8"/>
      <c r="F1028" s="14"/>
      <c r="G1028" s="14"/>
      <c r="H1028" s="18"/>
      <c r="I1028" s="19"/>
      <c r="J1028" s="5"/>
      <c r="L1028" s="1"/>
    </row>
    <row r="1029" spans="1:12" x14ac:dyDescent="0.25">
      <c r="A1029" s="1"/>
      <c r="B1029" s="4"/>
      <c r="C1029" s="2"/>
      <c r="D1029" s="1"/>
      <c r="E1029" s="8"/>
      <c r="F1029" s="14"/>
      <c r="G1029" s="14"/>
      <c r="H1029" s="18"/>
      <c r="I1029" s="19"/>
      <c r="J1029" s="5"/>
      <c r="L1029" s="1"/>
    </row>
    <row r="1030" spans="1:12" x14ac:dyDescent="0.25">
      <c r="A1030" s="1"/>
      <c r="B1030" s="4"/>
      <c r="C1030" s="2"/>
      <c r="D1030" s="1"/>
      <c r="E1030" s="8"/>
      <c r="F1030" s="14"/>
      <c r="G1030" s="14"/>
      <c r="H1030" s="18"/>
      <c r="I1030" s="19"/>
      <c r="J1030" s="5"/>
      <c r="L1030" s="1"/>
    </row>
    <row r="1031" spans="1:12" x14ac:dyDescent="0.25">
      <c r="A1031" s="1"/>
      <c r="B1031" s="4"/>
      <c r="C1031" s="2"/>
      <c r="D1031" s="1"/>
      <c r="E1031" s="8"/>
      <c r="F1031" s="14"/>
      <c r="G1031" s="14"/>
      <c r="H1031" s="18"/>
      <c r="I1031" s="19"/>
      <c r="J1031" s="5"/>
      <c r="L1031" s="1"/>
    </row>
    <row r="1032" spans="1:12" x14ac:dyDescent="0.25">
      <c r="A1032" s="1"/>
      <c r="B1032" s="4"/>
      <c r="C1032" s="2"/>
      <c r="D1032" s="1"/>
      <c r="E1032" s="8"/>
      <c r="F1032" s="14"/>
      <c r="G1032" s="14"/>
      <c r="H1032" s="18"/>
      <c r="I1032" s="19"/>
      <c r="J1032" s="5"/>
      <c r="L1032" s="1"/>
    </row>
    <row r="1033" spans="1:12" x14ac:dyDescent="0.25">
      <c r="A1033" s="1"/>
      <c r="B1033" s="4"/>
      <c r="C1033" s="2"/>
      <c r="D1033" s="1"/>
      <c r="E1033" s="8"/>
      <c r="F1033" s="14"/>
      <c r="G1033" s="14"/>
      <c r="H1033" s="18"/>
      <c r="I1033" s="19"/>
      <c r="J1033" s="5"/>
      <c r="L1033" s="1"/>
    </row>
    <row r="1034" spans="1:12" x14ac:dyDescent="0.25">
      <c r="A1034" s="1"/>
      <c r="B1034" s="4"/>
      <c r="C1034" s="2"/>
      <c r="D1034" s="1"/>
      <c r="E1034" s="8"/>
      <c r="F1034" s="14"/>
      <c r="G1034" s="14"/>
      <c r="H1034" s="18"/>
      <c r="I1034" s="19"/>
      <c r="J1034" s="5"/>
      <c r="L1034" s="1"/>
    </row>
    <row r="1035" spans="1:12" x14ac:dyDescent="0.25">
      <c r="A1035" s="1"/>
      <c r="B1035" s="4"/>
      <c r="C1035" s="2"/>
      <c r="D1035" s="1"/>
      <c r="E1035" s="8"/>
      <c r="F1035" s="14"/>
      <c r="G1035" s="14"/>
      <c r="H1035" s="18"/>
      <c r="I1035" s="19"/>
      <c r="J1035" s="5"/>
      <c r="L1035" s="1"/>
    </row>
    <row r="1036" spans="1:12" x14ac:dyDescent="0.25">
      <c r="A1036" s="1"/>
      <c r="B1036" s="4"/>
      <c r="C1036" s="2"/>
      <c r="D1036" s="1"/>
      <c r="E1036" s="8"/>
      <c r="F1036" s="14"/>
      <c r="G1036" s="14"/>
      <c r="H1036" s="18"/>
      <c r="I1036" s="19"/>
      <c r="J1036" s="5"/>
      <c r="L1036" s="1"/>
    </row>
    <row r="1037" spans="1:12" x14ac:dyDescent="0.25">
      <c r="A1037" s="1"/>
      <c r="B1037" s="4"/>
      <c r="C1037" s="2"/>
      <c r="D1037" s="1"/>
      <c r="E1037" s="8"/>
      <c r="F1037" s="14"/>
      <c r="G1037" s="14"/>
      <c r="H1037" s="18"/>
      <c r="I1037" s="19"/>
      <c r="J1037" s="5"/>
      <c r="L1037" s="1"/>
    </row>
    <row r="1038" spans="1:12" x14ac:dyDescent="0.25">
      <c r="A1038" s="1"/>
      <c r="B1038" s="4"/>
      <c r="C1038" s="2"/>
      <c r="D1038" s="1"/>
      <c r="E1038" s="8"/>
      <c r="F1038" s="14"/>
      <c r="G1038" s="14"/>
      <c r="H1038" s="18"/>
      <c r="I1038" s="19"/>
      <c r="J1038" s="5"/>
      <c r="L1038" s="1"/>
    </row>
    <row r="1039" spans="1:12" x14ac:dyDescent="0.25">
      <c r="A1039" s="1"/>
      <c r="B1039" s="4"/>
      <c r="C1039" s="2"/>
      <c r="D1039" s="1"/>
      <c r="E1039" s="8"/>
      <c r="F1039" s="14"/>
      <c r="G1039" s="14"/>
      <c r="H1039" s="18"/>
      <c r="I1039" s="19"/>
      <c r="J1039" s="5"/>
      <c r="L1039" s="1"/>
    </row>
    <row r="1040" spans="1:12" x14ac:dyDescent="0.25">
      <c r="A1040" s="1"/>
      <c r="B1040" s="4"/>
      <c r="C1040" s="2"/>
      <c r="D1040" s="1"/>
      <c r="E1040" s="8"/>
      <c r="F1040" s="14"/>
      <c r="G1040" s="14"/>
      <c r="H1040" s="18"/>
      <c r="I1040" s="19"/>
      <c r="J1040" s="5"/>
      <c r="L1040" s="1"/>
    </row>
    <row r="1041" spans="1:12" x14ac:dyDescent="0.25">
      <c r="A1041" s="1"/>
      <c r="B1041" s="4"/>
      <c r="C1041" s="2"/>
      <c r="D1041" s="1"/>
      <c r="E1041" s="8"/>
      <c r="F1041" s="14"/>
      <c r="G1041" s="14"/>
      <c r="H1041" s="18"/>
      <c r="I1041" s="19"/>
      <c r="J1041" s="5"/>
      <c r="L1041" s="1"/>
    </row>
    <row r="1042" spans="1:12" x14ac:dyDescent="0.25">
      <c r="A1042" s="1"/>
      <c r="B1042" s="4"/>
      <c r="C1042" s="2"/>
      <c r="D1042" s="1"/>
      <c r="E1042" s="8"/>
      <c r="F1042" s="14"/>
      <c r="G1042" s="14"/>
      <c r="H1042" s="18"/>
      <c r="I1042" s="19"/>
      <c r="J1042" s="5"/>
      <c r="L1042" s="1"/>
    </row>
    <row r="1043" spans="1:12" x14ac:dyDescent="0.25">
      <c r="A1043" s="1"/>
      <c r="B1043" s="4"/>
      <c r="C1043" s="2"/>
      <c r="D1043" s="1"/>
      <c r="E1043" s="8"/>
      <c r="F1043" s="14"/>
      <c r="G1043" s="14"/>
      <c r="H1043" s="18"/>
      <c r="I1043" s="19"/>
      <c r="J1043" s="5"/>
      <c r="L1043" s="1"/>
    </row>
    <row r="1044" spans="1:12" x14ac:dyDescent="0.25">
      <c r="A1044" s="1"/>
      <c r="B1044" s="4"/>
      <c r="C1044" s="2"/>
      <c r="D1044" s="1"/>
      <c r="E1044" s="8"/>
      <c r="F1044" s="14"/>
      <c r="G1044" s="14"/>
      <c r="H1044" s="18"/>
      <c r="I1044" s="19"/>
      <c r="J1044" s="5"/>
      <c r="L1044" s="1"/>
    </row>
    <row r="1045" spans="1:12" x14ac:dyDescent="0.25">
      <c r="A1045" s="1"/>
      <c r="B1045" s="4"/>
      <c r="C1045" s="2"/>
      <c r="D1045" s="1"/>
      <c r="E1045" s="8"/>
      <c r="F1045" s="14"/>
      <c r="G1045" s="14"/>
      <c r="H1045" s="18"/>
      <c r="I1045" s="19"/>
      <c r="J1045" s="5"/>
      <c r="L1045" s="1"/>
    </row>
    <row r="1046" spans="1:12" x14ac:dyDescent="0.25">
      <c r="A1046" s="1"/>
      <c r="B1046" s="4"/>
      <c r="C1046" s="2"/>
      <c r="D1046" s="1"/>
      <c r="E1046" s="8"/>
      <c r="F1046" s="14"/>
      <c r="G1046" s="14"/>
      <c r="H1046" s="18"/>
      <c r="I1046" s="19"/>
      <c r="J1046" s="5"/>
      <c r="L1046" s="1"/>
    </row>
    <row r="1047" spans="1:12" x14ac:dyDescent="0.25">
      <c r="A1047" s="1"/>
      <c r="B1047" s="4"/>
      <c r="C1047" s="2"/>
      <c r="D1047" s="1"/>
      <c r="E1047" s="8"/>
      <c r="F1047" s="14"/>
      <c r="G1047" s="14"/>
      <c r="H1047" s="18"/>
      <c r="I1047" s="19"/>
      <c r="J1047" s="5"/>
      <c r="L1047" s="1"/>
    </row>
    <row r="1048" spans="1:12" x14ac:dyDescent="0.25">
      <c r="A1048" s="1"/>
      <c r="B1048" s="4"/>
      <c r="C1048" s="2"/>
      <c r="D1048" s="1"/>
      <c r="E1048" s="8"/>
      <c r="F1048" s="14"/>
      <c r="G1048" s="14"/>
      <c r="H1048" s="18"/>
      <c r="I1048" s="19"/>
      <c r="J1048" s="5"/>
      <c r="L1048" s="1"/>
    </row>
    <row r="1049" spans="1:12" x14ac:dyDescent="0.25">
      <c r="A1049" s="1"/>
      <c r="B1049" s="4"/>
      <c r="C1049" s="2"/>
      <c r="D1049" s="1"/>
      <c r="E1049" s="8"/>
      <c r="F1049" s="14"/>
      <c r="G1049" s="14"/>
      <c r="H1049" s="18"/>
      <c r="I1049" s="19"/>
      <c r="J1049" s="5"/>
      <c r="L1049" s="1"/>
    </row>
    <row r="1050" spans="1:12" x14ac:dyDescent="0.25">
      <c r="A1050" s="1"/>
      <c r="B1050" s="4"/>
      <c r="C1050" s="2"/>
      <c r="D1050" s="1"/>
      <c r="E1050" s="8"/>
      <c r="F1050" s="14"/>
      <c r="G1050" s="14"/>
      <c r="H1050" s="18"/>
      <c r="I1050" s="19"/>
      <c r="J1050" s="5"/>
      <c r="L1050" s="1"/>
    </row>
    <row r="1051" spans="1:12" x14ac:dyDescent="0.25">
      <c r="A1051" s="1"/>
      <c r="B1051" s="4"/>
      <c r="C1051" s="2"/>
      <c r="D1051" s="1"/>
      <c r="E1051" s="8"/>
      <c r="F1051" s="14"/>
      <c r="G1051" s="14"/>
      <c r="H1051" s="18"/>
      <c r="I1051" s="19"/>
      <c r="J1051" s="5"/>
      <c r="L1051" s="1"/>
    </row>
    <row r="1052" spans="1:12" x14ac:dyDescent="0.25">
      <c r="A1052" s="1"/>
      <c r="B1052" s="4"/>
      <c r="C1052" s="2"/>
      <c r="D1052" s="1"/>
      <c r="E1052" s="8"/>
      <c r="F1052" s="14"/>
      <c r="G1052" s="14"/>
      <c r="H1052" s="18"/>
      <c r="I1052" s="19"/>
      <c r="J1052" s="5"/>
      <c r="L1052" s="1"/>
    </row>
    <row r="1053" spans="1:12" x14ac:dyDescent="0.25">
      <c r="A1053" s="1"/>
      <c r="B1053" s="4"/>
      <c r="C1053" s="2"/>
      <c r="D1053" s="1"/>
      <c r="E1053" s="8"/>
      <c r="F1053" s="14"/>
      <c r="G1053" s="14"/>
      <c r="H1053" s="18"/>
      <c r="I1053" s="19"/>
      <c r="J1053" s="5"/>
      <c r="L1053" s="1"/>
    </row>
    <row r="1054" spans="1:12" x14ac:dyDescent="0.25">
      <c r="A1054" s="1"/>
      <c r="B1054" s="4"/>
      <c r="C1054" s="2"/>
      <c r="D1054" s="1"/>
      <c r="E1054" s="8"/>
      <c r="F1054" s="14"/>
      <c r="G1054" s="14"/>
      <c r="H1054" s="18"/>
      <c r="I1054" s="19"/>
      <c r="J1054" s="5"/>
      <c r="L1054" s="1"/>
    </row>
    <row r="1055" spans="1:12" x14ac:dyDescent="0.25">
      <c r="A1055" s="1"/>
      <c r="B1055" s="4"/>
      <c r="C1055" s="2"/>
      <c r="D1055" s="1"/>
      <c r="E1055" s="8"/>
      <c r="F1055" s="14"/>
      <c r="G1055" s="14"/>
      <c r="H1055" s="18"/>
      <c r="I1055" s="19"/>
      <c r="J1055" s="5"/>
      <c r="L1055" s="1"/>
    </row>
    <row r="1056" spans="1:12" x14ac:dyDescent="0.25">
      <c r="A1056" s="1"/>
      <c r="B1056" s="4"/>
      <c r="C1056" s="2"/>
      <c r="D1056" s="1"/>
      <c r="E1056" s="8"/>
      <c r="F1056" s="14"/>
      <c r="G1056" s="14"/>
      <c r="H1056" s="18"/>
      <c r="I1056" s="19"/>
      <c r="J1056" s="5"/>
      <c r="L1056" s="1"/>
    </row>
    <row r="1057" spans="1:12" x14ac:dyDescent="0.25">
      <c r="A1057" s="1"/>
      <c r="B1057" s="4"/>
      <c r="C1057" s="2"/>
      <c r="D1057" s="1"/>
      <c r="E1057" s="8"/>
      <c r="F1057" s="14"/>
      <c r="G1057" s="14"/>
      <c r="H1057" s="18"/>
      <c r="I1057" s="19"/>
      <c r="J1057" s="5"/>
      <c r="L1057" s="1"/>
    </row>
    <row r="1058" spans="1:12" x14ac:dyDescent="0.25">
      <c r="A1058" s="1"/>
      <c r="B1058" s="4"/>
      <c r="C1058" s="2"/>
      <c r="D1058" s="1"/>
      <c r="E1058" s="8"/>
      <c r="F1058" s="14"/>
      <c r="G1058" s="14"/>
      <c r="H1058" s="18"/>
      <c r="I1058" s="19"/>
      <c r="J1058" s="5"/>
      <c r="L1058" s="1"/>
    </row>
    <row r="1059" spans="1:12" x14ac:dyDescent="0.25">
      <c r="A1059" s="1"/>
      <c r="B1059" s="4"/>
      <c r="C1059" s="2"/>
      <c r="D1059" s="1"/>
      <c r="E1059" s="8"/>
      <c r="F1059" s="14"/>
      <c r="G1059" s="14"/>
      <c r="H1059" s="18"/>
      <c r="I1059" s="19"/>
      <c r="J1059" s="5"/>
      <c r="L1059" s="1"/>
    </row>
    <row r="1060" spans="1:12" x14ac:dyDescent="0.25">
      <c r="A1060" s="1"/>
      <c r="B1060" s="4"/>
      <c r="C1060" s="2"/>
      <c r="D1060" s="1"/>
      <c r="E1060" s="8"/>
      <c r="F1060" s="14"/>
      <c r="G1060" s="14"/>
      <c r="H1060" s="18"/>
      <c r="I1060" s="19"/>
      <c r="J1060" s="5"/>
      <c r="L1060" s="1"/>
    </row>
    <row r="1061" spans="1:12" x14ac:dyDescent="0.25">
      <c r="A1061" s="1"/>
      <c r="B1061" s="4"/>
      <c r="C1061" s="2"/>
      <c r="D1061" s="1"/>
      <c r="E1061" s="8"/>
      <c r="F1061" s="14"/>
      <c r="G1061" s="14"/>
      <c r="H1061" s="18"/>
      <c r="I1061" s="19"/>
      <c r="J1061" s="5"/>
      <c r="L1061" s="1"/>
    </row>
    <row r="1062" spans="1:12" x14ac:dyDescent="0.25">
      <c r="A1062" s="1"/>
      <c r="B1062" s="4"/>
      <c r="C1062" s="2"/>
      <c r="D1062" s="1"/>
      <c r="E1062" s="8"/>
      <c r="F1062" s="14"/>
      <c r="G1062" s="14"/>
      <c r="H1062" s="18"/>
      <c r="I1062" s="19"/>
      <c r="J1062" s="5"/>
      <c r="L1062" s="1"/>
    </row>
    <row r="1063" spans="1:12" x14ac:dyDescent="0.25">
      <c r="A1063" s="1"/>
      <c r="B1063" s="4"/>
      <c r="C1063" s="2"/>
      <c r="D1063" s="1"/>
      <c r="E1063" s="8"/>
      <c r="F1063" s="14"/>
      <c r="G1063" s="14"/>
      <c r="H1063" s="18"/>
      <c r="I1063" s="19"/>
      <c r="J1063" s="5"/>
      <c r="L1063" s="1"/>
    </row>
    <row r="1064" spans="1:12" x14ac:dyDescent="0.25">
      <c r="A1064" s="1"/>
      <c r="B1064" s="4"/>
      <c r="C1064" s="2"/>
      <c r="D1064" s="1"/>
      <c r="E1064" s="8"/>
      <c r="F1064" s="14"/>
      <c r="G1064" s="14"/>
      <c r="H1064" s="18"/>
      <c r="I1064" s="19"/>
      <c r="J1064" s="5"/>
      <c r="L1064" s="1"/>
    </row>
    <row r="1065" spans="1:12" x14ac:dyDescent="0.25">
      <c r="A1065" s="1"/>
      <c r="B1065" s="4"/>
      <c r="C1065" s="2"/>
      <c r="D1065" s="1"/>
      <c r="E1065" s="8"/>
      <c r="F1065" s="14"/>
      <c r="G1065" s="14"/>
      <c r="H1065" s="18"/>
      <c r="I1065" s="19"/>
      <c r="J1065" s="5"/>
      <c r="L1065" s="1"/>
    </row>
    <row r="1066" spans="1:12" x14ac:dyDescent="0.25">
      <c r="A1066" s="1"/>
      <c r="B1066" s="4"/>
      <c r="C1066" s="2"/>
      <c r="D1066" s="1"/>
      <c r="E1066" s="8"/>
      <c r="F1066" s="14"/>
      <c r="G1066" s="14"/>
      <c r="H1066" s="18"/>
      <c r="I1066" s="19"/>
      <c r="J1066" s="5"/>
      <c r="L1066" s="1"/>
    </row>
    <row r="1067" spans="1:12" x14ac:dyDescent="0.25">
      <c r="A1067" s="1"/>
      <c r="B1067" s="4"/>
      <c r="C1067" s="2"/>
      <c r="D1067" s="1"/>
      <c r="E1067" s="8"/>
      <c r="F1067" s="14"/>
      <c r="G1067" s="14"/>
      <c r="H1067" s="18"/>
      <c r="I1067" s="19"/>
      <c r="J1067" s="5"/>
      <c r="L1067" s="1"/>
    </row>
    <row r="1068" spans="1:12" x14ac:dyDescent="0.25">
      <c r="A1068" s="1"/>
      <c r="B1068" s="4"/>
      <c r="C1068" s="2"/>
      <c r="D1068" s="1"/>
      <c r="E1068" s="8"/>
      <c r="F1068" s="14"/>
      <c r="G1068" s="14"/>
      <c r="H1068" s="18"/>
      <c r="I1068" s="19"/>
      <c r="J1068" s="5"/>
      <c r="L1068" s="1"/>
    </row>
    <row r="1069" spans="1:12" x14ac:dyDescent="0.25">
      <c r="A1069" s="1"/>
      <c r="B1069" s="4"/>
      <c r="C1069" s="2"/>
      <c r="D1069" s="1"/>
      <c r="E1069" s="8"/>
      <c r="F1069" s="14"/>
      <c r="G1069" s="14"/>
      <c r="H1069" s="18"/>
      <c r="I1069" s="19"/>
      <c r="J1069" s="5"/>
      <c r="L1069" s="1"/>
    </row>
    <row r="1070" spans="1:12" x14ac:dyDescent="0.25">
      <c r="A1070" s="1"/>
      <c r="B1070" s="4"/>
      <c r="C1070" s="2"/>
      <c r="D1070" s="1"/>
      <c r="E1070" s="8"/>
      <c r="F1070" s="14"/>
      <c r="G1070" s="14"/>
      <c r="H1070" s="18"/>
      <c r="I1070" s="19"/>
      <c r="J1070" s="5"/>
      <c r="L1070" s="1"/>
    </row>
    <row r="1071" spans="1:12" x14ac:dyDescent="0.25">
      <c r="A1071" s="1"/>
      <c r="B1071" s="4"/>
      <c r="C1071" s="2"/>
      <c r="D1071" s="1"/>
      <c r="E1071" s="8"/>
      <c r="F1071" s="14"/>
      <c r="G1071" s="14"/>
      <c r="H1071" s="18"/>
      <c r="I1071" s="19"/>
      <c r="J1071" s="5"/>
      <c r="L1071" s="1"/>
    </row>
    <row r="1072" spans="1:12" x14ac:dyDescent="0.25">
      <c r="A1072" s="1"/>
      <c r="B1072" s="4"/>
      <c r="C1072" s="2"/>
      <c r="D1072" s="1"/>
      <c r="E1072" s="8"/>
      <c r="F1072" s="14"/>
      <c r="G1072" s="14"/>
      <c r="H1072" s="18"/>
      <c r="I1072" s="19"/>
      <c r="J1072" s="5"/>
      <c r="L1072" s="1"/>
    </row>
    <row r="1073" spans="1:12" x14ac:dyDescent="0.25">
      <c r="A1073" s="1"/>
      <c r="B1073" s="4"/>
      <c r="C1073" s="2"/>
      <c r="D1073" s="1"/>
      <c r="E1073" s="8"/>
      <c r="F1073" s="14"/>
      <c r="G1073" s="14"/>
      <c r="H1073" s="18"/>
      <c r="I1073" s="19"/>
      <c r="J1073" s="5"/>
      <c r="L1073" s="1"/>
    </row>
    <row r="1074" spans="1:12" x14ac:dyDescent="0.25">
      <c r="A1074" s="1"/>
      <c r="B1074" s="4"/>
      <c r="C1074" s="2"/>
      <c r="D1074" s="1"/>
      <c r="E1074" s="8"/>
      <c r="F1074" s="14"/>
      <c r="G1074" s="14"/>
      <c r="H1074" s="18"/>
      <c r="I1074" s="19"/>
      <c r="J1074" s="5"/>
      <c r="L1074" s="1"/>
    </row>
    <row r="1075" spans="1:12" x14ac:dyDescent="0.25">
      <c r="A1075" s="1"/>
      <c r="B1075" s="4"/>
      <c r="C1075" s="2"/>
      <c r="D1075" s="1"/>
      <c r="E1075" s="8"/>
      <c r="F1075" s="14"/>
      <c r="G1075" s="14"/>
      <c r="H1075" s="18"/>
      <c r="I1075" s="19"/>
      <c r="J1075" s="5"/>
      <c r="L1075" s="1"/>
    </row>
    <row r="1076" spans="1:12" x14ac:dyDescent="0.25">
      <c r="A1076" s="1"/>
      <c r="B1076" s="4"/>
      <c r="C1076" s="2"/>
      <c r="D1076" s="1"/>
      <c r="E1076" s="8"/>
      <c r="F1076" s="14"/>
      <c r="G1076" s="14"/>
      <c r="H1076" s="18"/>
      <c r="I1076" s="19"/>
      <c r="J1076" s="5"/>
      <c r="L1076" s="1"/>
    </row>
    <row r="1077" spans="1:12" x14ac:dyDescent="0.25">
      <c r="A1077" s="1"/>
      <c r="B1077" s="4"/>
      <c r="C1077" s="2"/>
      <c r="D1077" s="1"/>
      <c r="E1077" s="8"/>
      <c r="F1077" s="14"/>
      <c r="G1077" s="14"/>
      <c r="H1077" s="18"/>
      <c r="I1077" s="19"/>
      <c r="J1077" s="5"/>
      <c r="L1077" s="1"/>
    </row>
    <row r="1078" spans="1:12" x14ac:dyDescent="0.25">
      <c r="A1078" s="1"/>
      <c r="B1078" s="4"/>
      <c r="C1078" s="2"/>
      <c r="D1078" s="1"/>
      <c r="E1078" s="8"/>
      <c r="F1078" s="14"/>
      <c r="G1078" s="14"/>
      <c r="H1078" s="18"/>
      <c r="I1078" s="19"/>
      <c r="J1078" s="5"/>
      <c r="L1078" s="1"/>
    </row>
    <row r="1079" spans="1:12" x14ac:dyDescent="0.25">
      <c r="A1079" s="1"/>
      <c r="B1079" s="4"/>
      <c r="C1079" s="2"/>
      <c r="D1079" s="1"/>
      <c r="E1079" s="8"/>
      <c r="F1079" s="14"/>
      <c r="G1079" s="14"/>
      <c r="H1079" s="18"/>
      <c r="I1079" s="19"/>
      <c r="J1079" s="5"/>
      <c r="L1079" s="1"/>
    </row>
    <row r="1080" spans="1:12" x14ac:dyDescent="0.25">
      <c r="A1080" s="1"/>
      <c r="B1080" s="4"/>
      <c r="C1080" s="2"/>
      <c r="D1080" s="1"/>
      <c r="E1080" s="8"/>
      <c r="F1080" s="14"/>
      <c r="G1080" s="14"/>
      <c r="H1080" s="18"/>
      <c r="I1080" s="19"/>
      <c r="J1080" s="5"/>
      <c r="L1080" s="1"/>
    </row>
    <row r="1081" spans="1:12" x14ac:dyDescent="0.25">
      <c r="A1081" s="1"/>
      <c r="B1081" s="4"/>
      <c r="C1081" s="2"/>
      <c r="D1081" s="1"/>
      <c r="E1081" s="8"/>
      <c r="F1081" s="14"/>
      <c r="G1081" s="14"/>
      <c r="H1081" s="18"/>
      <c r="I1081" s="19"/>
      <c r="J1081" s="5"/>
      <c r="L1081" s="1"/>
    </row>
    <row r="1082" spans="1:12" x14ac:dyDescent="0.25">
      <c r="A1082" s="1"/>
      <c r="B1082" s="4"/>
      <c r="C1082" s="2"/>
      <c r="D1082" s="1"/>
      <c r="E1082" s="8"/>
      <c r="F1082" s="14"/>
      <c r="G1082" s="14"/>
      <c r="H1082" s="18"/>
      <c r="I1082" s="19"/>
      <c r="J1082" s="5"/>
      <c r="L1082" s="1"/>
    </row>
    <row r="1083" spans="1:12" x14ac:dyDescent="0.25">
      <c r="A1083" s="1"/>
      <c r="B1083" s="4"/>
      <c r="C1083" s="2"/>
      <c r="D1083" s="1"/>
      <c r="E1083" s="8"/>
      <c r="F1083" s="14"/>
      <c r="G1083" s="14"/>
      <c r="H1083" s="18"/>
      <c r="I1083" s="19"/>
      <c r="J1083" s="5"/>
      <c r="L1083" s="1"/>
    </row>
    <row r="1084" spans="1:12" x14ac:dyDescent="0.25">
      <c r="A1084" s="1"/>
      <c r="B1084" s="4"/>
      <c r="C1084" s="2"/>
      <c r="D1084" s="1"/>
      <c r="E1084" s="8"/>
      <c r="F1084" s="14"/>
      <c r="G1084" s="14"/>
      <c r="H1084" s="18"/>
      <c r="I1084" s="19"/>
      <c r="J1084" s="5"/>
      <c r="L1084" s="1"/>
    </row>
    <row r="1085" spans="1:12" x14ac:dyDescent="0.25">
      <c r="A1085" s="1"/>
      <c r="B1085" s="4"/>
      <c r="C1085" s="2"/>
      <c r="D1085" s="1"/>
      <c r="E1085" s="8"/>
      <c r="F1085" s="14"/>
      <c r="G1085" s="14"/>
      <c r="H1085" s="18"/>
      <c r="I1085" s="19"/>
      <c r="J1085" s="5"/>
      <c r="L1085" s="1"/>
    </row>
    <row r="1086" spans="1:12" x14ac:dyDescent="0.25">
      <c r="A1086" s="1"/>
      <c r="B1086" s="4"/>
      <c r="C1086" s="2"/>
      <c r="D1086" s="1"/>
      <c r="E1086" s="8"/>
      <c r="F1086" s="14"/>
      <c r="G1086" s="14"/>
      <c r="H1086" s="18"/>
      <c r="I1086" s="19"/>
      <c r="J1086" s="5"/>
      <c r="L1086" s="1"/>
    </row>
    <row r="1087" spans="1:12" x14ac:dyDescent="0.25">
      <c r="A1087" s="1"/>
      <c r="B1087" s="4"/>
      <c r="C1087" s="2"/>
      <c r="D1087" s="1"/>
      <c r="E1087" s="8"/>
      <c r="F1087" s="14"/>
      <c r="G1087" s="14"/>
      <c r="H1087" s="18"/>
      <c r="I1087" s="19"/>
      <c r="J1087" s="5"/>
      <c r="L1087" s="1"/>
    </row>
    <row r="1088" spans="1:12" x14ac:dyDescent="0.25">
      <c r="A1088" s="1"/>
      <c r="B1088" s="4"/>
      <c r="C1088" s="2"/>
      <c r="D1088" s="1"/>
      <c r="E1088" s="8"/>
      <c r="F1088" s="14"/>
      <c r="G1088" s="14"/>
      <c r="H1088" s="18"/>
      <c r="I1088" s="19"/>
      <c r="J1088" s="5"/>
      <c r="L1088" s="1"/>
    </row>
    <row r="1089" spans="1:12" x14ac:dyDescent="0.25">
      <c r="A1089" s="1"/>
      <c r="B1089" s="4"/>
      <c r="C1089" s="2"/>
      <c r="D1089" s="1"/>
      <c r="E1089" s="8"/>
      <c r="F1089" s="14"/>
      <c r="G1089" s="14"/>
      <c r="H1089" s="18"/>
      <c r="I1089" s="19"/>
      <c r="J1089" s="5"/>
      <c r="L1089" s="1"/>
    </row>
    <row r="1090" spans="1:12" x14ac:dyDescent="0.25">
      <c r="A1090" s="1"/>
      <c r="B1090" s="4"/>
      <c r="C1090" s="2"/>
      <c r="D1090" s="1"/>
      <c r="E1090" s="8"/>
      <c r="F1090" s="14"/>
      <c r="G1090" s="14"/>
      <c r="H1090" s="18"/>
      <c r="I1090" s="19"/>
      <c r="J1090" s="5"/>
      <c r="L1090" s="1"/>
    </row>
    <row r="1091" spans="1:12" x14ac:dyDescent="0.25">
      <c r="A1091" s="1"/>
      <c r="B1091" s="4"/>
      <c r="C1091" s="2"/>
      <c r="D1091" s="1"/>
      <c r="E1091" s="8"/>
      <c r="F1091" s="14"/>
      <c r="G1091" s="14"/>
      <c r="H1091" s="18"/>
      <c r="I1091" s="19"/>
      <c r="J1091" s="5"/>
      <c r="L1091" s="1"/>
    </row>
    <row r="1092" spans="1:12" x14ac:dyDescent="0.25">
      <c r="A1092" s="1"/>
      <c r="B1092" s="4"/>
      <c r="C1092" s="2"/>
      <c r="D1092" s="1"/>
      <c r="E1092" s="8"/>
      <c r="F1092" s="14"/>
      <c r="G1092" s="14"/>
      <c r="H1092" s="18"/>
      <c r="I1092" s="19"/>
      <c r="J1092" s="5"/>
      <c r="L1092" s="1"/>
    </row>
    <row r="1093" spans="1:12" x14ac:dyDescent="0.25">
      <c r="A1093" s="1"/>
      <c r="B1093" s="4"/>
      <c r="C1093" s="2"/>
      <c r="D1093" s="1"/>
      <c r="E1093" s="8"/>
      <c r="F1093" s="14"/>
      <c r="G1093" s="14"/>
      <c r="H1093" s="18"/>
      <c r="I1093" s="19"/>
      <c r="J1093" s="5"/>
      <c r="L1093" s="1"/>
    </row>
    <row r="1094" spans="1:12" x14ac:dyDescent="0.25">
      <c r="A1094" s="1"/>
      <c r="B1094" s="4"/>
      <c r="C1094" s="2"/>
      <c r="D1094" s="1"/>
      <c r="E1094" s="8"/>
      <c r="F1094" s="14"/>
      <c r="G1094" s="14"/>
      <c r="H1094" s="18"/>
      <c r="I1094" s="19"/>
      <c r="J1094" s="5"/>
      <c r="L1094" s="1"/>
    </row>
    <row r="1095" spans="1:12" x14ac:dyDescent="0.25">
      <c r="A1095" s="1"/>
      <c r="B1095" s="4"/>
      <c r="C1095" s="2"/>
      <c r="D1095" s="1"/>
      <c r="E1095" s="8"/>
      <c r="F1095" s="14"/>
      <c r="G1095" s="14"/>
      <c r="H1095" s="18"/>
      <c r="I1095" s="19"/>
      <c r="J1095" s="5"/>
      <c r="L1095" s="1"/>
    </row>
    <row r="1096" spans="1:12" x14ac:dyDescent="0.25">
      <c r="A1096" s="1"/>
      <c r="B1096" s="4"/>
      <c r="C1096" s="2"/>
      <c r="D1096" s="1"/>
      <c r="E1096" s="8"/>
      <c r="F1096" s="14"/>
      <c r="G1096" s="14"/>
      <c r="H1096" s="18"/>
      <c r="I1096" s="19"/>
      <c r="J1096" s="5"/>
      <c r="L1096" s="1"/>
    </row>
    <row r="1097" spans="1:12" x14ac:dyDescent="0.25">
      <c r="A1097" s="1"/>
      <c r="B1097" s="4"/>
      <c r="C1097" s="2"/>
      <c r="D1097" s="1"/>
      <c r="E1097" s="8"/>
      <c r="F1097" s="14"/>
      <c r="G1097" s="14"/>
      <c r="H1097" s="18"/>
      <c r="I1097" s="19"/>
      <c r="J1097" s="5"/>
      <c r="L1097" s="1"/>
    </row>
    <row r="1098" spans="1:12" x14ac:dyDescent="0.25">
      <c r="A1098" s="1"/>
      <c r="B1098" s="4"/>
      <c r="C1098" s="2"/>
      <c r="D1098" s="1"/>
      <c r="E1098" s="8"/>
      <c r="F1098" s="14"/>
      <c r="G1098" s="14"/>
      <c r="H1098" s="18"/>
      <c r="I1098" s="19"/>
      <c r="J1098" s="5"/>
      <c r="L1098" s="1"/>
    </row>
    <row r="1099" spans="1:12" x14ac:dyDescent="0.25">
      <c r="A1099" s="1"/>
      <c r="B1099" s="4"/>
      <c r="C1099" s="2"/>
      <c r="D1099" s="1"/>
      <c r="E1099" s="8"/>
      <c r="F1099" s="14"/>
      <c r="G1099" s="14"/>
      <c r="H1099" s="18"/>
      <c r="I1099" s="19"/>
      <c r="J1099" s="5"/>
      <c r="L1099" s="1"/>
    </row>
    <row r="1100" spans="1:12" x14ac:dyDescent="0.25">
      <c r="A1100" s="1"/>
      <c r="B1100" s="4"/>
      <c r="C1100" s="2"/>
      <c r="D1100" s="1"/>
      <c r="E1100" s="8"/>
      <c r="F1100" s="14"/>
      <c r="G1100" s="14"/>
      <c r="H1100" s="18"/>
      <c r="I1100" s="19"/>
      <c r="J1100" s="5"/>
      <c r="L1100" s="1"/>
    </row>
    <row r="1101" spans="1:12" x14ac:dyDescent="0.25">
      <c r="A1101" s="1"/>
      <c r="B1101" s="4"/>
      <c r="C1101" s="2"/>
      <c r="D1101" s="1"/>
      <c r="E1101" s="8"/>
      <c r="F1101" s="14"/>
      <c r="G1101" s="14"/>
      <c r="H1101" s="18"/>
      <c r="I1101" s="19"/>
      <c r="J1101" s="5"/>
      <c r="L1101" s="1"/>
    </row>
    <row r="1102" spans="1:12" x14ac:dyDescent="0.25">
      <c r="A1102" s="1"/>
      <c r="B1102" s="4"/>
      <c r="C1102" s="2"/>
      <c r="D1102" s="1"/>
      <c r="E1102" s="8"/>
      <c r="F1102" s="14"/>
      <c r="G1102" s="14"/>
      <c r="H1102" s="18"/>
      <c r="I1102" s="19"/>
      <c r="J1102" s="5"/>
      <c r="L1102" s="1"/>
    </row>
    <row r="1103" spans="1:12" x14ac:dyDescent="0.25">
      <c r="A1103" s="1"/>
      <c r="B1103" s="4"/>
      <c r="C1103" s="2"/>
      <c r="D1103" s="1"/>
      <c r="E1103" s="8"/>
      <c r="F1103" s="14"/>
      <c r="G1103" s="14"/>
      <c r="H1103" s="18"/>
      <c r="I1103" s="19"/>
      <c r="J1103" s="5"/>
      <c r="L1103" s="1"/>
    </row>
    <row r="1104" spans="1:12" x14ac:dyDescent="0.25">
      <c r="A1104" s="1"/>
      <c r="B1104" s="4"/>
      <c r="C1104" s="2"/>
      <c r="D1104" s="1"/>
      <c r="E1104" s="8"/>
      <c r="F1104" s="14"/>
      <c r="G1104" s="14"/>
      <c r="H1104" s="18"/>
      <c r="I1104" s="19"/>
      <c r="J1104" s="5"/>
      <c r="L1104" s="1"/>
    </row>
    <row r="1105" spans="1:12" x14ac:dyDescent="0.25">
      <c r="A1105" s="1"/>
      <c r="B1105" s="4"/>
      <c r="C1105" s="2"/>
      <c r="D1105" s="1"/>
      <c r="E1105" s="8"/>
      <c r="F1105" s="14"/>
      <c r="G1105" s="14"/>
      <c r="H1105" s="18"/>
      <c r="I1105" s="19"/>
      <c r="J1105" s="5"/>
      <c r="L1105" s="1"/>
    </row>
    <row r="1106" spans="1:12" x14ac:dyDescent="0.25">
      <c r="A1106" s="1"/>
      <c r="B1106" s="4"/>
      <c r="C1106" s="2"/>
      <c r="D1106" s="1"/>
      <c r="E1106" s="8"/>
      <c r="F1106" s="14"/>
      <c r="G1106" s="14"/>
      <c r="H1106" s="18"/>
      <c r="I1106" s="19"/>
      <c r="J1106" s="5"/>
      <c r="L1106" s="1"/>
    </row>
    <row r="1107" spans="1:12" x14ac:dyDescent="0.25">
      <c r="A1107" s="1"/>
      <c r="B1107" s="4"/>
      <c r="C1107" s="2"/>
      <c r="D1107" s="1"/>
      <c r="E1107" s="8"/>
      <c r="F1107" s="14"/>
      <c r="G1107" s="14"/>
      <c r="H1107" s="18"/>
      <c r="I1107" s="19"/>
      <c r="J1107" s="5"/>
      <c r="L1107" s="1"/>
    </row>
    <row r="1108" spans="1:12" x14ac:dyDescent="0.25">
      <c r="A1108" s="1"/>
      <c r="B1108" s="4"/>
      <c r="C1108" s="2"/>
      <c r="D1108" s="1"/>
      <c r="E1108" s="8"/>
      <c r="F1108" s="14"/>
      <c r="G1108" s="14"/>
      <c r="H1108" s="18"/>
      <c r="I1108" s="19"/>
      <c r="J1108" s="5"/>
      <c r="L1108" s="1"/>
    </row>
    <row r="1109" spans="1:12" x14ac:dyDescent="0.25">
      <c r="A1109" s="1"/>
      <c r="B1109" s="4"/>
      <c r="C1109" s="2"/>
      <c r="D1109" s="1"/>
      <c r="E1109" s="8"/>
      <c r="F1109" s="14"/>
      <c r="G1109" s="14"/>
      <c r="H1109" s="18"/>
      <c r="I1109" s="19"/>
      <c r="J1109" s="5"/>
      <c r="L1109" s="1"/>
    </row>
    <row r="1110" spans="1:12" x14ac:dyDescent="0.25">
      <c r="A1110" s="1"/>
      <c r="B1110" s="4"/>
      <c r="C1110" s="2"/>
      <c r="D1110" s="1"/>
      <c r="E1110" s="8"/>
      <c r="F1110" s="14"/>
      <c r="G1110" s="14"/>
      <c r="H1110" s="18"/>
      <c r="I1110" s="19"/>
      <c r="J1110" s="5"/>
      <c r="L1110" s="1"/>
    </row>
    <row r="1111" spans="1:12" x14ac:dyDescent="0.25">
      <c r="A1111" s="1"/>
      <c r="B1111" s="4"/>
      <c r="C1111" s="2"/>
      <c r="D1111" s="1"/>
      <c r="E1111" s="8"/>
      <c r="F1111" s="14"/>
      <c r="G1111" s="14"/>
      <c r="H1111" s="18"/>
      <c r="I1111" s="19"/>
      <c r="J1111" s="5"/>
      <c r="L1111" s="1"/>
    </row>
    <row r="1112" spans="1:12" x14ac:dyDescent="0.25">
      <c r="A1112" s="1"/>
      <c r="B1112" s="4"/>
      <c r="C1112" s="2"/>
      <c r="D1112" s="1"/>
      <c r="E1112" s="8"/>
      <c r="F1112" s="14"/>
      <c r="G1112" s="14"/>
      <c r="H1112" s="18"/>
      <c r="I1112" s="19"/>
      <c r="J1112" s="5"/>
      <c r="L1112" s="1"/>
    </row>
    <row r="1113" spans="1:12" x14ac:dyDescent="0.25">
      <c r="A1113" s="1"/>
      <c r="B1113" s="4"/>
      <c r="C1113" s="2"/>
      <c r="D1113" s="1"/>
      <c r="E1113" s="8"/>
      <c r="F1113" s="14"/>
      <c r="G1113" s="14"/>
      <c r="H1113" s="18"/>
      <c r="I1113" s="19"/>
      <c r="J1113" s="5"/>
      <c r="L1113" s="1"/>
    </row>
    <row r="1114" spans="1:12" x14ac:dyDescent="0.25">
      <c r="A1114" s="1"/>
      <c r="B1114" s="4"/>
      <c r="C1114" s="2"/>
      <c r="D1114" s="1"/>
      <c r="E1114" s="8"/>
      <c r="F1114" s="14"/>
      <c r="G1114" s="14"/>
      <c r="H1114" s="18"/>
      <c r="I1114" s="19"/>
      <c r="J1114" s="5"/>
      <c r="L1114" s="1"/>
    </row>
    <row r="1115" spans="1:12" x14ac:dyDescent="0.25">
      <c r="A1115" s="1"/>
      <c r="B1115" s="4"/>
      <c r="C1115" s="2"/>
      <c r="D1115" s="1"/>
      <c r="E1115" s="8"/>
      <c r="F1115" s="14"/>
      <c r="G1115" s="14"/>
      <c r="H1115" s="18"/>
      <c r="I1115" s="19"/>
      <c r="J1115" s="5"/>
      <c r="L1115" s="1"/>
    </row>
    <row r="1116" spans="1:12" x14ac:dyDescent="0.25">
      <c r="A1116" s="1"/>
      <c r="B1116" s="4"/>
      <c r="C1116" s="2"/>
      <c r="D1116" s="1"/>
      <c r="E1116" s="8"/>
      <c r="F1116" s="14"/>
      <c r="G1116" s="14"/>
      <c r="H1116" s="18"/>
      <c r="I1116" s="19"/>
      <c r="J1116" s="5"/>
      <c r="L1116" s="1"/>
    </row>
    <row r="1117" spans="1:12" x14ac:dyDescent="0.25">
      <c r="A1117" s="1"/>
      <c r="B1117" s="4"/>
      <c r="C1117" s="2"/>
      <c r="D1117" s="1"/>
      <c r="E1117" s="8"/>
      <c r="F1117" s="14"/>
      <c r="G1117" s="14"/>
      <c r="H1117" s="18"/>
      <c r="I1117" s="19"/>
      <c r="J1117" s="5"/>
      <c r="L1117" s="1"/>
    </row>
    <row r="1118" spans="1:12" x14ac:dyDescent="0.25">
      <c r="A1118" s="1"/>
      <c r="B1118" s="4"/>
      <c r="C1118" s="2"/>
      <c r="D1118" s="1"/>
      <c r="E1118" s="8"/>
      <c r="F1118" s="14"/>
      <c r="G1118" s="14"/>
      <c r="H1118" s="18"/>
      <c r="I1118" s="19"/>
      <c r="J1118" s="5"/>
      <c r="L1118" s="1"/>
    </row>
    <row r="1119" spans="1:12" x14ac:dyDescent="0.25">
      <c r="A1119" s="1"/>
      <c r="B1119" s="4"/>
      <c r="C1119" s="2"/>
      <c r="D1119" s="1"/>
      <c r="E1119" s="8"/>
      <c r="F1119" s="14"/>
      <c r="G1119" s="14"/>
      <c r="H1119" s="18"/>
      <c r="I1119" s="19"/>
      <c r="J1119" s="5"/>
      <c r="L1119" s="1"/>
    </row>
    <row r="1120" spans="1:12" x14ac:dyDescent="0.25">
      <c r="A1120" s="1"/>
      <c r="B1120" s="4"/>
      <c r="C1120" s="2"/>
      <c r="D1120" s="1"/>
      <c r="E1120" s="8"/>
      <c r="F1120" s="14"/>
      <c r="G1120" s="14"/>
      <c r="H1120" s="18"/>
      <c r="I1120" s="19"/>
      <c r="J1120" s="5"/>
      <c r="L1120" s="1"/>
    </row>
    <row r="1121" spans="1:12" x14ac:dyDescent="0.25">
      <c r="A1121" s="1"/>
      <c r="B1121" s="4"/>
      <c r="C1121" s="2"/>
      <c r="D1121" s="1"/>
      <c r="E1121" s="8"/>
      <c r="F1121" s="14"/>
      <c r="G1121" s="14"/>
      <c r="H1121" s="18"/>
      <c r="I1121" s="19"/>
      <c r="J1121" s="5"/>
      <c r="L1121" s="1"/>
    </row>
    <row r="1122" spans="1:12" x14ac:dyDescent="0.25">
      <c r="A1122" s="1"/>
      <c r="B1122" s="4"/>
      <c r="C1122" s="2"/>
      <c r="D1122" s="1"/>
      <c r="E1122" s="8"/>
      <c r="F1122" s="14"/>
      <c r="G1122" s="14"/>
      <c r="H1122" s="18"/>
      <c r="I1122" s="19"/>
      <c r="J1122" s="5"/>
      <c r="L1122" s="1"/>
    </row>
    <row r="1123" spans="1:12" x14ac:dyDescent="0.25">
      <c r="A1123" s="1"/>
      <c r="B1123" s="4"/>
      <c r="C1123" s="2"/>
      <c r="D1123" s="1"/>
      <c r="E1123" s="8"/>
      <c r="F1123" s="14"/>
      <c r="G1123" s="14"/>
      <c r="H1123" s="18"/>
      <c r="I1123" s="19"/>
      <c r="J1123" s="5"/>
      <c r="L1123" s="1"/>
    </row>
    <row r="1124" spans="1:12" x14ac:dyDescent="0.25">
      <c r="A1124" s="1"/>
      <c r="B1124" s="4"/>
      <c r="C1124" s="2"/>
      <c r="D1124" s="1"/>
      <c r="E1124" s="8"/>
      <c r="F1124" s="14"/>
      <c r="G1124" s="14"/>
      <c r="H1124" s="18"/>
      <c r="I1124" s="19"/>
      <c r="J1124" s="5"/>
      <c r="L1124" s="1"/>
    </row>
    <row r="1125" spans="1:12" x14ac:dyDescent="0.25">
      <c r="A1125" s="1"/>
      <c r="B1125" s="4"/>
      <c r="C1125" s="2"/>
      <c r="D1125" s="1"/>
      <c r="E1125" s="8"/>
      <c r="F1125" s="14"/>
      <c r="G1125" s="14"/>
      <c r="H1125" s="18"/>
      <c r="I1125" s="19"/>
      <c r="J1125" s="5"/>
      <c r="L1125" s="1"/>
    </row>
    <row r="1126" spans="1:12" x14ac:dyDescent="0.25">
      <c r="A1126" s="1"/>
      <c r="B1126" s="4"/>
      <c r="C1126" s="2"/>
      <c r="D1126" s="1"/>
      <c r="E1126" s="8"/>
      <c r="F1126" s="14"/>
      <c r="G1126" s="14"/>
      <c r="H1126" s="18"/>
      <c r="I1126" s="19"/>
      <c r="J1126" s="5"/>
      <c r="L1126" s="1"/>
    </row>
    <row r="1127" spans="1:12" x14ac:dyDescent="0.25">
      <c r="A1127" s="1"/>
      <c r="B1127" s="4"/>
      <c r="C1127" s="2"/>
      <c r="D1127" s="1"/>
      <c r="E1127" s="8"/>
      <c r="F1127" s="14"/>
      <c r="G1127" s="14"/>
      <c r="H1127" s="18"/>
      <c r="I1127" s="19"/>
      <c r="J1127" s="5"/>
      <c r="L1127" s="1"/>
    </row>
    <row r="1128" spans="1:12" x14ac:dyDescent="0.25">
      <c r="A1128" s="1"/>
      <c r="B1128" s="4"/>
      <c r="C1128" s="2"/>
      <c r="D1128" s="1"/>
      <c r="E1128" s="8"/>
      <c r="F1128" s="14"/>
      <c r="G1128" s="14"/>
      <c r="H1128" s="18"/>
      <c r="I1128" s="19"/>
      <c r="J1128" s="5"/>
      <c r="L1128" s="1"/>
    </row>
    <row r="1129" spans="1:12" x14ac:dyDescent="0.25">
      <c r="A1129" s="1"/>
      <c r="B1129" s="4"/>
      <c r="C1129" s="2"/>
      <c r="D1129" s="1"/>
      <c r="E1129" s="8"/>
      <c r="F1129" s="14"/>
      <c r="G1129" s="14"/>
      <c r="H1129" s="18"/>
      <c r="I1129" s="19"/>
      <c r="J1129" s="5"/>
      <c r="L1129" s="1"/>
    </row>
    <row r="1130" spans="1:12" x14ac:dyDescent="0.25">
      <c r="A1130" s="1"/>
      <c r="B1130" s="4"/>
      <c r="C1130" s="2"/>
      <c r="D1130" s="1"/>
      <c r="E1130" s="8"/>
      <c r="F1130" s="14"/>
      <c r="G1130" s="14"/>
      <c r="H1130" s="18"/>
      <c r="I1130" s="19"/>
      <c r="J1130" s="5"/>
      <c r="L1130" s="1"/>
    </row>
    <row r="1131" spans="1:12" x14ac:dyDescent="0.25">
      <c r="A1131" s="1"/>
      <c r="B1131" s="4"/>
      <c r="C1131" s="2"/>
      <c r="D1131" s="1"/>
      <c r="E1131" s="8"/>
      <c r="F1131" s="14"/>
      <c r="G1131" s="14"/>
      <c r="H1131" s="18"/>
      <c r="I1131" s="19"/>
      <c r="J1131" s="5"/>
      <c r="L1131" s="1"/>
    </row>
    <row r="1132" spans="1:12" x14ac:dyDescent="0.25">
      <c r="A1132" s="1"/>
      <c r="B1132" s="4"/>
      <c r="C1132" s="2"/>
      <c r="D1132" s="1"/>
      <c r="E1132" s="8"/>
      <c r="F1132" s="14"/>
      <c r="G1132" s="14"/>
      <c r="H1132" s="18"/>
      <c r="I1132" s="19"/>
      <c r="J1132" s="5"/>
      <c r="L1132" s="1"/>
    </row>
    <row r="1133" spans="1:12" x14ac:dyDescent="0.25">
      <c r="A1133" s="1"/>
      <c r="B1133" s="4"/>
      <c r="C1133" s="2"/>
      <c r="D1133" s="1"/>
      <c r="E1133" s="8"/>
      <c r="F1133" s="14"/>
      <c r="G1133" s="14"/>
      <c r="H1133" s="18"/>
      <c r="I1133" s="19"/>
      <c r="J1133" s="5"/>
      <c r="L1133" s="1"/>
    </row>
    <row r="1134" spans="1:12" x14ac:dyDescent="0.25">
      <c r="A1134" s="1"/>
      <c r="B1134" s="4"/>
      <c r="C1134" s="2"/>
      <c r="D1134" s="1"/>
      <c r="E1134" s="8"/>
      <c r="F1134" s="14"/>
      <c r="G1134" s="14"/>
      <c r="H1134" s="18"/>
      <c r="I1134" s="19"/>
      <c r="J1134" s="5"/>
      <c r="L1134" s="1"/>
    </row>
    <row r="1135" spans="1:12" x14ac:dyDescent="0.25">
      <c r="A1135" s="1"/>
      <c r="B1135" s="4"/>
      <c r="C1135" s="2"/>
      <c r="D1135" s="1"/>
      <c r="E1135" s="8"/>
      <c r="F1135" s="14"/>
      <c r="G1135" s="14"/>
      <c r="H1135" s="18"/>
      <c r="I1135" s="19"/>
      <c r="J1135" s="5"/>
      <c r="L1135" s="1"/>
    </row>
    <row r="1136" spans="1:12" x14ac:dyDescent="0.25">
      <c r="A1136" s="1"/>
      <c r="B1136" s="4"/>
      <c r="C1136" s="2"/>
      <c r="D1136" s="1"/>
      <c r="E1136" s="8"/>
      <c r="F1136" s="14"/>
      <c r="G1136" s="14"/>
      <c r="H1136" s="18"/>
      <c r="I1136" s="19"/>
      <c r="J1136" s="5"/>
      <c r="L1136" s="1"/>
    </row>
    <row r="1137" spans="1:12" x14ac:dyDescent="0.25">
      <c r="A1137" s="1"/>
      <c r="B1137" s="4"/>
      <c r="C1137" s="2"/>
      <c r="D1137" s="1"/>
      <c r="E1137" s="8"/>
      <c r="F1137" s="14"/>
      <c r="G1137" s="14"/>
      <c r="H1137" s="18"/>
      <c r="I1137" s="19"/>
      <c r="J1137" s="5"/>
      <c r="L1137" s="1"/>
    </row>
    <row r="1138" spans="1:12" x14ac:dyDescent="0.25">
      <c r="A1138" s="1"/>
      <c r="B1138" s="4"/>
      <c r="C1138" s="2"/>
      <c r="D1138" s="1"/>
      <c r="E1138" s="8"/>
      <c r="F1138" s="14"/>
      <c r="G1138" s="14"/>
      <c r="H1138" s="18"/>
      <c r="I1138" s="19"/>
      <c r="J1138" s="5"/>
      <c r="L1138" s="1"/>
    </row>
    <row r="1139" spans="1:12" x14ac:dyDescent="0.25">
      <c r="A1139" s="1"/>
      <c r="B1139" s="4"/>
      <c r="C1139" s="2"/>
      <c r="D1139" s="1"/>
      <c r="E1139" s="8"/>
      <c r="F1139" s="14"/>
      <c r="G1139" s="14"/>
      <c r="H1139" s="18"/>
      <c r="I1139" s="19"/>
      <c r="J1139" s="5"/>
      <c r="L1139" s="1"/>
    </row>
    <row r="1140" spans="1:12" x14ac:dyDescent="0.25">
      <c r="A1140" s="1"/>
      <c r="B1140" s="4"/>
      <c r="C1140" s="2"/>
      <c r="D1140" s="1"/>
      <c r="E1140" s="8"/>
      <c r="F1140" s="14"/>
      <c r="G1140" s="14"/>
      <c r="H1140" s="18"/>
      <c r="I1140" s="19"/>
      <c r="J1140" s="5"/>
      <c r="L1140" s="1"/>
    </row>
    <row r="1141" spans="1:12" x14ac:dyDescent="0.25">
      <c r="A1141" s="1"/>
      <c r="B1141" s="4"/>
      <c r="C1141" s="2"/>
      <c r="D1141" s="1"/>
      <c r="E1141" s="8"/>
      <c r="F1141" s="14"/>
      <c r="G1141" s="14"/>
      <c r="H1141" s="18"/>
      <c r="I1141" s="19"/>
      <c r="J1141" s="5"/>
      <c r="L1141" s="1"/>
    </row>
    <row r="1142" spans="1:12" x14ac:dyDescent="0.25">
      <c r="A1142" s="1"/>
      <c r="B1142" s="4"/>
      <c r="C1142" s="2"/>
      <c r="D1142" s="1"/>
      <c r="E1142" s="8"/>
      <c r="F1142" s="14"/>
      <c r="G1142" s="14"/>
      <c r="H1142" s="18"/>
      <c r="I1142" s="19"/>
      <c r="J1142" s="5"/>
      <c r="L1142" s="1"/>
    </row>
    <row r="1143" spans="1:12" x14ac:dyDescent="0.25">
      <c r="A1143" s="1"/>
      <c r="B1143" s="4"/>
      <c r="C1143" s="2"/>
      <c r="D1143" s="1"/>
      <c r="E1143" s="8"/>
      <c r="F1143" s="14"/>
      <c r="G1143" s="14"/>
      <c r="H1143" s="18"/>
      <c r="I1143" s="19"/>
      <c r="J1143" s="5"/>
      <c r="L1143" s="1"/>
    </row>
    <row r="1144" spans="1:12" x14ac:dyDescent="0.25">
      <c r="A1144" s="1"/>
      <c r="B1144" s="4"/>
      <c r="C1144" s="2"/>
      <c r="D1144" s="1"/>
      <c r="E1144" s="8"/>
      <c r="F1144" s="14"/>
      <c r="G1144" s="14"/>
      <c r="H1144" s="18"/>
      <c r="I1144" s="19"/>
      <c r="J1144" s="5"/>
      <c r="L1144" s="1"/>
    </row>
    <row r="1145" spans="1:12" x14ac:dyDescent="0.25">
      <c r="A1145" s="1"/>
      <c r="B1145" s="4"/>
      <c r="C1145" s="2"/>
      <c r="D1145" s="1"/>
      <c r="E1145" s="8"/>
      <c r="F1145" s="14"/>
      <c r="G1145" s="14"/>
      <c r="H1145" s="18"/>
      <c r="I1145" s="19"/>
      <c r="J1145" s="5"/>
      <c r="L1145" s="1"/>
    </row>
    <row r="1146" spans="1:12" x14ac:dyDescent="0.25">
      <c r="A1146" s="1"/>
      <c r="B1146" s="4"/>
      <c r="C1146" s="2"/>
      <c r="D1146" s="1"/>
      <c r="E1146" s="8"/>
      <c r="F1146" s="14"/>
      <c r="G1146" s="14"/>
      <c r="H1146" s="18"/>
      <c r="I1146" s="19"/>
      <c r="J1146" s="5"/>
      <c r="L1146" s="1"/>
    </row>
    <row r="1147" spans="1:12" x14ac:dyDescent="0.25">
      <c r="A1147" s="1"/>
      <c r="B1147" s="4"/>
      <c r="C1147" s="2"/>
      <c r="D1147" s="1"/>
      <c r="E1147" s="8"/>
      <c r="F1147" s="14"/>
      <c r="G1147" s="14"/>
      <c r="H1147" s="18"/>
      <c r="I1147" s="19"/>
      <c r="J1147" s="5"/>
      <c r="L1147" s="1"/>
    </row>
    <row r="1148" spans="1:12" x14ac:dyDescent="0.25">
      <c r="A1148" s="1"/>
      <c r="B1148" s="4"/>
      <c r="C1148" s="2"/>
      <c r="D1148" s="1"/>
      <c r="E1148" s="8"/>
      <c r="F1148" s="14"/>
      <c r="G1148" s="14"/>
      <c r="H1148" s="18"/>
      <c r="I1148" s="19"/>
      <c r="J1148" s="5"/>
      <c r="L1148" s="1"/>
    </row>
    <row r="1149" spans="1:12" x14ac:dyDescent="0.25">
      <c r="A1149" s="1"/>
      <c r="B1149" s="4"/>
      <c r="C1149" s="2"/>
      <c r="D1149" s="1"/>
      <c r="E1149" s="8"/>
      <c r="F1149" s="14"/>
      <c r="G1149" s="14"/>
      <c r="H1149" s="18"/>
      <c r="I1149" s="19"/>
      <c r="J1149" s="5"/>
      <c r="L1149" s="1"/>
    </row>
    <row r="1150" spans="1:12" x14ac:dyDescent="0.25">
      <c r="A1150" s="1"/>
      <c r="B1150" s="4"/>
      <c r="C1150" s="2"/>
      <c r="D1150" s="1"/>
      <c r="E1150" s="8"/>
      <c r="F1150" s="14"/>
      <c r="G1150" s="14"/>
      <c r="H1150" s="18"/>
      <c r="I1150" s="19"/>
      <c r="J1150" s="5"/>
      <c r="L1150" s="1"/>
    </row>
    <row r="1151" spans="1:12" x14ac:dyDescent="0.25">
      <c r="A1151" s="1"/>
      <c r="B1151" s="4"/>
      <c r="C1151" s="2"/>
      <c r="D1151" s="1"/>
      <c r="E1151" s="8"/>
      <c r="F1151" s="14"/>
      <c r="G1151" s="14"/>
      <c r="H1151" s="18"/>
      <c r="I1151" s="19"/>
      <c r="J1151" s="5"/>
      <c r="L1151" s="1"/>
    </row>
    <row r="1152" spans="1:12" x14ac:dyDescent="0.25">
      <c r="A1152" s="1"/>
      <c r="B1152" s="4"/>
      <c r="C1152" s="2"/>
      <c r="D1152" s="1"/>
      <c r="E1152" s="8"/>
      <c r="F1152" s="14"/>
      <c r="G1152" s="14"/>
      <c r="H1152" s="18"/>
      <c r="I1152" s="19"/>
      <c r="J1152" s="5"/>
      <c r="L1152" s="1"/>
    </row>
    <row r="1153" spans="1:12" x14ac:dyDescent="0.25">
      <c r="A1153" s="1"/>
      <c r="B1153" s="4"/>
      <c r="C1153" s="2"/>
      <c r="D1153" s="1"/>
      <c r="E1153" s="8"/>
      <c r="F1153" s="14"/>
      <c r="G1153" s="14"/>
      <c r="H1153" s="18"/>
      <c r="I1153" s="19"/>
      <c r="J1153" s="5"/>
      <c r="L1153" s="1"/>
    </row>
    <row r="1154" spans="1:12" x14ac:dyDescent="0.25">
      <c r="A1154" s="1"/>
      <c r="B1154" s="4"/>
      <c r="C1154" s="2"/>
      <c r="D1154" s="1"/>
      <c r="E1154" s="8"/>
      <c r="F1154" s="14"/>
      <c r="G1154" s="14"/>
      <c r="H1154" s="18"/>
      <c r="I1154" s="19"/>
      <c r="J1154" s="5"/>
      <c r="L1154" s="1"/>
    </row>
    <row r="1155" spans="1:12" x14ac:dyDescent="0.25">
      <c r="A1155" s="1"/>
      <c r="B1155" s="4"/>
      <c r="C1155" s="2"/>
      <c r="D1155" s="1"/>
      <c r="E1155" s="8"/>
      <c r="F1155" s="14"/>
      <c r="G1155" s="14"/>
      <c r="H1155" s="18"/>
      <c r="I1155" s="19"/>
      <c r="J1155" s="5"/>
      <c r="L1155" s="1"/>
    </row>
    <row r="1156" spans="1:12" x14ac:dyDescent="0.25">
      <c r="A1156" s="1"/>
      <c r="B1156" s="4"/>
      <c r="C1156" s="2"/>
      <c r="D1156" s="1"/>
      <c r="E1156" s="8"/>
      <c r="F1156" s="14"/>
      <c r="G1156" s="14"/>
      <c r="H1156" s="18"/>
      <c r="I1156" s="19"/>
      <c r="J1156" s="5"/>
      <c r="L1156" s="1"/>
    </row>
    <row r="1157" spans="1:12" x14ac:dyDescent="0.25">
      <c r="A1157" s="1"/>
      <c r="B1157" s="4"/>
      <c r="C1157" s="2"/>
      <c r="D1157" s="1"/>
      <c r="E1157" s="8"/>
      <c r="F1157" s="14"/>
      <c r="G1157" s="14"/>
      <c r="H1157" s="18"/>
      <c r="I1157" s="19"/>
      <c r="J1157" s="5"/>
      <c r="L1157" s="1"/>
    </row>
    <row r="1158" spans="1:12" x14ac:dyDescent="0.25">
      <c r="A1158" s="1"/>
      <c r="B1158" s="4"/>
      <c r="C1158" s="2"/>
      <c r="D1158" s="1"/>
      <c r="E1158" s="8"/>
      <c r="F1158" s="14"/>
      <c r="G1158" s="14"/>
      <c r="H1158" s="18"/>
      <c r="I1158" s="19"/>
      <c r="J1158" s="5"/>
      <c r="L1158" s="1"/>
    </row>
    <row r="1159" spans="1:12" x14ac:dyDescent="0.25">
      <c r="A1159" s="1"/>
      <c r="B1159" s="4"/>
      <c r="C1159" s="2"/>
      <c r="D1159" s="1"/>
      <c r="E1159" s="8"/>
      <c r="F1159" s="14"/>
      <c r="G1159" s="14"/>
      <c r="H1159" s="18"/>
      <c r="I1159" s="19"/>
      <c r="J1159" s="5"/>
      <c r="L1159" s="1"/>
    </row>
    <row r="1160" spans="1:12" x14ac:dyDescent="0.25">
      <c r="A1160" s="1"/>
      <c r="B1160" s="4"/>
      <c r="C1160" s="2"/>
      <c r="D1160" s="1"/>
      <c r="E1160" s="8"/>
      <c r="F1160" s="14"/>
      <c r="G1160" s="14"/>
      <c r="H1160" s="18"/>
      <c r="I1160" s="19"/>
      <c r="J1160" s="5"/>
      <c r="L1160" s="1"/>
    </row>
    <row r="1161" spans="1:12" x14ac:dyDescent="0.25">
      <c r="A1161" s="1"/>
      <c r="B1161" s="4"/>
      <c r="C1161" s="2"/>
      <c r="D1161" s="1"/>
      <c r="E1161" s="8"/>
      <c r="F1161" s="14"/>
      <c r="G1161" s="14"/>
      <c r="H1161" s="18"/>
      <c r="I1161" s="19"/>
      <c r="J1161" s="5"/>
      <c r="L1161" s="1"/>
    </row>
    <row r="1162" spans="1:12" x14ac:dyDescent="0.25">
      <c r="A1162" s="1"/>
      <c r="B1162" s="4"/>
      <c r="C1162" s="2"/>
      <c r="D1162" s="1"/>
      <c r="E1162" s="8"/>
      <c r="F1162" s="14"/>
      <c r="G1162" s="14"/>
      <c r="H1162" s="18"/>
      <c r="I1162" s="19"/>
      <c r="J1162" s="5"/>
      <c r="L1162" s="1"/>
    </row>
    <row r="1163" spans="1:12" x14ac:dyDescent="0.25">
      <c r="A1163" s="1"/>
      <c r="B1163" s="4"/>
      <c r="C1163" s="2"/>
      <c r="D1163" s="1"/>
      <c r="E1163" s="8"/>
      <c r="F1163" s="14"/>
      <c r="G1163" s="14"/>
      <c r="H1163" s="18"/>
      <c r="I1163" s="19"/>
      <c r="J1163" s="5"/>
      <c r="L1163" s="1"/>
    </row>
    <row r="1164" spans="1:12" x14ac:dyDescent="0.25">
      <c r="A1164" s="1"/>
      <c r="B1164" s="4"/>
      <c r="C1164" s="2"/>
      <c r="D1164" s="1"/>
      <c r="E1164" s="8"/>
      <c r="F1164" s="14"/>
      <c r="G1164" s="14"/>
      <c r="H1164" s="18"/>
      <c r="I1164" s="19"/>
      <c r="J1164" s="5"/>
      <c r="L1164" s="1"/>
    </row>
    <row r="1165" spans="1:12" x14ac:dyDescent="0.25">
      <c r="A1165" s="1"/>
      <c r="B1165" s="4"/>
      <c r="C1165" s="2"/>
      <c r="D1165" s="1"/>
      <c r="E1165" s="8"/>
      <c r="F1165" s="14"/>
      <c r="G1165" s="14"/>
      <c r="H1165" s="18"/>
      <c r="I1165" s="19"/>
      <c r="J1165" s="5"/>
      <c r="L1165" s="1"/>
    </row>
    <row r="1166" spans="1:12" x14ac:dyDescent="0.25">
      <c r="A1166" s="1"/>
      <c r="B1166" s="4"/>
      <c r="C1166" s="2"/>
      <c r="D1166" s="1"/>
      <c r="E1166" s="8"/>
      <c r="F1166" s="14"/>
      <c r="G1166" s="14"/>
      <c r="H1166" s="18"/>
      <c r="I1166" s="19"/>
      <c r="J1166" s="5"/>
      <c r="L1166" s="1"/>
    </row>
    <row r="1167" spans="1:12" x14ac:dyDescent="0.25">
      <c r="A1167" s="1"/>
      <c r="B1167" s="4"/>
      <c r="C1167" s="2"/>
      <c r="D1167" s="1"/>
      <c r="E1167" s="8"/>
      <c r="F1167" s="14"/>
      <c r="G1167" s="14"/>
      <c r="H1167" s="18"/>
      <c r="I1167" s="19"/>
      <c r="J1167" s="5"/>
      <c r="L1167" s="1"/>
    </row>
    <row r="1168" spans="1:12" x14ac:dyDescent="0.25">
      <c r="A1168" s="1"/>
      <c r="B1168" s="4"/>
      <c r="C1168" s="2"/>
      <c r="D1168" s="1"/>
      <c r="E1168" s="8"/>
      <c r="F1168" s="14"/>
      <c r="G1168" s="14"/>
      <c r="H1168" s="18"/>
      <c r="I1168" s="19"/>
      <c r="J1168" s="5"/>
      <c r="L1168" s="1"/>
    </row>
    <row r="1169" spans="1:12" x14ac:dyDescent="0.25">
      <c r="A1169" s="1"/>
      <c r="B1169" s="4"/>
      <c r="C1169" s="2"/>
      <c r="D1169" s="1"/>
      <c r="E1169" s="8"/>
      <c r="F1169" s="14"/>
      <c r="G1169" s="14"/>
      <c r="H1169" s="18"/>
      <c r="I1169" s="19"/>
      <c r="J1169" s="5"/>
      <c r="L1169" s="1"/>
    </row>
    <row r="1170" spans="1:12" x14ac:dyDescent="0.25">
      <c r="A1170" s="1"/>
      <c r="B1170" s="4"/>
      <c r="C1170" s="2"/>
      <c r="D1170" s="1"/>
      <c r="E1170" s="8"/>
      <c r="F1170" s="14"/>
      <c r="G1170" s="14"/>
      <c r="H1170" s="18"/>
      <c r="I1170" s="19"/>
      <c r="J1170" s="5"/>
      <c r="L1170" s="1"/>
    </row>
    <row r="1171" spans="1:12" x14ac:dyDescent="0.25">
      <c r="A1171" s="1"/>
      <c r="B1171" s="4"/>
      <c r="C1171" s="2"/>
      <c r="D1171" s="1"/>
      <c r="E1171" s="8"/>
      <c r="F1171" s="14"/>
      <c r="G1171" s="14"/>
      <c r="H1171" s="18"/>
      <c r="I1171" s="19"/>
      <c r="J1171" s="5"/>
      <c r="L1171" s="1"/>
    </row>
    <row r="1172" spans="1:12" x14ac:dyDescent="0.25">
      <c r="A1172" s="1"/>
      <c r="B1172" s="4"/>
      <c r="C1172" s="2"/>
      <c r="D1172" s="1"/>
      <c r="E1172" s="8"/>
      <c r="F1172" s="14"/>
      <c r="G1172" s="14"/>
      <c r="H1172" s="18"/>
      <c r="I1172" s="19"/>
      <c r="J1172" s="5"/>
      <c r="L1172" s="1"/>
    </row>
    <row r="1173" spans="1:12" x14ac:dyDescent="0.25">
      <c r="A1173" s="1"/>
      <c r="B1173" s="4"/>
      <c r="C1173" s="2"/>
      <c r="D1173" s="1"/>
      <c r="E1173" s="8"/>
      <c r="F1173" s="14"/>
      <c r="G1173" s="14"/>
      <c r="H1173" s="18"/>
      <c r="I1173" s="19"/>
      <c r="J1173" s="5"/>
      <c r="L1173" s="1"/>
    </row>
    <row r="1174" spans="1:12" x14ac:dyDescent="0.25">
      <c r="A1174" s="1"/>
      <c r="B1174" s="4"/>
      <c r="C1174" s="2"/>
      <c r="D1174" s="1"/>
      <c r="E1174" s="8"/>
      <c r="F1174" s="14"/>
      <c r="G1174" s="14"/>
      <c r="H1174" s="18"/>
      <c r="I1174" s="19"/>
      <c r="J1174" s="5"/>
      <c r="L1174" s="1"/>
    </row>
    <row r="1175" spans="1:12" x14ac:dyDescent="0.25">
      <c r="A1175" s="1"/>
      <c r="B1175" s="4"/>
      <c r="C1175" s="2"/>
      <c r="D1175" s="1"/>
      <c r="E1175" s="8"/>
      <c r="F1175" s="14"/>
      <c r="G1175" s="14"/>
      <c r="H1175" s="18"/>
      <c r="I1175" s="19"/>
      <c r="J1175" s="5"/>
      <c r="L1175" s="1"/>
    </row>
    <row r="1176" spans="1:12" x14ac:dyDescent="0.25">
      <c r="A1176" s="1"/>
      <c r="B1176" s="4"/>
      <c r="C1176" s="2"/>
      <c r="D1176" s="1"/>
      <c r="E1176" s="8"/>
      <c r="F1176" s="14"/>
      <c r="G1176" s="14"/>
      <c r="H1176" s="18"/>
      <c r="I1176" s="19"/>
      <c r="J1176" s="5"/>
      <c r="L1176" s="1"/>
    </row>
    <row r="1177" spans="1:12" x14ac:dyDescent="0.25">
      <c r="A1177" s="1"/>
      <c r="B1177" s="4"/>
      <c r="C1177" s="2"/>
      <c r="D1177" s="1"/>
      <c r="E1177" s="8"/>
      <c r="F1177" s="14"/>
      <c r="G1177" s="14"/>
      <c r="H1177" s="18"/>
      <c r="I1177" s="19"/>
      <c r="J1177" s="5"/>
      <c r="L1177" s="1"/>
    </row>
    <row r="1178" spans="1:12" x14ac:dyDescent="0.25">
      <c r="A1178" s="1"/>
      <c r="B1178" s="4"/>
      <c r="C1178" s="2"/>
      <c r="D1178" s="1"/>
      <c r="E1178" s="8"/>
      <c r="F1178" s="14"/>
      <c r="G1178" s="14"/>
      <c r="H1178" s="18"/>
      <c r="I1178" s="19"/>
      <c r="J1178" s="5"/>
      <c r="L1178" s="1"/>
    </row>
    <row r="1179" spans="1:12" x14ac:dyDescent="0.25">
      <c r="A1179" s="1"/>
      <c r="B1179" s="4"/>
      <c r="C1179" s="2"/>
      <c r="D1179" s="1"/>
      <c r="E1179" s="8"/>
      <c r="F1179" s="14"/>
      <c r="G1179" s="14"/>
      <c r="H1179" s="18"/>
      <c r="I1179" s="19"/>
      <c r="J1179" s="5"/>
      <c r="L1179" s="1"/>
    </row>
    <row r="1180" spans="1:12" x14ac:dyDescent="0.25">
      <c r="A1180" s="1"/>
      <c r="B1180" s="4"/>
      <c r="C1180" s="2"/>
      <c r="D1180" s="1"/>
      <c r="E1180" s="8"/>
      <c r="F1180" s="14"/>
      <c r="G1180" s="14"/>
      <c r="H1180" s="18"/>
      <c r="I1180" s="19"/>
      <c r="J1180" s="5"/>
      <c r="L1180" s="1"/>
    </row>
    <row r="1181" spans="1:12" x14ac:dyDescent="0.25">
      <c r="A1181" s="1"/>
      <c r="B1181" s="4"/>
      <c r="C1181" s="2"/>
      <c r="D1181" s="1"/>
      <c r="E1181" s="8"/>
      <c r="F1181" s="14"/>
      <c r="G1181" s="14"/>
      <c r="H1181" s="18"/>
      <c r="I1181" s="19"/>
      <c r="J1181" s="5"/>
      <c r="L1181" s="1"/>
    </row>
    <row r="1182" spans="1:12" x14ac:dyDescent="0.25">
      <c r="A1182" s="1"/>
      <c r="B1182" s="4"/>
      <c r="C1182" s="2"/>
      <c r="D1182" s="1"/>
      <c r="E1182" s="8"/>
      <c r="F1182" s="14"/>
      <c r="G1182" s="14"/>
      <c r="H1182" s="18"/>
      <c r="I1182" s="19"/>
      <c r="J1182" s="5"/>
      <c r="L1182" s="1"/>
    </row>
    <row r="1183" spans="1:12" x14ac:dyDescent="0.25">
      <c r="A1183" s="1"/>
      <c r="B1183" s="4"/>
      <c r="C1183" s="2"/>
      <c r="D1183" s="1"/>
      <c r="E1183" s="8"/>
      <c r="F1183" s="14"/>
      <c r="G1183" s="14"/>
      <c r="H1183" s="18"/>
      <c r="I1183" s="19"/>
      <c r="J1183" s="5"/>
      <c r="L1183" s="1"/>
    </row>
    <row r="1184" spans="1:12" x14ac:dyDescent="0.25">
      <c r="A1184" s="1"/>
      <c r="B1184" s="4"/>
      <c r="C1184" s="2"/>
      <c r="D1184" s="1"/>
      <c r="E1184" s="8"/>
      <c r="F1184" s="14"/>
      <c r="G1184" s="14"/>
      <c r="H1184" s="18"/>
      <c r="I1184" s="19"/>
      <c r="J1184" s="5"/>
      <c r="L1184" s="1"/>
    </row>
    <row r="1185" spans="1:12" x14ac:dyDescent="0.25">
      <c r="A1185" s="1"/>
      <c r="B1185" s="4"/>
      <c r="C1185" s="2"/>
      <c r="D1185" s="1"/>
      <c r="E1185" s="8"/>
      <c r="F1185" s="14"/>
      <c r="G1185" s="14"/>
      <c r="H1185" s="18"/>
      <c r="I1185" s="19"/>
      <c r="J1185" s="5"/>
      <c r="L1185" s="1"/>
    </row>
    <row r="1186" spans="1:12" x14ac:dyDescent="0.25">
      <c r="A1186" s="1"/>
      <c r="B1186" s="4"/>
      <c r="C1186" s="2"/>
      <c r="D1186" s="1"/>
      <c r="E1186" s="8"/>
      <c r="F1186" s="14"/>
      <c r="G1186" s="14"/>
      <c r="H1186" s="18"/>
      <c r="I1186" s="19"/>
      <c r="J1186" s="5"/>
      <c r="L1186" s="1"/>
    </row>
    <row r="1187" spans="1:12" x14ac:dyDescent="0.25">
      <c r="A1187" s="1"/>
      <c r="B1187" s="4"/>
      <c r="C1187" s="2"/>
      <c r="D1187" s="1"/>
      <c r="E1187" s="8"/>
      <c r="F1187" s="14"/>
      <c r="G1187" s="14"/>
      <c r="H1187" s="18"/>
      <c r="I1187" s="19"/>
      <c r="J1187" s="5"/>
      <c r="L1187" s="1"/>
    </row>
    <row r="1188" spans="1:12" x14ac:dyDescent="0.25">
      <c r="A1188" s="1"/>
      <c r="B1188" s="4"/>
      <c r="C1188" s="2"/>
      <c r="D1188" s="1"/>
      <c r="E1188" s="8"/>
      <c r="F1188" s="14"/>
      <c r="G1188" s="14"/>
      <c r="H1188" s="18"/>
      <c r="I1188" s="19"/>
      <c r="J1188" s="5"/>
      <c r="L1188" s="1"/>
    </row>
    <row r="1189" spans="1:12" x14ac:dyDescent="0.25">
      <c r="A1189" s="1"/>
      <c r="B1189" s="4"/>
      <c r="C1189" s="2"/>
      <c r="D1189" s="1"/>
      <c r="E1189" s="8"/>
      <c r="F1189" s="14"/>
      <c r="G1189" s="14"/>
      <c r="H1189" s="18"/>
      <c r="I1189" s="19"/>
      <c r="J1189" s="5"/>
      <c r="L1189" s="1"/>
    </row>
    <row r="1190" spans="1:12" x14ac:dyDescent="0.25">
      <c r="A1190" s="1"/>
      <c r="B1190" s="4"/>
      <c r="C1190" s="2"/>
      <c r="D1190" s="1"/>
      <c r="E1190" s="8"/>
      <c r="F1190" s="14"/>
      <c r="G1190" s="14"/>
      <c r="H1190" s="18"/>
      <c r="I1190" s="19"/>
      <c r="J1190" s="5"/>
      <c r="L1190" s="1"/>
    </row>
    <row r="1191" spans="1:12" x14ac:dyDescent="0.25">
      <c r="A1191" s="1"/>
      <c r="B1191" s="4"/>
      <c r="C1191" s="2"/>
      <c r="D1191" s="1"/>
      <c r="E1191" s="8"/>
      <c r="F1191" s="14"/>
      <c r="G1191" s="14"/>
      <c r="H1191" s="18"/>
      <c r="I1191" s="19"/>
      <c r="J1191" s="5"/>
      <c r="L1191" s="1"/>
    </row>
    <row r="1192" spans="1:12" x14ac:dyDescent="0.25">
      <c r="A1192" s="1"/>
      <c r="B1192" s="4"/>
      <c r="C1192" s="2"/>
      <c r="D1192" s="1"/>
      <c r="E1192" s="8"/>
      <c r="F1192" s="14"/>
      <c r="G1192" s="14"/>
      <c r="H1192" s="18"/>
      <c r="I1192" s="19"/>
      <c r="J1192" s="5"/>
      <c r="L1192" s="1"/>
    </row>
    <row r="1193" spans="1:12" x14ac:dyDescent="0.25">
      <c r="A1193" s="1"/>
      <c r="B1193" s="4"/>
      <c r="C1193" s="2"/>
      <c r="D1193" s="1"/>
      <c r="E1193" s="8"/>
      <c r="F1193" s="14"/>
      <c r="G1193" s="14"/>
      <c r="H1193" s="18"/>
      <c r="I1193" s="19"/>
      <c r="J1193" s="5"/>
      <c r="L1193" s="1"/>
    </row>
    <row r="1194" spans="1:12" x14ac:dyDescent="0.25">
      <c r="A1194" s="1"/>
      <c r="B1194" s="4"/>
      <c r="C1194" s="2"/>
      <c r="D1194" s="1"/>
      <c r="E1194" s="8"/>
      <c r="F1194" s="14"/>
      <c r="G1194" s="14"/>
      <c r="H1194" s="18"/>
      <c r="I1194" s="19"/>
      <c r="J1194" s="5"/>
      <c r="L1194" s="1"/>
    </row>
    <row r="1195" spans="1:12" x14ac:dyDescent="0.25">
      <c r="A1195" s="1"/>
      <c r="B1195" s="4"/>
      <c r="C1195" s="2"/>
      <c r="D1195" s="1"/>
      <c r="E1195" s="8"/>
      <c r="F1195" s="14"/>
      <c r="G1195" s="14"/>
      <c r="H1195" s="18"/>
      <c r="I1195" s="19"/>
      <c r="J1195" s="5"/>
      <c r="L1195" s="1"/>
    </row>
    <row r="1196" spans="1:12" x14ac:dyDescent="0.25">
      <c r="A1196" s="1"/>
      <c r="B1196" s="4"/>
      <c r="C1196" s="2"/>
      <c r="D1196" s="1"/>
      <c r="E1196" s="8"/>
      <c r="F1196" s="14"/>
      <c r="G1196" s="14"/>
      <c r="H1196" s="18"/>
      <c r="I1196" s="19"/>
      <c r="J1196" s="5"/>
      <c r="L1196" s="1"/>
    </row>
    <row r="1197" spans="1:12" x14ac:dyDescent="0.25">
      <c r="A1197" s="1"/>
      <c r="B1197" s="4"/>
      <c r="C1197" s="2"/>
      <c r="D1197" s="1"/>
      <c r="E1197" s="8"/>
      <c r="F1197" s="14"/>
      <c r="G1197" s="14"/>
      <c r="H1197" s="18"/>
      <c r="I1197" s="19"/>
      <c r="J1197" s="5"/>
      <c r="L1197" s="1"/>
    </row>
    <row r="1198" spans="1:12" x14ac:dyDescent="0.25">
      <c r="A1198" s="1"/>
      <c r="B1198" s="4"/>
      <c r="C1198" s="2"/>
      <c r="D1198" s="1"/>
      <c r="E1198" s="8"/>
      <c r="F1198" s="14"/>
      <c r="G1198" s="14"/>
      <c r="H1198" s="18"/>
      <c r="I1198" s="19"/>
      <c r="J1198" s="5"/>
      <c r="L1198" s="1"/>
    </row>
    <row r="1199" spans="1:12" x14ac:dyDescent="0.25">
      <c r="A1199" s="1"/>
      <c r="B1199" s="4"/>
      <c r="C1199" s="2"/>
      <c r="D1199" s="1"/>
      <c r="E1199" s="8"/>
      <c r="F1199" s="14"/>
      <c r="G1199" s="14"/>
      <c r="H1199" s="18"/>
      <c r="I1199" s="19"/>
      <c r="J1199" s="5"/>
      <c r="L1199" s="1"/>
    </row>
    <row r="1200" spans="1:12" x14ac:dyDescent="0.25">
      <c r="A1200" s="1"/>
      <c r="B1200" s="4"/>
      <c r="C1200" s="2"/>
      <c r="D1200" s="1"/>
      <c r="E1200" s="8"/>
      <c r="F1200" s="14"/>
      <c r="G1200" s="14"/>
      <c r="H1200" s="18"/>
      <c r="I1200" s="19"/>
      <c r="J1200" s="5"/>
      <c r="L1200" s="1"/>
    </row>
    <row r="1201" spans="1:12" x14ac:dyDescent="0.25">
      <c r="A1201" s="1"/>
      <c r="B1201" s="4"/>
      <c r="C1201" s="2"/>
      <c r="D1201" s="1"/>
      <c r="E1201" s="8"/>
      <c r="F1201" s="14"/>
      <c r="G1201" s="14"/>
      <c r="H1201" s="18"/>
      <c r="I1201" s="19"/>
      <c r="J1201" s="5"/>
      <c r="L1201" s="1"/>
    </row>
    <row r="1202" spans="1:12" x14ac:dyDescent="0.25">
      <c r="A1202" s="1"/>
      <c r="B1202" s="4"/>
      <c r="C1202" s="2"/>
      <c r="D1202" s="1"/>
      <c r="E1202" s="8"/>
      <c r="F1202" s="14"/>
      <c r="G1202" s="14"/>
      <c r="H1202" s="18"/>
      <c r="I1202" s="19"/>
      <c r="J1202" s="5"/>
      <c r="L1202" s="1"/>
    </row>
    <row r="1203" spans="1:12" x14ac:dyDescent="0.25">
      <c r="A1203" s="1"/>
      <c r="B1203" s="4"/>
      <c r="C1203" s="2"/>
      <c r="D1203" s="1"/>
      <c r="E1203" s="8"/>
      <c r="F1203" s="14"/>
      <c r="G1203" s="14"/>
      <c r="H1203" s="18"/>
      <c r="I1203" s="19"/>
      <c r="J1203" s="5"/>
      <c r="L1203" s="1"/>
    </row>
    <row r="1204" spans="1:12" x14ac:dyDescent="0.25">
      <c r="A1204" s="1"/>
      <c r="B1204" s="4"/>
      <c r="C1204" s="2"/>
      <c r="D1204" s="1"/>
      <c r="E1204" s="8"/>
      <c r="F1204" s="14"/>
      <c r="G1204" s="14"/>
      <c r="H1204" s="18"/>
      <c r="I1204" s="19"/>
      <c r="J1204" s="5"/>
      <c r="L1204" s="1"/>
    </row>
    <row r="1205" spans="1:12" x14ac:dyDescent="0.25">
      <c r="A1205" s="1"/>
      <c r="B1205" s="4"/>
      <c r="C1205" s="2"/>
      <c r="D1205" s="1"/>
      <c r="E1205" s="8"/>
      <c r="F1205" s="14"/>
      <c r="G1205" s="14"/>
      <c r="H1205" s="18"/>
      <c r="I1205" s="19"/>
      <c r="J1205" s="5"/>
      <c r="L1205" s="1"/>
    </row>
    <row r="1206" spans="1:12" x14ac:dyDescent="0.25">
      <c r="A1206" s="1"/>
      <c r="B1206" s="4"/>
      <c r="C1206" s="2"/>
      <c r="D1206" s="1"/>
      <c r="E1206" s="8"/>
      <c r="F1206" s="14"/>
      <c r="G1206" s="14"/>
      <c r="H1206" s="18"/>
      <c r="I1206" s="19"/>
      <c r="J1206" s="5"/>
      <c r="L1206" s="1"/>
    </row>
    <row r="1207" spans="1:12" x14ac:dyDescent="0.25">
      <c r="A1207" s="1"/>
      <c r="B1207" s="4"/>
      <c r="C1207" s="2"/>
      <c r="D1207" s="1"/>
      <c r="E1207" s="8"/>
      <c r="F1207" s="14"/>
      <c r="G1207" s="14"/>
      <c r="H1207" s="18"/>
      <c r="I1207" s="19"/>
      <c r="J1207" s="5"/>
      <c r="L1207" s="1"/>
    </row>
    <row r="1208" spans="1:12" x14ac:dyDescent="0.25">
      <c r="A1208" s="1"/>
      <c r="B1208" s="4"/>
      <c r="C1208" s="2"/>
      <c r="D1208" s="1"/>
      <c r="E1208" s="8"/>
      <c r="F1208" s="14"/>
      <c r="G1208" s="14"/>
      <c r="H1208" s="18"/>
      <c r="I1208" s="19"/>
      <c r="J1208" s="5"/>
      <c r="L1208" s="1"/>
    </row>
    <row r="1209" spans="1:12" x14ac:dyDescent="0.25">
      <c r="A1209" s="1"/>
      <c r="B1209" s="4"/>
      <c r="C1209" s="2"/>
      <c r="D1209" s="1"/>
      <c r="E1209" s="8"/>
      <c r="F1209" s="14"/>
      <c r="G1209" s="14"/>
      <c r="H1209" s="18"/>
      <c r="I1209" s="19"/>
      <c r="J1209" s="5"/>
      <c r="L1209" s="1"/>
    </row>
    <row r="1210" spans="1:12" x14ac:dyDescent="0.25">
      <c r="A1210" s="1"/>
      <c r="B1210" s="4"/>
      <c r="C1210" s="2"/>
      <c r="D1210" s="1"/>
      <c r="E1210" s="8"/>
      <c r="F1210" s="14"/>
      <c r="G1210" s="14"/>
      <c r="H1210" s="18"/>
      <c r="I1210" s="19"/>
      <c r="J1210" s="5"/>
      <c r="L1210" s="1"/>
    </row>
    <row r="1211" spans="1:12" x14ac:dyDescent="0.25">
      <c r="A1211" s="1"/>
      <c r="B1211" s="4"/>
      <c r="C1211" s="2"/>
      <c r="D1211" s="1"/>
      <c r="E1211" s="8"/>
      <c r="F1211" s="14"/>
      <c r="G1211" s="14"/>
      <c r="H1211" s="18"/>
      <c r="I1211" s="19"/>
      <c r="J1211" s="5"/>
      <c r="L1211" s="1"/>
    </row>
    <row r="1212" spans="1:12" x14ac:dyDescent="0.25">
      <c r="A1212" s="1"/>
      <c r="B1212" s="4"/>
      <c r="C1212" s="2"/>
      <c r="D1212" s="1"/>
      <c r="E1212" s="8"/>
      <c r="F1212" s="14"/>
      <c r="G1212" s="14"/>
      <c r="H1212" s="18"/>
      <c r="I1212" s="19"/>
      <c r="J1212" s="5"/>
      <c r="L1212" s="1"/>
    </row>
    <row r="1213" spans="1:12" x14ac:dyDescent="0.25">
      <c r="A1213" s="1"/>
      <c r="B1213" s="4"/>
      <c r="C1213" s="2"/>
      <c r="D1213" s="1"/>
      <c r="E1213" s="8"/>
      <c r="F1213" s="14"/>
      <c r="G1213" s="14"/>
      <c r="H1213" s="18"/>
      <c r="I1213" s="19"/>
      <c r="J1213" s="5"/>
      <c r="L1213" s="1"/>
    </row>
    <row r="1214" spans="1:12" x14ac:dyDescent="0.25">
      <c r="A1214" s="1"/>
      <c r="B1214" s="4"/>
      <c r="C1214" s="2"/>
      <c r="D1214" s="1"/>
      <c r="E1214" s="8"/>
      <c r="F1214" s="14"/>
      <c r="G1214" s="14"/>
      <c r="H1214" s="18"/>
      <c r="I1214" s="19"/>
      <c r="J1214" s="5"/>
      <c r="L1214" s="1"/>
    </row>
    <row r="1215" spans="1:12" x14ac:dyDescent="0.25">
      <c r="A1215" s="1"/>
      <c r="B1215" s="4"/>
      <c r="C1215" s="2"/>
      <c r="D1215" s="1"/>
      <c r="E1215" s="8"/>
      <c r="F1215" s="14"/>
      <c r="G1215" s="14"/>
      <c r="H1215" s="18"/>
      <c r="I1215" s="19"/>
      <c r="J1215" s="5"/>
      <c r="L1215" s="1"/>
    </row>
    <row r="1216" spans="1:12" x14ac:dyDescent="0.25">
      <c r="A1216" s="1"/>
      <c r="B1216" s="4"/>
      <c r="C1216" s="2"/>
      <c r="D1216" s="1"/>
      <c r="E1216" s="8"/>
      <c r="F1216" s="14"/>
      <c r="G1216" s="14"/>
      <c r="H1216" s="18"/>
      <c r="I1216" s="19"/>
      <c r="J1216" s="5"/>
      <c r="L1216" s="1"/>
    </row>
    <row r="1217" spans="1:12" x14ac:dyDescent="0.25">
      <c r="A1217" s="1"/>
      <c r="B1217" s="4"/>
      <c r="C1217" s="2"/>
      <c r="D1217" s="1"/>
      <c r="E1217" s="8"/>
      <c r="F1217" s="14"/>
      <c r="G1217" s="14"/>
      <c r="H1217" s="18"/>
      <c r="I1217" s="19"/>
      <c r="J1217" s="5"/>
      <c r="L1217" s="1"/>
    </row>
    <row r="1218" spans="1:12" x14ac:dyDescent="0.25">
      <c r="A1218" s="1"/>
      <c r="B1218" s="4"/>
      <c r="C1218" s="2"/>
      <c r="D1218" s="1"/>
      <c r="E1218" s="8"/>
      <c r="F1218" s="14"/>
      <c r="G1218" s="14"/>
      <c r="H1218" s="18"/>
      <c r="I1218" s="19"/>
      <c r="J1218" s="5"/>
      <c r="L1218" s="1"/>
    </row>
    <row r="1219" spans="1:12" x14ac:dyDescent="0.25">
      <c r="A1219" s="1"/>
      <c r="B1219" s="4"/>
      <c r="C1219" s="2"/>
      <c r="D1219" s="1"/>
      <c r="E1219" s="8"/>
      <c r="F1219" s="14"/>
      <c r="G1219" s="14"/>
      <c r="H1219" s="18"/>
      <c r="I1219" s="19"/>
      <c r="J1219" s="5"/>
      <c r="L1219" s="1"/>
    </row>
    <row r="1220" spans="1:12" x14ac:dyDescent="0.25">
      <c r="A1220" s="1"/>
      <c r="B1220" s="4"/>
      <c r="C1220" s="2"/>
      <c r="D1220" s="1"/>
      <c r="E1220" s="8"/>
      <c r="F1220" s="14"/>
      <c r="G1220" s="14"/>
      <c r="H1220" s="18"/>
      <c r="I1220" s="19"/>
      <c r="J1220" s="5"/>
      <c r="L1220" s="1"/>
    </row>
    <row r="1221" spans="1:12" x14ac:dyDescent="0.25">
      <c r="A1221" s="1"/>
      <c r="B1221" s="4"/>
      <c r="C1221" s="2"/>
      <c r="D1221" s="1"/>
      <c r="E1221" s="8"/>
      <c r="F1221" s="14"/>
      <c r="G1221" s="14"/>
      <c r="H1221" s="18"/>
      <c r="I1221" s="19"/>
      <c r="J1221" s="5"/>
      <c r="L1221" s="1"/>
    </row>
    <row r="1222" spans="1:12" x14ac:dyDescent="0.25">
      <c r="A1222" s="1"/>
      <c r="B1222" s="4"/>
      <c r="C1222" s="2"/>
      <c r="D1222" s="1"/>
      <c r="E1222" s="8"/>
      <c r="F1222" s="14"/>
      <c r="G1222" s="14"/>
      <c r="H1222" s="18"/>
      <c r="I1222" s="19"/>
      <c r="J1222" s="5"/>
      <c r="L1222" s="1"/>
    </row>
    <row r="1223" spans="1:12" x14ac:dyDescent="0.25">
      <c r="A1223" s="1"/>
      <c r="B1223" s="4"/>
      <c r="C1223" s="2"/>
      <c r="D1223" s="1"/>
      <c r="E1223" s="8"/>
      <c r="F1223" s="14"/>
      <c r="G1223" s="14"/>
      <c r="H1223" s="18"/>
      <c r="I1223" s="19"/>
      <c r="J1223" s="5"/>
      <c r="L1223" s="1"/>
    </row>
    <row r="1224" spans="1:12" x14ac:dyDescent="0.25">
      <c r="A1224" s="1"/>
      <c r="B1224" s="4"/>
      <c r="C1224" s="2"/>
      <c r="D1224" s="1"/>
      <c r="E1224" s="8"/>
      <c r="F1224" s="14"/>
      <c r="G1224" s="14"/>
      <c r="H1224" s="18"/>
      <c r="I1224" s="19"/>
      <c r="J1224" s="5"/>
      <c r="L1224" s="1"/>
    </row>
    <row r="1225" spans="1:12" x14ac:dyDescent="0.25">
      <c r="A1225" s="1"/>
      <c r="B1225" s="4"/>
      <c r="C1225" s="2"/>
      <c r="D1225" s="1"/>
      <c r="E1225" s="8"/>
      <c r="F1225" s="14"/>
      <c r="G1225" s="14"/>
      <c r="H1225" s="18"/>
      <c r="I1225" s="19"/>
      <c r="J1225" s="5"/>
      <c r="L1225" s="1"/>
    </row>
    <row r="1226" spans="1:12" x14ac:dyDescent="0.25">
      <c r="A1226" s="1"/>
      <c r="B1226" s="4"/>
      <c r="C1226" s="2"/>
      <c r="D1226" s="1"/>
      <c r="E1226" s="8"/>
      <c r="F1226" s="14"/>
      <c r="G1226" s="14"/>
      <c r="H1226" s="18"/>
      <c r="I1226" s="19"/>
      <c r="J1226" s="5"/>
      <c r="L1226" s="1"/>
    </row>
    <row r="1227" spans="1:12" x14ac:dyDescent="0.25">
      <c r="A1227" s="1"/>
      <c r="B1227" s="4"/>
      <c r="C1227" s="2"/>
      <c r="D1227" s="1"/>
      <c r="E1227" s="8"/>
      <c r="F1227" s="14"/>
      <c r="G1227" s="14"/>
      <c r="H1227" s="18"/>
      <c r="I1227" s="19"/>
      <c r="J1227" s="5"/>
      <c r="L1227" s="1"/>
    </row>
    <row r="1228" spans="1:12" x14ac:dyDescent="0.25">
      <c r="A1228" s="1"/>
      <c r="B1228" s="4"/>
      <c r="C1228" s="2"/>
      <c r="D1228" s="1"/>
      <c r="E1228" s="8"/>
      <c r="F1228" s="14"/>
      <c r="G1228" s="14"/>
      <c r="H1228" s="18"/>
      <c r="I1228" s="19"/>
      <c r="J1228" s="5"/>
      <c r="L1228" s="1"/>
    </row>
    <row r="1229" spans="1:12" x14ac:dyDescent="0.25">
      <c r="A1229" s="1"/>
      <c r="B1229" s="4"/>
      <c r="C1229" s="2"/>
      <c r="D1229" s="1"/>
      <c r="E1229" s="8"/>
      <c r="F1229" s="14"/>
      <c r="G1229" s="14"/>
      <c r="H1229" s="18"/>
      <c r="I1229" s="19"/>
      <c r="J1229" s="5"/>
      <c r="L1229" s="1"/>
    </row>
    <row r="1230" spans="1:12" x14ac:dyDescent="0.25">
      <c r="A1230" s="1"/>
      <c r="B1230" s="4"/>
      <c r="C1230" s="2"/>
      <c r="D1230" s="1"/>
      <c r="E1230" s="8"/>
      <c r="F1230" s="14"/>
      <c r="G1230" s="14"/>
      <c r="H1230" s="18"/>
      <c r="I1230" s="19"/>
      <c r="J1230" s="5"/>
      <c r="L1230" s="1"/>
    </row>
    <row r="1231" spans="1:12" x14ac:dyDescent="0.25">
      <c r="A1231" s="1"/>
      <c r="B1231" s="4"/>
      <c r="C1231" s="2"/>
      <c r="D1231" s="1"/>
      <c r="E1231" s="8"/>
      <c r="F1231" s="14"/>
      <c r="G1231" s="14"/>
      <c r="H1231" s="18"/>
      <c r="I1231" s="19"/>
      <c r="J1231" s="5"/>
      <c r="L1231" s="1"/>
    </row>
    <row r="1232" spans="1:12" x14ac:dyDescent="0.25">
      <c r="A1232" s="1"/>
      <c r="B1232" s="4"/>
      <c r="C1232" s="2"/>
      <c r="D1232" s="1"/>
      <c r="E1232" s="8"/>
      <c r="F1232" s="14"/>
      <c r="G1232" s="14"/>
      <c r="H1232" s="18"/>
      <c r="I1232" s="19"/>
      <c r="J1232" s="5"/>
      <c r="L1232" s="1"/>
    </row>
    <row r="1233" spans="1:12" x14ac:dyDescent="0.25">
      <c r="A1233" s="1"/>
      <c r="B1233" s="4"/>
      <c r="C1233" s="2"/>
      <c r="D1233" s="1"/>
      <c r="E1233" s="8"/>
      <c r="F1233" s="14"/>
      <c r="G1233" s="14"/>
      <c r="H1233" s="18"/>
      <c r="I1233" s="19"/>
      <c r="J1233" s="5"/>
      <c r="L1233" s="1"/>
    </row>
    <row r="1234" spans="1:12" x14ac:dyDescent="0.25">
      <c r="A1234" s="1"/>
      <c r="B1234" s="4"/>
      <c r="C1234" s="2"/>
      <c r="D1234" s="1"/>
      <c r="E1234" s="8"/>
      <c r="F1234" s="14"/>
      <c r="G1234" s="14"/>
      <c r="H1234" s="18"/>
      <c r="I1234" s="19"/>
      <c r="J1234" s="5"/>
      <c r="L1234" s="1"/>
    </row>
    <row r="1235" spans="1:12" x14ac:dyDescent="0.25">
      <c r="A1235" s="1"/>
      <c r="B1235" s="4"/>
      <c r="C1235" s="2"/>
      <c r="D1235" s="1"/>
      <c r="E1235" s="8"/>
      <c r="F1235" s="14"/>
      <c r="G1235" s="14"/>
      <c r="H1235" s="18"/>
      <c r="I1235" s="19"/>
      <c r="J1235" s="5"/>
      <c r="L1235" s="1"/>
    </row>
    <row r="1236" spans="1:12" x14ac:dyDescent="0.25">
      <c r="A1236" s="1"/>
      <c r="B1236" s="4"/>
      <c r="C1236" s="2"/>
      <c r="D1236" s="1"/>
      <c r="E1236" s="8"/>
      <c r="F1236" s="14"/>
      <c r="G1236" s="14"/>
      <c r="H1236" s="18"/>
      <c r="I1236" s="19"/>
      <c r="J1236" s="5"/>
      <c r="L1236" s="1"/>
    </row>
    <row r="1237" spans="1:12" x14ac:dyDescent="0.25">
      <c r="A1237" s="1"/>
      <c r="B1237" s="4"/>
      <c r="C1237" s="2"/>
      <c r="D1237" s="1"/>
      <c r="E1237" s="8"/>
      <c r="F1237" s="14"/>
      <c r="G1237" s="14"/>
      <c r="H1237" s="18"/>
      <c r="I1237" s="19"/>
      <c r="J1237" s="5"/>
      <c r="L1237" s="1"/>
    </row>
    <row r="1238" spans="1:12" x14ac:dyDescent="0.25">
      <c r="A1238" s="1"/>
      <c r="B1238" s="4"/>
      <c r="C1238" s="2"/>
      <c r="D1238" s="1"/>
      <c r="E1238" s="8"/>
      <c r="F1238" s="14"/>
      <c r="G1238" s="14"/>
      <c r="H1238" s="18"/>
      <c r="I1238" s="19"/>
      <c r="J1238" s="5"/>
      <c r="L1238" s="1"/>
    </row>
    <row r="1239" spans="1:12" x14ac:dyDescent="0.25">
      <c r="A1239" s="1"/>
      <c r="B1239" s="4"/>
      <c r="C1239" s="2"/>
      <c r="D1239" s="1"/>
      <c r="E1239" s="8"/>
      <c r="F1239" s="14"/>
      <c r="G1239" s="14"/>
      <c r="H1239" s="18"/>
      <c r="I1239" s="19"/>
      <c r="J1239" s="5"/>
      <c r="L1239" s="1"/>
    </row>
    <row r="1240" spans="1:12" x14ac:dyDescent="0.25">
      <c r="A1240" s="1"/>
      <c r="B1240" s="4"/>
      <c r="C1240" s="2"/>
      <c r="D1240" s="1"/>
      <c r="E1240" s="8"/>
      <c r="F1240" s="14"/>
      <c r="G1240" s="14"/>
      <c r="H1240" s="18"/>
      <c r="I1240" s="19"/>
      <c r="J1240" s="5"/>
      <c r="L1240" s="1"/>
    </row>
    <row r="1241" spans="1:12" x14ac:dyDescent="0.25">
      <c r="A1241" s="1"/>
      <c r="B1241" s="4"/>
      <c r="C1241" s="2"/>
      <c r="D1241" s="1"/>
      <c r="E1241" s="8"/>
      <c r="F1241" s="14"/>
      <c r="G1241" s="14"/>
      <c r="H1241" s="18"/>
      <c r="I1241" s="19"/>
      <c r="J1241" s="5"/>
      <c r="L1241" s="1"/>
    </row>
    <row r="1242" spans="1:12" x14ac:dyDescent="0.25">
      <c r="A1242" s="1"/>
      <c r="B1242" s="4"/>
      <c r="C1242" s="2"/>
      <c r="D1242" s="1"/>
      <c r="E1242" s="8"/>
      <c r="F1242" s="14"/>
      <c r="G1242" s="14"/>
      <c r="H1242" s="18"/>
      <c r="I1242" s="19"/>
      <c r="J1242" s="5"/>
      <c r="L1242" s="1"/>
    </row>
    <row r="1243" spans="1:12" x14ac:dyDescent="0.25">
      <c r="A1243" s="1"/>
      <c r="B1243" s="4"/>
      <c r="C1243" s="2"/>
      <c r="D1243" s="1"/>
      <c r="E1243" s="8"/>
      <c r="F1243" s="14"/>
      <c r="G1243" s="14"/>
      <c r="H1243" s="18"/>
      <c r="I1243" s="19"/>
      <c r="J1243" s="5"/>
      <c r="L1243" s="1"/>
    </row>
    <row r="1244" spans="1:12" x14ac:dyDescent="0.25">
      <c r="A1244" s="1"/>
      <c r="B1244" s="4"/>
      <c r="C1244" s="2"/>
      <c r="D1244" s="1"/>
      <c r="E1244" s="8"/>
      <c r="F1244" s="14"/>
      <c r="G1244" s="14"/>
      <c r="H1244" s="18"/>
      <c r="I1244" s="19"/>
      <c r="J1244" s="5"/>
      <c r="L1244" s="1"/>
    </row>
    <row r="1245" spans="1:12" x14ac:dyDescent="0.25">
      <c r="A1245" s="1"/>
      <c r="B1245" s="4"/>
      <c r="C1245" s="2"/>
      <c r="D1245" s="1"/>
      <c r="E1245" s="8"/>
      <c r="F1245" s="14"/>
      <c r="G1245" s="14"/>
      <c r="H1245" s="18"/>
      <c r="I1245" s="19"/>
      <c r="J1245" s="5"/>
      <c r="L1245" s="1"/>
    </row>
    <row r="1246" spans="1:12" x14ac:dyDescent="0.25">
      <c r="A1246" s="1"/>
      <c r="B1246" s="4"/>
      <c r="C1246" s="2"/>
      <c r="D1246" s="1"/>
      <c r="E1246" s="8"/>
      <c r="F1246" s="14"/>
      <c r="G1246" s="14"/>
      <c r="H1246" s="18"/>
      <c r="I1246" s="19"/>
      <c r="J1246" s="5"/>
      <c r="L1246" s="1"/>
    </row>
    <row r="1247" spans="1:12" x14ac:dyDescent="0.25">
      <c r="A1247" s="1"/>
      <c r="B1247" s="4"/>
      <c r="C1247" s="2"/>
      <c r="D1247" s="1"/>
      <c r="E1247" s="8"/>
      <c r="F1247" s="14"/>
      <c r="G1247" s="14"/>
      <c r="H1247" s="18"/>
      <c r="I1247" s="19"/>
      <c r="J1247" s="5"/>
      <c r="L1247" s="1"/>
    </row>
    <row r="1248" spans="1:12" x14ac:dyDescent="0.25">
      <c r="A1248" s="1"/>
      <c r="B1248" s="4"/>
      <c r="C1248" s="2"/>
      <c r="D1248" s="1"/>
      <c r="E1248" s="8"/>
      <c r="F1248" s="14"/>
      <c r="G1248" s="14"/>
      <c r="H1248" s="18"/>
      <c r="I1248" s="19"/>
      <c r="J1248" s="5"/>
      <c r="L1248" s="1"/>
    </row>
    <row r="1249" spans="1:12" x14ac:dyDescent="0.25">
      <c r="A1249" s="1"/>
      <c r="B1249" s="4"/>
      <c r="C1249" s="2"/>
      <c r="D1249" s="1"/>
      <c r="E1249" s="8"/>
      <c r="F1249" s="14"/>
      <c r="G1249" s="14"/>
      <c r="H1249" s="18"/>
      <c r="I1249" s="19"/>
      <c r="J1249" s="5"/>
      <c r="L1249" s="1"/>
    </row>
    <row r="1250" spans="1:12" x14ac:dyDescent="0.25">
      <c r="A1250" s="1"/>
      <c r="B1250" s="4"/>
      <c r="C1250" s="2"/>
      <c r="D1250" s="1"/>
      <c r="E1250" s="8"/>
      <c r="F1250" s="14"/>
      <c r="G1250" s="14"/>
      <c r="H1250" s="18"/>
      <c r="I1250" s="19"/>
      <c r="J1250" s="5"/>
      <c r="L1250" s="1"/>
    </row>
    <row r="1251" spans="1:12" x14ac:dyDescent="0.25">
      <c r="A1251" s="1"/>
      <c r="B1251" s="4"/>
      <c r="C1251" s="2"/>
      <c r="D1251" s="1"/>
      <c r="E1251" s="8"/>
      <c r="F1251" s="14"/>
      <c r="G1251" s="14"/>
      <c r="H1251" s="18"/>
      <c r="I1251" s="19"/>
      <c r="J1251" s="5"/>
      <c r="L1251" s="1"/>
    </row>
    <row r="1252" spans="1:12" x14ac:dyDescent="0.25">
      <c r="A1252" s="1"/>
      <c r="B1252" s="4"/>
      <c r="C1252" s="2"/>
      <c r="D1252" s="1"/>
      <c r="E1252" s="8"/>
      <c r="F1252" s="14"/>
      <c r="G1252" s="14"/>
      <c r="H1252" s="18"/>
      <c r="I1252" s="19"/>
      <c r="J1252" s="5"/>
      <c r="L1252" s="1"/>
    </row>
    <row r="1253" spans="1:12" x14ac:dyDescent="0.25">
      <c r="A1253" s="1"/>
      <c r="B1253" s="4"/>
      <c r="C1253" s="2"/>
      <c r="D1253" s="1"/>
      <c r="E1253" s="8"/>
      <c r="F1253" s="14"/>
      <c r="G1253" s="14"/>
      <c r="H1253" s="18"/>
      <c r="I1253" s="19"/>
      <c r="J1253" s="5"/>
      <c r="L1253" s="1"/>
    </row>
    <row r="1254" spans="1:12" x14ac:dyDescent="0.25">
      <c r="A1254" s="1"/>
      <c r="B1254" s="4"/>
      <c r="C1254" s="2"/>
      <c r="D1254" s="1"/>
      <c r="E1254" s="8"/>
      <c r="F1254" s="14"/>
      <c r="G1254" s="14"/>
      <c r="H1254" s="18"/>
      <c r="I1254" s="19"/>
      <c r="J1254" s="5"/>
      <c r="L1254" s="1"/>
    </row>
    <row r="1255" spans="1:12" x14ac:dyDescent="0.25">
      <c r="A1255" s="1"/>
      <c r="B1255" s="4"/>
      <c r="C1255" s="2"/>
      <c r="D1255" s="1"/>
      <c r="E1255" s="8"/>
      <c r="F1255" s="14"/>
      <c r="G1255" s="14"/>
      <c r="H1255" s="18"/>
      <c r="I1255" s="19"/>
      <c r="J1255" s="5"/>
      <c r="L1255" s="1"/>
    </row>
    <row r="1256" spans="1:12" x14ac:dyDescent="0.25">
      <c r="A1256" s="1"/>
      <c r="B1256" s="4"/>
      <c r="C1256" s="2"/>
      <c r="D1256" s="1"/>
      <c r="E1256" s="8"/>
      <c r="F1256" s="14"/>
      <c r="G1256" s="14"/>
      <c r="H1256" s="18"/>
      <c r="I1256" s="19"/>
      <c r="J1256" s="5"/>
      <c r="L1256" s="1"/>
    </row>
    <row r="1257" spans="1:12" x14ac:dyDescent="0.25">
      <c r="A1257" s="1"/>
      <c r="B1257" s="4"/>
      <c r="C1257" s="2"/>
      <c r="D1257" s="1"/>
      <c r="E1257" s="8"/>
      <c r="F1257" s="14"/>
      <c r="G1257" s="14"/>
      <c r="H1257" s="18"/>
      <c r="I1257" s="19"/>
      <c r="J1257" s="5"/>
      <c r="L1257" s="1"/>
    </row>
    <row r="1258" spans="1:12" x14ac:dyDescent="0.25">
      <c r="A1258" s="1"/>
      <c r="B1258" s="4"/>
      <c r="C1258" s="2"/>
      <c r="D1258" s="1"/>
      <c r="E1258" s="8"/>
      <c r="F1258" s="14"/>
      <c r="G1258" s="14"/>
      <c r="H1258" s="18"/>
      <c r="I1258" s="19"/>
      <c r="J1258" s="5"/>
      <c r="L1258" s="1"/>
    </row>
    <row r="1259" spans="1:12" x14ac:dyDescent="0.25">
      <c r="A1259" s="1"/>
      <c r="B1259" s="4"/>
      <c r="C1259" s="2"/>
      <c r="D1259" s="1"/>
      <c r="E1259" s="8"/>
      <c r="F1259" s="14"/>
      <c r="G1259" s="14"/>
      <c r="H1259" s="18"/>
      <c r="I1259" s="19"/>
      <c r="J1259" s="5"/>
      <c r="L1259" s="1"/>
    </row>
    <row r="1260" spans="1:12" x14ac:dyDescent="0.25">
      <c r="A1260" s="1"/>
      <c r="B1260" s="4"/>
      <c r="C1260" s="2"/>
      <c r="D1260" s="1"/>
      <c r="E1260" s="8"/>
      <c r="F1260" s="14"/>
      <c r="G1260" s="14"/>
      <c r="H1260" s="18"/>
      <c r="I1260" s="19"/>
      <c r="J1260" s="5"/>
      <c r="L1260" s="1"/>
    </row>
    <row r="1261" spans="1:12" x14ac:dyDescent="0.25">
      <c r="A1261" s="1"/>
      <c r="B1261" s="4"/>
      <c r="C1261" s="2"/>
      <c r="D1261" s="1"/>
      <c r="E1261" s="8"/>
      <c r="F1261" s="14"/>
      <c r="G1261" s="14"/>
      <c r="H1261" s="18"/>
      <c r="I1261" s="19"/>
      <c r="J1261" s="5"/>
      <c r="L1261" s="1"/>
    </row>
    <row r="1262" spans="1:12" x14ac:dyDescent="0.25">
      <c r="A1262" s="1"/>
      <c r="B1262" s="4"/>
      <c r="C1262" s="2"/>
      <c r="D1262" s="1"/>
      <c r="E1262" s="8"/>
      <c r="F1262" s="14"/>
      <c r="G1262" s="14"/>
      <c r="H1262" s="18"/>
      <c r="I1262" s="19"/>
      <c r="J1262" s="5"/>
      <c r="L1262" s="1"/>
    </row>
    <row r="1263" spans="1:12" x14ac:dyDescent="0.25">
      <c r="A1263" s="1"/>
      <c r="B1263" s="4"/>
      <c r="C1263" s="2"/>
      <c r="D1263" s="1"/>
      <c r="E1263" s="8"/>
      <c r="F1263" s="14"/>
      <c r="G1263" s="14"/>
      <c r="H1263" s="18"/>
      <c r="I1263" s="19"/>
      <c r="J1263" s="5"/>
      <c r="L1263" s="1"/>
    </row>
    <row r="1264" spans="1:12" x14ac:dyDescent="0.25">
      <c r="A1264" s="1"/>
      <c r="B1264" s="4"/>
      <c r="C1264" s="2"/>
      <c r="D1264" s="1"/>
      <c r="E1264" s="8"/>
      <c r="F1264" s="14"/>
      <c r="G1264" s="14"/>
      <c r="H1264" s="18"/>
      <c r="I1264" s="19"/>
      <c r="J1264" s="5"/>
      <c r="L1264" s="1"/>
    </row>
    <row r="1265" spans="1:12" x14ac:dyDescent="0.25">
      <c r="A1265" s="1"/>
      <c r="B1265" s="4"/>
      <c r="C1265" s="2"/>
      <c r="D1265" s="1"/>
      <c r="E1265" s="8"/>
      <c r="F1265" s="14"/>
      <c r="G1265" s="14"/>
      <c r="H1265" s="18"/>
      <c r="I1265" s="19"/>
      <c r="J1265" s="5"/>
      <c r="L1265" s="1"/>
    </row>
    <row r="1266" spans="1:12" x14ac:dyDescent="0.25">
      <c r="A1266" s="1"/>
      <c r="B1266" s="4"/>
      <c r="C1266" s="2"/>
      <c r="D1266" s="1"/>
      <c r="E1266" s="8"/>
      <c r="F1266" s="14"/>
      <c r="G1266" s="14"/>
      <c r="H1266" s="18"/>
      <c r="I1266" s="19"/>
      <c r="J1266" s="5"/>
      <c r="L1266" s="1"/>
    </row>
    <row r="1267" spans="1:12" x14ac:dyDescent="0.25">
      <c r="A1267" s="1"/>
      <c r="B1267" s="4"/>
      <c r="C1267" s="2"/>
      <c r="D1267" s="1"/>
      <c r="E1267" s="8"/>
      <c r="F1267" s="14"/>
      <c r="G1267" s="14"/>
      <c r="H1267" s="18"/>
      <c r="I1267" s="19"/>
      <c r="J1267" s="5"/>
      <c r="L1267" s="1"/>
    </row>
    <row r="1268" spans="1:12" x14ac:dyDescent="0.25">
      <c r="A1268" s="1"/>
      <c r="B1268" s="4"/>
      <c r="C1268" s="2"/>
      <c r="D1268" s="1"/>
      <c r="E1268" s="8"/>
      <c r="F1268" s="14"/>
      <c r="G1268" s="14"/>
      <c r="H1268" s="18"/>
      <c r="I1268" s="19"/>
      <c r="J1268" s="5"/>
      <c r="L1268" s="1"/>
    </row>
    <row r="1269" spans="1:12" x14ac:dyDescent="0.25">
      <c r="A1269" s="1"/>
      <c r="B1269" s="4"/>
      <c r="C1269" s="2"/>
      <c r="D1269" s="1"/>
      <c r="E1269" s="8"/>
      <c r="F1269" s="14"/>
      <c r="G1269" s="14"/>
      <c r="H1269" s="18"/>
      <c r="I1269" s="19"/>
      <c r="J1269" s="5"/>
      <c r="L1269" s="1"/>
    </row>
    <row r="1270" spans="1:12" x14ac:dyDescent="0.25">
      <c r="A1270" s="1"/>
      <c r="B1270" s="4"/>
      <c r="C1270" s="2"/>
      <c r="D1270" s="1"/>
      <c r="E1270" s="8"/>
      <c r="F1270" s="14"/>
      <c r="G1270" s="14"/>
      <c r="H1270" s="18"/>
      <c r="I1270" s="19"/>
      <c r="J1270" s="5"/>
      <c r="L1270" s="1"/>
    </row>
    <row r="1271" spans="1:12" x14ac:dyDescent="0.25">
      <c r="A1271" s="1"/>
      <c r="B1271" s="4"/>
      <c r="C1271" s="2"/>
      <c r="D1271" s="1"/>
      <c r="E1271" s="8"/>
      <c r="F1271" s="14"/>
      <c r="G1271" s="14"/>
      <c r="H1271" s="18"/>
      <c r="I1271" s="19"/>
      <c r="J1271" s="5"/>
      <c r="L1271" s="1"/>
    </row>
    <row r="1272" spans="1:12" x14ac:dyDescent="0.25">
      <c r="A1272" s="1"/>
      <c r="B1272" s="4"/>
      <c r="C1272" s="2"/>
      <c r="D1272" s="1"/>
      <c r="E1272" s="8"/>
      <c r="F1272" s="14"/>
      <c r="G1272" s="14"/>
      <c r="H1272" s="18"/>
      <c r="I1272" s="19"/>
      <c r="J1272" s="5"/>
      <c r="L1272" s="1"/>
    </row>
    <row r="1273" spans="1:12" x14ac:dyDescent="0.25">
      <c r="A1273" s="1"/>
      <c r="B1273" s="4"/>
      <c r="C1273" s="2"/>
      <c r="D1273" s="1"/>
      <c r="E1273" s="8"/>
      <c r="F1273" s="14"/>
      <c r="G1273" s="14"/>
      <c r="H1273" s="18"/>
      <c r="I1273" s="19"/>
      <c r="J1273" s="5"/>
      <c r="L1273" s="1"/>
    </row>
    <row r="1274" spans="1:12" x14ac:dyDescent="0.25">
      <c r="A1274" s="1"/>
      <c r="B1274" s="4"/>
      <c r="C1274" s="2"/>
      <c r="D1274" s="1"/>
      <c r="E1274" s="8"/>
      <c r="F1274" s="14"/>
      <c r="G1274" s="14"/>
      <c r="H1274" s="18"/>
      <c r="I1274" s="19"/>
      <c r="J1274" s="5"/>
      <c r="L1274" s="1"/>
    </row>
    <row r="1275" spans="1:12" x14ac:dyDescent="0.25">
      <c r="A1275" s="1"/>
      <c r="B1275" s="4"/>
      <c r="C1275" s="2"/>
      <c r="D1275" s="1"/>
      <c r="E1275" s="8"/>
      <c r="F1275" s="14"/>
      <c r="G1275" s="14"/>
      <c r="H1275" s="18"/>
      <c r="I1275" s="19"/>
      <c r="J1275" s="5"/>
      <c r="L1275" s="1"/>
    </row>
    <row r="1276" spans="1:12" x14ac:dyDescent="0.25">
      <c r="A1276" s="1"/>
      <c r="B1276" s="4"/>
      <c r="C1276" s="2"/>
      <c r="D1276" s="1"/>
      <c r="E1276" s="8"/>
      <c r="F1276" s="14"/>
      <c r="G1276" s="14"/>
      <c r="H1276" s="18"/>
      <c r="I1276" s="19"/>
      <c r="J1276" s="5"/>
      <c r="L1276" s="1"/>
    </row>
    <row r="1277" spans="1:12" x14ac:dyDescent="0.25">
      <c r="A1277" s="1"/>
      <c r="B1277" s="4"/>
      <c r="C1277" s="2"/>
      <c r="D1277" s="1"/>
      <c r="E1277" s="8"/>
      <c r="F1277" s="14"/>
      <c r="G1277" s="14"/>
      <c r="H1277" s="18"/>
      <c r="I1277" s="19"/>
      <c r="J1277" s="5"/>
      <c r="L1277" s="1"/>
    </row>
    <row r="1278" spans="1:12" x14ac:dyDescent="0.25">
      <c r="A1278" s="1"/>
      <c r="B1278" s="4"/>
      <c r="C1278" s="2"/>
      <c r="D1278" s="1"/>
      <c r="E1278" s="8"/>
      <c r="F1278" s="14"/>
      <c r="G1278" s="14"/>
      <c r="H1278" s="18"/>
      <c r="I1278" s="19"/>
      <c r="J1278" s="5"/>
      <c r="L1278" s="1"/>
    </row>
    <row r="1279" spans="1:12" x14ac:dyDescent="0.25">
      <c r="A1279" s="1"/>
      <c r="B1279" s="4"/>
      <c r="C1279" s="2"/>
      <c r="D1279" s="1"/>
      <c r="E1279" s="8"/>
      <c r="F1279" s="14"/>
      <c r="G1279" s="14"/>
      <c r="H1279" s="18"/>
      <c r="I1279" s="19"/>
      <c r="J1279" s="5"/>
      <c r="L1279" s="1"/>
    </row>
    <row r="1280" spans="1:12" x14ac:dyDescent="0.25">
      <c r="A1280" s="1"/>
      <c r="B1280" s="4"/>
      <c r="C1280" s="2"/>
      <c r="D1280" s="1"/>
      <c r="E1280" s="8"/>
      <c r="F1280" s="14"/>
      <c r="G1280" s="14"/>
      <c r="H1280" s="18"/>
      <c r="I1280" s="19"/>
      <c r="J1280" s="5"/>
      <c r="L1280" s="1"/>
    </row>
    <row r="1281" spans="1:12" x14ac:dyDescent="0.25">
      <c r="A1281" s="1"/>
      <c r="B1281" s="4"/>
      <c r="C1281" s="2"/>
      <c r="D1281" s="1"/>
      <c r="E1281" s="8"/>
      <c r="F1281" s="14"/>
      <c r="G1281" s="14"/>
      <c r="H1281" s="18"/>
      <c r="I1281" s="19"/>
      <c r="J1281" s="5"/>
      <c r="L1281" s="1"/>
    </row>
    <row r="1282" spans="1:12" x14ac:dyDescent="0.25">
      <c r="A1282" s="1"/>
      <c r="B1282" s="4"/>
      <c r="C1282" s="2"/>
      <c r="D1282" s="1"/>
      <c r="E1282" s="8"/>
      <c r="F1282" s="14"/>
      <c r="G1282" s="14"/>
      <c r="H1282" s="18"/>
      <c r="I1282" s="19"/>
      <c r="J1282" s="5"/>
      <c r="L1282" s="1"/>
    </row>
    <row r="1283" spans="1:12" x14ac:dyDescent="0.25">
      <c r="A1283" s="1"/>
      <c r="B1283" s="4"/>
      <c r="C1283" s="2"/>
      <c r="D1283" s="1"/>
      <c r="E1283" s="8"/>
      <c r="F1283" s="14"/>
      <c r="G1283" s="14"/>
      <c r="H1283" s="18"/>
      <c r="I1283" s="19"/>
      <c r="J1283" s="5"/>
      <c r="L1283" s="1"/>
    </row>
    <row r="1284" spans="1:12" x14ac:dyDescent="0.25">
      <c r="A1284" s="1"/>
      <c r="B1284" s="4"/>
      <c r="C1284" s="2"/>
      <c r="D1284" s="1"/>
      <c r="E1284" s="8"/>
      <c r="F1284" s="14"/>
      <c r="G1284" s="14"/>
      <c r="H1284" s="18"/>
      <c r="I1284" s="19"/>
      <c r="J1284" s="5"/>
      <c r="L1284" s="1"/>
    </row>
    <row r="1285" spans="1:12" x14ac:dyDescent="0.25">
      <c r="A1285" s="1"/>
      <c r="B1285" s="4"/>
      <c r="C1285" s="2"/>
      <c r="D1285" s="1"/>
      <c r="E1285" s="8"/>
      <c r="F1285" s="14"/>
      <c r="G1285" s="14"/>
      <c r="H1285" s="18"/>
      <c r="I1285" s="19"/>
      <c r="J1285" s="5"/>
      <c r="L1285" s="1"/>
    </row>
    <row r="1286" spans="1:12" x14ac:dyDescent="0.25">
      <c r="A1286" s="1"/>
      <c r="B1286" s="4"/>
      <c r="C1286" s="2"/>
      <c r="D1286" s="1"/>
      <c r="E1286" s="8"/>
      <c r="F1286" s="14"/>
      <c r="G1286" s="14"/>
      <c r="H1286" s="18"/>
      <c r="I1286" s="19"/>
      <c r="J1286" s="5"/>
      <c r="L1286" s="1"/>
    </row>
    <row r="1287" spans="1:12" x14ac:dyDescent="0.25">
      <c r="A1287" s="1"/>
      <c r="B1287" s="4"/>
      <c r="C1287" s="2"/>
      <c r="D1287" s="1"/>
      <c r="E1287" s="8"/>
      <c r="F1287" s="14"/>
      <c r="G1287" s="14"/>
      <c r="H1287" s="18"/>
      <c r="I1287" s="19"/>
      <c r="J1287" s="5"/>
      <c r="L1287" s="1"/>
    </row>
    <row r="1288" spans="1:12" x14ac:dyDescent="0.25">
      <c r="A1288" s="1"/>
      <c r="B1288" s="4"/>
      <c r="C1288" s="2"/>
      <c r="D1288" s="1"/>
      <c r="E1288" s="8"/>
      <c r="F1288" s="14"/>
      <c r="G1288" s="14"/>
      <c r="H1288" s="18"/>
      <c r="I1288" s="19"/>
      <c r="J1288" s="5"/>
      <c r="L1288" s="1"/>
    </row>
    <row r="1289" spans="1:12" x14ac:dyDescent="0.25">
      <c r="A1289" s="1"/>
      <c r="B1289" s="4"/>
      <c r="C1289" s="2"/>
      <c r="D1289" s="1"/>
      <c r="E1289" s="8"/>
      <c r="F1289" s="14"/>
      <c r="G1289" s="14"/>
      <c r="H1289" s="18"/>
      <c r="I1289" s="19"/>
      <c r="J1289" s="5"/>
      <c r="L1289" s="1"/>
    </row>
    <row r="1290" spans="1:12" x14ac:dyDescent="0.25">
      <c r="A1290" s="1"/>
      <c r="B1290" s="4"/>
      <c r="C1290" s="2"/>
      <c r="D1290" s="1"/>
      <c r="E1290" s="8"/>
      <c r="F1290" s="14"/>
      <c r="G1290" s="14"/>
      <c r="H1290" s="18"/>
      <c r="I1290" s="19"/>
      <c r="J1290" s="5"/>
      <c r="L1290" s="1"/>
    </row>
    <row r="1291" spans="1:12" x14ac:dyDescent="0.25">
      <c r="A1291" s="1"/>
      <c r="B1291" s="4"/>
      <c r="C1291" s="2"/>
      <c r="D1291" s="1"/>
      <c r="E1291" s="8"/>
      <c r="F1291" s="14"/>
      <c r="G1291" s="14"/>
      <c r="H1291" s="18"/>
      <c r="I1291" s="19"/>
      <c r="J1291" s="5"/>
      <c r="L1291" s="1"/>
    </row>
    <row r="1292" spans="1:12" x14ac:dyDescent="0.25">
      <c r="A1292" s="1"/>
      <c r="B1292" s="4"/>
      <c r="C1292" s="2"/>
      <c r="D1292" s="1"/>
      <c r="E1292" s="8"/>
      <c r="F1292" s="14"/>
      <c r="G1292" s="14"/>
      <c r="H1292" s="18"/>
      <c r="I1292" s="19"/>
      <c r="J1292" s="5"/>
      <c r="L1292" s="1"/>
    </row>
    <row r="1293" spans="1:12" x14ac:dyDescent="0.25">
      <c r="A1293" s="1"/>
      <c r="B1293" s="4"/>
      <c r="C1293" s="2"/>
      <c r="D1293" s="1"/>
      <c r="E1293" s="8"/>
      <c r="F1293" s="14"/>
      <c r="G1293" s="14"/>
      <c r="H1293" s="18"/>
      <c r="I1293" s="19"/>
      <c r="J1293" s="5"/>
      <c r="L1293" s="1"/>
    </row>
    <row r="1294" spans="1:12" x14ac:dyDescent="0.25">
      <c r="A1294" s="1"/>
      <c r="B1294" s="4"/>
      <c r="C1294" s="2"/>
      <c r="D1294" s="1"/>
      <c r="E1294" s="8"/>
      <c r="F1294" s="14"/>
      <c r="G1294" s="14"/>
      <c r="H1294" s="18"/>
      <c r="I1294" s="19"/>
      <c r="J1294" s="5"/>
      <c r="L1294" s="1"/>
    </row>
    <row r="1295" spans="1:12" x14ac:dyDescent="0.25">
      <c r="A1295" s="1"/>
      <c r="B1295" s="4"/>
      <c r="C1295" s="2"/>
      <c r="D1295" s="1"/>
      <c r="E1295" s="8"/>
      <c r="F1295" s="14"/>
      <c r="G1295" s="14"/>
      <c r="H1295" s="18"/>
      <c r="I1295" s="19"/>
      <c r="J1295" s="5"/>
      <c r="L1295" s="1"/>
    </row>
    <row r="1296" spans="1:12" x14ac:dyDescent="0.25">
      <c r="A1296" s="1"/>
      <c r="B1296" s="4"/>
      <c r="C1296" s="2"/>
      <c r="D1296" s="1"/>
      <c r="E1296" s="8"/>
      <c r="F1296" s="14"/>
      <c r="G1296" s="14"/>
      <c r="H1296" s="18"/>
      <c r="I1296" s="19"/>
      <c r="J1296" s="5"/>
      <c r="L1296" s="1"/>
    </row>
    <row r="1297" spans="1:12" x14ac:dyDescent="0.25">
      <c r="A1297" s="1"/>
      <c r="B1297" s="4"/>
      <c r="C1297" s="2"/>
      <c r="D1297" s="1"/>
      <c r="E1297" s="8"/>
      <c r="F1297" s="14"/>
      <c r="G1297" s="14"/>
      <c r="H1297" s="18"/>
      <c r="I1297" s="19"/>
      <c r="J1297" s="5"/>
      <c r="L1297" s="1"/>
    </row>
    <row r="1298" spans="1:12" x14ac:dyDescent="0.25">
      <c r="A1298" s="1"/>
      <c r="B1298" s="4"/>
      <c r="C1298" s="2"/>
      <c r="D1298" s="1"/>
      <c r="E1298" s="8"/>
      <c r="F1298" s="14"/>
      <c r="G1298" s="14"/>
      <c r="H1298" s="18"/>
      <c r="I1298" s="19"/>
      <c r="J1298" s="5"/>
      <c r="L1298" s="1"/>
    </row>
    <row r="1299" spans="1:12" x14ac:dyDescent="0.25">
      <c r="A1299" s="1"/>
      <c r="B1299" s="4"/>
      <c r="C1299" s="2"/>
      <c r="D1299" s="1"/>
      <c r="E1299" s="8"/>
      <c r="F1299" s="14"/>
      <c r="G1299" s="14"/>
      <c r="H1299" s="18"/>
      <c r="I1299" s="19"/>
      <c r="J1299" s="5"/>
      <c r="L1299" s="1"/>
    </row>
    <row r="1300" spans="1:12" x14ac:dyDescent="0.25">
      <c r="A1300" s="1"/>
      <c r="B1300" s="4"/>
      <c r="C1300" s="2"/>
      <c r="D1300" s="1"/>
      <c r="E1300" s="8"/>
      <c r="F1300" s="14"/>
      <c r="G1300" s="14"/>
      <c r="H1300" s="18"/>
      <c r="I1300" s="19"/>
      <c r="J1300" s="5"/>
      <c r="L1300" s="1"/>
    </row>
    <row r="1301" spans="1:12" x14ac:dyDescent="0.25">
      <c r="A1301" s="1"/>
      <c r="B1301" s="4"/>
      <c r="C1301" s="2"/>
      <c r="D1301" s="1"/>
      <c r="E1301" s="8"/>
      <c r="F1301" s="14"/>
      <c r="G1301" s="14"/>
      <c r="H1301" s="18"/>
      <c r="I1301" s="19"/>
      <c r="J1301" s="5"/>
      <c r="L1301" s="1"/>
    </row>
    <row r="1302" spans="1:12" x14ac:dyDescent="0.25">
      <c r="A1302" s="1"/>
      <c r="B1302" s="4"/>
      <c r="C1302" s="2"/>
      <c r="D1302" s="1"/>
      <c r="E1302" s="8"/>
      <c r="F1302" s="14"/>
      <c r="G1302" s="14"/>
      <c r="H1302" s="18"/>
      <c r="I1302" s="19"/>
      <c r="J1302" s="5"/>
      <c r="L1302" s="1"/>
    </row>
    <row r="1303" spans="1:12" x14ac:dyDescent="0.25">
      <c r="A1303" s="1"/>
      <c r="B1303" s="4"/>
      <c r="C1303" s="2"/>
      <c r="D1303" s="1"/>
      <c r="E1303" s="8"/>
      <c r="F1303" s="14"/>
      <c r="G1303" s="14"/>
      <c r="H1303" s="18"/>
      <c r="I1303" s="19"/>
      <c r="J1303" s="5"/>
      <c r="L1303" s="1"/>
    </row>
    <row r="1304" spans="1:12" x14ac:dyDescent="0.25">
      <c r="A1304" s="1"/>
      <c r="B1304" s="4"/>
      <c r="C1304" s="2"/>
      <c r="D1304" s="1"/>
      <c r="E1304" s="8"/>
      <c r="F1304" s="14"/>
      <c r="G1304" s="14"/>
      <c r="H1304" s="18"/>
      <c r="I1304" s="19"/>
      <c r="J1304" s="5"/>
      <c r="L1304" s="1"/>
    </row>
    <row r="1305" spans="1:12" x14ac:dyDescent="0.25">
      <c r="A1305" s="1"/>
      <c r="B1305" s="4"/>
      <c r="C1305" s="2"/>
      <c r="D1305" s="1"/>
      <c r="E1305" s="8"/>
      <c r="F1305" s="14"/>
      <c r="G1305" s="14"/>
      <c r="H1305" s="18"/>
      <c r="I1305" s="19"/>
      <c r="J1305" s="5"/>
      <c r="L1305" s="1"/>
    </row>
    <row r="1306" spans="1:12" x14ac:dyDescent="0.25">
      <c r="A1306" s="1"/>
      <c r="B1306" s="4"/>
      <c r="C1306" s="2"/>
      <c r="D1306" s="1"/>
      <c r="E1306" s="8"/>
      <c r="F1306" s="14"/>
      <c r="G1306" s="14"/>
      <c r="H1306" s="18"/>
      <c r="I1306" s="19"/>
      <c r="J1306" s="5"/>
      <c r="L1306" s="1"/>
    </row>
    <row r="1307" spans="1:12" x14ac:dyDescent="0.25">
      <c r="A1307" s="1"/>
      <c r="B1307" s="4"/>
      <c r="C1307" s="2"/>
      <c r="D1307" s="1"/>
      <c r="E1307" s="8"/>
      <c r="F1307" s="14"/>
      <c r="G1307" s="14"/>
      <c r="H1307" s="18"/>
      <c r="I1307" s="19"/>
      <c r="J1307" s="5"/>
      <c r="L1307" s="1"/>
    </row>
    <row r="1308" spans="1:12" x14ac:dyDescent="0.25">
      <c r="A1308" s="1"/>
      <c r="B1308" s="4"/>
      <c r="C1308" s="2"/>
      <c r="D1308" s="1"/>
      <c r="E1308" s="8"/>
      <c r="F1308" s="14"/>
      <c r="G1308" s="14"/>
      <c r="H1308" s="18"/>
      <c r="I1308" s="19"/>
      <c r="J1308" s="5"/>
      <c r="L1308" s="1"/>
    </row>
    <row r="1309" spans="1:12" x14ac:dyDescent="0.25">
      <c r="A1309" s="1"/>
      <c r="B1309" s="4"/>
      <c r="C1309" s="2"/>
      <c r="D1309" s="1"/>
      <c r="E1309" s="8"/>
      <c r="F1309" s="14"/>
      <c r="G1309" s="14"/>
      <c r="H1309" s="18"/>
      <c r="I1309" s="19"/>
      <c r="J1309" s="5"/>
      <c r="L1309" s="1"/>
    </row>
    <row r="1310" spans="1:12" x14ac:dyDescent="0.25">
      <c r="A1310" s="1"/>
      <c r="B1310" s="4"/>
      <c r="C1310" s="2"/>
      <c r="D1310" s="1"/>
      <c r="E1310" s="8"/>
      <c r="F1310" s="14"/>
      <c r="G1310" s="14"/>
      <c r="H1310" s="18"/>
      <c r="I1310" s="19"/>
      <c r="J1310" s="5"/>
      <c r="L1310" s="1"/>
    </row>
    <row r="1311" spans="1:12" x14ac:dyDescent="0.25">
      <c r="A1311" s="1"/>
      <c r="B1311" s="4"/>
      <c r="C1311" s="2"/>
      <c r="D1311" s="1"/>
      <c r="E1311" s="8"/>
      <c r="F1311" s="14"/>
      <c r="G1311" s="14"/>
      <c r="H1311" s="18"/>
      <c r="I1311" s="19"/>
      <c r="J1311" s="5"/>
      <c r="L1311" s="1"/>
    </row>
    <row r="1312" spans="1:12" x14ac:dyDescent="0.25">
      <c r="A1312" s="1"/>
      <c r="B1312" s="4"/>
      <c r="C1312" s="2"/>
      <c r="D1312" s="1"/>
      <c r="E1312" s="8"/>
      <c r="F1312" s="14"/>
      <c r="G1312" s="14"/>
      <c r="H1312" s="18"/>
      <c r="I1312" s="19"/>
      <c r="J1312" s="5"/>
      <c r="L1312" s="1"/>
    </row>
    <row r="1313" spans="1:12" x14ac:dyDescent="0.25">
      <c r="A1313" s="1"/>
      <c r="B1313" s="4"/>
      <c r="C1313" s="2"/>
      <c r="D1313" s="1"/>
      <c r="E1313" s="8"/>
      <c r="F1313" s="14"/>
      <c r="G1313" s="14"/>
      <c r="H1313" s="18"/>
      <c r="I1313" s="19"/>
      <c r="J1313" s="5"/>
      <c r="L1313" s="1"/>
    </row>
    <row r="1314" spans="1:12" x14ac:dyDescent="0.25">
      <c r="A1314" s="1"/>
      <c r="B1314" s="4"/>
      <c r="C1314" s="2"/>
      <c r="D1314" s="1"/>
      <c r="E1314" s="8"/>
      <c r="F1314" s="14"/>
      <c r="G1314" s="14"/>
      <c r="H1314" s="18"/>
      <c r="I1314" s="19"/>
      <c r="J1314" s="5"/>
      <c r="L1314" s="1"/>
    </row>
    <row r="1315" spans="1:12" x14ac:dyDescent="0.25">
      <c r="A1315" s="1"/>
      <c r="B1315" s="4"/>
      <c r="C1315" s="2"/>
      <c r="D1315" s="1"/>
      <c r="E1315" s="8"/>
      <c r="F1315" s="14"/>
      <c r="G1315" s="14"/>
      <c r="H1315" s="18"/>
      <c r="I1315" s="19"/>
      <c r="J1315" s="5"/>
      <c r="L1315" s="1"/>
    </row>
    <row r="1316" spans="1:12" x14ac:dyDescent="0.25">
      <c r="A1316" s="1"/>
      <c r="B1316" s="4"/>
      <c r="C1316" s="2"/>
      <c r="D1316" s="1"/>
      <c r="E1316" s="8"/>
      <c r="F1316" s="14"/>
      <c r="G1316" s="14"/>
      <c r="H1316" s="18"/>
      <c r="I1316" s="19"/>
      <c r="J1316" s="5"/>
      <c r="L1316" s="1"/>
    </row>
    <row r="1317" spans="1:12" x14ac:dyDescent="0.25">
      <c r="A1317" s="1"/>
      <c r="B1317" s="4"/>
      <c r="C1317" s="2"/>
      <c r="D1317" s="1"/>
      <c r="E1317" s="8"/>
      <c r="F1317" s="14"/>
      <c r="G1317" s="14"/>
      <c r="H1317" s="18"/>
      <c r="I1317" s="19"/>
      <c r="J1317" s="5"/>
      <c r="L1317" s="1"/>
    </row>
    <row r="1318" spans="1:12" x14ac:dyDescent="0.25">
      <c r="A1318" s="1"/>
      <c r="B1318" s="4"/>
      <c r="C1318" s="2"/>
      <c r="D1318" s="1"/>
      <c r="E1318" s="8"/>
      <c r="F1318" s="14"/>
      <c r="G1318" s="14"/>
      <c r="H1318" s="18"/>
      <c r="I1318" s="19"/>
      <c r="J1318" s="5"/>
      <c r="L1318" s="1"/>
    </row>
    <row r="1319" spans="1:12" x14ac:dyDescent="0.25">
      <c r="A1319" s="1"/>
      <c r="B1319" s="4"/>
      <c r="C1319" s="2"/>
      <c r="D1319" s="1"/>
      <c r="E1319" s="8"/>
      <c r="F1319" s="14"/>
      <c r="G1319" s="14"/>
      <c r="H1319" s="18"/>
      <c r="I1319" s="19"/>
      <c r="J1319" s="5"/>
      <c r="L1319" s="1"/>
    </row>
    <row r="1320" spans="1:12" x14ac:dyDescent="0.25">
      <c r="A1320" s="1"/>
      <c r="B1320" s="4"/>
      <c r="C1320" s="2"/>
      <c r="D1320" s="1"/>
      <c r="E1320" s="8"/>
      <c r="F1320" s="14"/>
      <c r="G1320" s="14"/>
      <c r="H1320" s="18"/>
      <c r="I1320" s="19"/>
      <c r="J1320" s="5"/>
      <c r="L1320" s="1"/>
    </row>
    <row r="1321" spans="1:12" x14ac:dyDescent="0.25">
      <c r="A1321" s="1"/>
      <c r="B1321" s="4"/>
      <c r="C1321" s="2"/>
      <c r="D1321" s="1"/>
      <c r="E1321" s="8"/>
      <c r="F1321" s="14"/>
      <c r="G1321" s="14"/>
      <c r="H1321" s="18"/>
      <c r="I1321" s="19"/>
      <c r="J1321" s="5"/>
      <c r="L1321" s="1"/>
    </row>
    <row r="1322" spans="1:12" x14ac:dyDescent="0.25">
      <c r="A1322" s="1"/>
      <c r="B1322" s="4"/>
      <c r="C1322" s="2"/>
      <c r="D1322" s="1"/>
      <c r="E1322" s="8"/>
      <c r="F1322" s="14"/>
      <c r="G1322" s="14"/>
      <c r="H1322" s="18"/>
      <c r="I1322" s="19"/>
      <c r="J1322" s="5"/>
      <c r="L1322" s="1"/>
    </row>
    <row r="1323" spans="1:12" x14ac:dyDescent="0.25">
      <c r="A1323" s="1"/>
      <c r="B1323" s="4"/>
      <c r="C1323" s="2"/>
      <c r="D1323" s="1"/>
      <c r="E1323" s="8"/>
      <c r="F1323" s="14"/>
      <c r="G1323" s="14"/>
      <c r="H1323" s="18"/>
      <c r="I1323" s="19"/>
      <c r="J1323" s="5"/>
      <c r="L1323" s="1"/>
    </row>
    <row r="1324" spans="1:12" x14ac:dyDescent="0.25">
      <c r="A1324" s="1"/>
      <c r="B1324" s="4"/>
      <c r="C1324" s="2"/>
      <c r="D1324" s="1"/>
      <c r="E1324" s="8"/>
      <c r="F1324" s="14"/>
      <c r="G1324" s="14"/>
      <c r="H1324" s="18"/>
      <c r="I1324" s="19"/>
      <c r="J1324" s="5"/>
      <c r="L1324" s="1"/>
    </row>
    <row r="1325" spans="1:12" x14ac:dyDescent="0.25">
      <c r="A1325" s="1"/>
      <c r="B1325" s="4"/>
      <c r="C1325" s="2"/>
      <c r="D1325" s="1"/>
      <c r="E1325" s="8"/>
      <c r="F1325" s="14"/>
      <c r="G1325" s="14"/>
      <c r="H1325" s="18"/>
      <c r="I1325" s="19"/>
      <c r="J1325" s="5"/>
      <c r="L1325" s="1"/>
    </row>
    <row r="1326" spans="1:12" x14ac:dyDescent="0.25">
      <c r="A1326" s="1"/>
      <c r="B1326" s="4"/>
      <c r="C1326" s="2"/>
      <c r="D1326" s="1"/>
      <c r="E1326" s="8"/>
      <c r="F1326" s="14"/>
      <c r="G1326" s="14"/>
      <c r="H1326" s="18"/>
      <c r="I1326" s="19"/>
      <c r="J1326" s="5"/>
      <c r="L1326" s="1"/>
    </row>
    <row r="1327" spans="1:12" x14ac:dyDescent="0.25">
      <c r="A1327" s="1"/>
      <c r="B1327" s="4"/>
      <c r="C1327" s="2"/>
      <c r="D1327" s="1"/>
      <c r="E1327" s="8"/>
      <c r="F1327" s="14"/>
      <c r="G1327" s="14"/>
      <c r="H1327" s="18"/>
      <c r="I1327" s="19"/>
      <c r="J1327" s="5"/>
      <c r="L1327" s="1"/>
    </row>
    <row r="1328" spans="1:12" x14ac:dyDescent="0.25">
      <c r="A1328" s="1"/>
      <c r="B1328" s="4"/>
      <c r="C1328" s="2"/>
      <c r="D1328" s="1"/>
      <c r="E1328" s="8"/>
      <c r="F1328" s="14"/>
      <c r="G1328" s="14"/>
      <c r="H1328" s="18"/>
      <c r="I1328" s="19"/>
      <c r="J1328" s="5"/>
      <c r="L1328" s="1"/>
    </row>
    <row r="1329" spans="1:12" x14ac:dyDescent="0.25">
      <c r="A1329" s="1"/>
      <c r="B1329" s="4"/>
      <c r="C1329" s="2"/>
      <c r="D1329" s="1"/>
      <c r="E1329" s="8"/>
      <c r="F1329" s="14"/>
      <c r="G1329" s="14"/>
      <c r="H1329" s="18"/>
      <c r="I1329" s="19"/>
      <c r="J1329" s="5"/>
      <c r="L1329" s="1"/>
    </row>
    <row r="1330" spans="1:12" x14ac:dyDescent="0.25">
      <c r="A1330" s="1"/>
      <c r="B1330" s="4"/>
      <c r="C1330" s="2"/>
      <c r="D1330" s="1"/>
      <c r="E1330" s="8"/>
      <c r="F1330" s="14"/>
      <c r="G1330" s="14"/>
      <c r="H1330" s="18"/>
      <c r="I1330" s="19"/>
      <c r="J1330" s="5"/>
      <c r="L1330" s="1"/>
    </row>
    <row r="1331" spans="1:12" x14ac:dyDescent="0.25">
      <c r="A1331" s="1"/>
      <c r="B1331" s="4"/>
      <c r="C1331" s="2"/>
      <c r="D1331" s="1"/>
      <c r="E1331" s="8"/>
      <c r="F1331" s="14"/>
      <c r="G1331" s="14"/>
      <c r="H1331" s="18"/>
      <c r="I1331" s="19"/>
      <c r="J1331" s="5"/>
      <c r="L1331" s="1"/>
    </row>
    <row r="1332" spans="1:12" x14ac:dyDescent="0.25">
      <c r="A1332" s="1"/>
      <c r="B1332" s="4"/>
      <c r="C1332" s="2"/>
      <c r="D1332" s="1"/>
      <c r="E1332" s="8"/>
      <c r="F1332" s="14"/>
      <c r="G1332" s="14"/>
      <c r="H1332" s="18"/>
      <c r="I1332" s="19"/>
      <c r="J1332" s="5"/>
      <c r="L1332" s="1"/>
    </row>
    <row r="1333" spans="1:12" x14ac:dyDescent="0.25">
      <c r="A1333" s="1"/>
      <c r="B1333" s="4"/>
      <c r="C1333" s="2"/>
      <c r="D1333" s="1"/>
      <c r="E1333" s="8"/>
      <c r="F1333" s="14"/>
      <c r="G1333" s="14"/>
      <c r="H1333" s="18"/>
      <c r="I1333" s="19"/>
      <c r="J1333" s="5"/>
      <c r="L1333" s="1"/>
    </row>
    <row r="1334" spans="1:12" x14ac:dyDescent="0.25">
      <c r="A1334" s="1"/>
      <c r="B1334" s="4"/>
      <c r="C1334" s="2"/>
      <c r="D1334" s="1"/>
      <c r="E1334" s="8"/>
      <c r="F1334" s="14"/>
      <c r="G1334" s="14"/>
      <c r="H1334" s="18"/>
      <c r="I1334" s="19"/>
      <c r="J1334" s="5"/>
      <c r="L1334" s="1"/>
    </row>
    <row r="1335" spans="1:12" x14ac:dyDescent="0.25">
      <c r="A1335" s="1"/>
      <c r="B1335" s="4"/>
      <c r="C1335" s="2"/>
      <c r="D1335" s="1"/>
      <c r="E1335" s="8"/>
      <c r="F1335" s="14"/>
      <c r="G1335" s="14"/>
      <c r="H1335" s="18"/>
      <c r="I1335" s="19"/>
      <c r="J1335" s="5"/>
      <c r="L1335" s="1"/>
    </row>
    <row r="1336" spans="1:12" x14ac:dyDescent="0.25">
      <c r="A1336" s="1"/>
      <c r="B1336" s="4"/>
      <c r="C1336" s="2"/>
      <c r="D1336" s="1"/>
      <c r="E1336" s="8"/>
      <c r="F1336" s="14"/>
      <c r="G1336" s="14"/>
      <c r="H1336" s="18"/>
      <c r="I1336" s="19"/>
      <c r="J1336" s="5"/>
      <c r="L1336" s="1"/>
    </row>
    <row r="1337" spans="1:12" x14ac:dyDescent="0.25">
      <c r="A1337" s="1"/>
      <c r="B1337" s="4"/>
      <c r="C1337" s="2"/>
      <c r="D1337" s="1"/>
      <c r="E1337" s="8"/>
      <c r="F1337" s="14"/>
      <c r="G1337" s="14"/>
      <c r="H1337" s="18"/>
      <c r="I1337" s="19"/>
      <c r="J1337" s="5"/>
      <c r="L1337" s="1"/>
    </row>
    <row r="1338" spans="1:12" x14ac:dyDescent="0.25">
      <c r="A1338" s="1"/>
      <c r="B1338" s="4"/>
      <c r="C1338" s="2"/>
      <c r="D1338" s="1"/>
      <c r="E1338" s="8"/>
      <c r="F1338" s="14"/>
      <c r="G1338" s="14"/>
      <c r="H1338" s="18"/>
      <c r="I1338" s="19"/>
      <c r="J1338" s="5"/>
      <c r="L1338" s="1"/>
    </row>
    <row r="1339" spans="1:12" x14ac:dyDescent="0.25">
      <c r="A1339" s="1"/>
      <c r="B1339" s="4"/>
      <c r="C1339" s="2"/>
      <c r="D1339" s="1"/>
      <c r="E1339" s="8"/>
      <c r="F1339" s="14"/>
      <c r="G1339" s="14"/>
      <c r="H1339" s="18"/>
      <c r="I1339" s="19"/>
      <c r="J1339" s="5"/>
      <c r="L1339" s="1"/>
    </row>
    <row r="1340" spans="1:12" x14ac:dyDescent="0.25">
      <c r="A1340" s="1"/>
      <c r="B1340" s="4"/>
      <c r="C1340" s="2"/>
      <c r="D1340" s="1"/>
      <c r="E1340" s="8"/>
      <c r="F1340" s="14"/>
      <c r="G1340" s="14"/>
      <c r="H1340" s="18"/>
      <c r="I1340" s="19"/>
      <c r="J1340" s="5"/>
      <c r="L1340" s="1"/>
    </row>
    <row r="1341" spans="1:12" x14ac:dyDescent="0.25">
      <c r="A1341" s="1"/>
      <c r="B1341" s="4"/>
      <c r="C1341" s="2"/>
      <c r="D1341" s="1"/>
      <c r="E1341" s="8"/>
      <c r="F1341" s="14"/>
      <c r="G1341" s="14"/>
      <c r="H1341" s="18"/>
      <c r="I1341" s="19"/>
      <c r="J1341" s="5"/>
      <c r="L1341" s="1"/>
    </row>
    <row r="1342" spans="1:12" x14ac:dyDescent="0.25">
      <c r="A1342" s="1"/>
      <c r="B1342" s="4"/>
      <c r="C1342" s="2"/>
      <c r="D1342" s="1"/>
      <c r="E1342" s="8"/>
      <c r="F1342" s="14"/>
      <c r="G1342" s="14"/>
      <c r="H1342" s="18"/>
      <c r="I1342" s="19"/>
      <c r="J1342" s="5"/>
      <c r="L1342" s="1"/>
    </row>
    <row r="1343" spans="1:12" x14ac:dyDescent="0.25">
      <c r="A1343" s="1"/>
      <c r="B1343" s="4"/>
      <c r="C1343" s="2"/>
      <c r="D1343" s="1"/>
      <c r="E1343" s="8"/>
      <c r="F1343" s="14"/>
      <c r="G1343" s="14"/>
      <c r="H1343" s="18"/>
      <c r="I1343" s="19"/>
      <c r="J1343" s="5"/>
      <c r="L1343" s="1"/>
    </row>
    <row r="1344" spans="1:12" x14ac:dyDescent="0.25">
      <c r="A1344" s="1"/>
      <c r="B1344" s="4"/>
      <c r="C1344" s="2"/>
      <c r="D1344" s="1"/>
      <c r="E1344" s="8"/>
      <c r="F1344" s="14"/>
      <c r="G1344" s="14"/>
      <c r="H1344" s="18"/>
      <c r="I1344" s="19"/>
      <c r="J1344" s="5"/>
      <c r="L1344" s="1"/>
    </row>
    <row r="1345" spans="1:12" x14ac:dyDescent="0.25">
      <c r="A1345" s="1"/>
      <c r="B1345" s="4"/>
      <c r="C1345" s="2"/>
      <c r="D1345" s="1"/>
      <c r="E1345" s="8"/>
      <c r="F1345" s="14"/>
      <c r="G1345" s="14"/>
      <c r="H1345" s="18"/>
      <c r="I1345" s="19"/>
      <c r="J1345" s="5"/>
      <c r="L1345" s="1"/>
    </row>
    <row r="1346" spans="1:12" x14ac:dyDescent="0.25">
      <c r="A1346" s="1"/>
      <c r="B1346" s="4"/>
      <c r="C1346" s="2"/>
      <c r="D1346" s="1"/>
      <c r="E1346" s="8"/>
      <c r="F1346" s="14"/>
      <c r="G1346" s="14"/>
      <c r="H1346" s="18"/>
      <c r="I1346" s="19"/>
      <c r="J1346" s="5"/>
      <c r="L1346" s="1"/>
    </row>
    <row r="1347" spans="1:12" x14ac:dyDescent="0.25">
      <c r="A1347" s="1"/>
      <c r="B1347" s="4"/>
      <c r="C1347" s="2"/>
      <c r="D1347" s="1"/>
      <c r="E1347" s="8"/>
      <c r="F1347" s="14"/>
      <c r="G1347" s="14"/>
      <c r="H1347" s="18"/>
      <c r="I1347" s="19"/>
      <c r="J1347" s="5"/>
      <c r="L1347" s="1"/>
    </row>
    <row r="1348" spans="1:12" x14ac:dyDescent="0.25">
      <c r="A1348" s="1"/>
      <c r="B1348" s="4"/>
      <c r="C1348" s="2"/>
      <c r="D1348" s="1"/>
      <c r="E1348" s="8"/>
      <c r="F1348" s="14"/>
      <c r="G1348" s="14"/>
      <c r="H1348" s="18"/>
      <c r="I1348" s="19"/>
      <c r="J1348" s="5"/>
      <c r="L1348" s="1"/>
    </row>
    <row r="1349" spans="1:12" x14ac:dyDescent="0.25">
      <c r="A1349" s="1"/>
      <c r="B1349" s="4"/>
      <c r="C1349" s="2"/>
      <c r="D1349" s="1"/>
      <c r="E1349" s="8"/>
      <c r="F1349" s="14"/>
      <c r="G1349" s="14"/>
      <c r="H1349" s="18"/>
      <c r="I1349" s="19"/>
      <c r="J1349" s="5"/>
      <c r="L1349" s="1"/>
    </row>
    <row r="1350" spans="1:12" x14ac:dyDescent="0.25">
      <c r="A1350" s="1"/>
      <c r="B1350" s="4"/>
      <c r="C1350" s="2"/>
      <c r="D1350" s="1"/>
      <c r="E1350" s="8"/>
      <c r="F1350" s="14"/>
      <c r="G1350" s="14"/>
      <c r="H1350" s="18"/>
      <c r="I1350" s="19"/>
      <c r="J1350" s="5"/>
      <c r="L1350" s="1"/>
    </row>
    <row r="1351" spans="1:12" x14ac:dyDescent="0.25">
      <c r="A1351" s="1"/>
      <c r="B1351" s="4"/>
      <c r="C1351" s="2"/>
      <c r="D1351" s="1"/>
      <c r="E1351" s="8"/>
      <c r="F1351" s="14"/>
      <c r="G1351" s="14"/>
      <c r="H1351" s="18"/>
      <c r="I1351" s="19"/>
      <c r="J1351" s="5"/>
      <c r="L1351" s="1"/>
    </row>
    <row r="1352" spans="1:12" x14ac:dyDescent="0.25">
      <c r="A1352" s="1"/>
      <c r="B1352" s="4"/>
      <c r="C1352" s="2"/>
      <c r="D1352" s="1"/>
      <c r="E1352" s="8"/>
      <c r="F1352" s="14"/>
      <c r="G1352" s="14"/>
      <c r="H1352" s="18"/>
      <c r="I1352" s="19"/>
      <c r="J1352" s="5"/>
      <c r="L1352" s="1"/>
    </row>
    <row r="1353" spans="1:12" x14ac:dyDescent="0.25">
      <c r="A1353" s="1"/>
      <c r="B1353" s="4"/>
      <c r="C1353" s="2"/>
      <c r="D1353" s="1"/>
      <c r="E1353" s="8"/>
      <c r="F1353" s="14"/>
      <c r="G1353" s="14"/>
      <c r="H1353" s="18"/>
      <c r="I1353" s="19"/>
      <c r="J1353" s="5"/>
      <c r="L1353" s="1"/>
    </row>
    <row r="1354" spans="1:12" x14ac:dyDescent="0.25">
      <c r="A1354" s="1"/>
      <c r="B1354" s="4"/>
      <c r="C1354" s="2"/>
      <c r="D1354" s="1"/>
      <c r="E1354" s="8"/>
      <c r="F1354" s="14"/>
      <c r="G1354" s="14"/>
      <c r="H1354" s="18"/>
      <c r="I1354" s="19"/>
      <c r="J1354" s="5"/>
      <c r="L1354" s="1"/>
    </row>
    <row r="1355" spans="1:12" x14ac:dyDescent="0.25">
      <c r="A1355" s="1"/>
      <c r="B1355" s="4"/>
      <c r="C1355" s="2"/>
      <c r="D1355" s="1"/>
      <c r="E1355" s="8"/>
      <c r="F1355" s="14"/>
      <c r="G1355" s="14"/>
      <c r="H1355" s="18"/>
      <c r="I1355" s="19"/>
      <c r="J1355" s="5"/>
      <c r="L1355" s="1"/>
    </row>
    <row r="1356" spans="1:12" x14ac:dyDescent="0.25">
      <c r="A1356" s="1"/>
      <c r="B1356" s="4"/>
      <c r="C1356" s="2"/>
      <c r="D1356" s="1"/>
      <c r="E1356" s="8"/>
      <c r="F1356" s="14"/>
      <c r="G1356" s="14"/>
      <c r="H1356" s="18"/>
      <c r="I1356" s="19"/>
      <c r="J1356" s="5"/>
      <c r="L1356" s="1"/>
    </row>
    <row r="1357" spans="1:12" x14ac:dyDescent="0.25">
      <c r="A1357" s="1"/>
      <c r="B1357" s="4"/>
      <c r="C1357" s="2"/>
      <c r="D1357" s="1"/>
      <c r="E1357" s="8"/>
      <c r="F1357" s="14"/>
      <c r="G1357" s="14"/>
      <c r="H1357" s="18"/>
      <c r="I1357" s="19"/>
      <c r="J1357" s="5"/>
      <c r="L1357" s="1"/>
    </row>
    <row r="1358" spans="1:12" x14ac:dyDescent="0.25">
      <c r="A1358" s="1"/>
      <c r="B1358" s="4"/>
      <c r="C1358" s="2"/>
      <c r="D1358" s="1"/>
      <c r="E1358" s="8"/>
      <c r="F1358" s="14"/>
      <c r="G1358" s="14"/>
      <c r="H1358" s="18"/>
      <c r="I1358" s="19"/>
      <c r="J1358" s="5"/>
      <c r="L1358" s="1"/>
    </row>
    <row r="1359" spans="1:12" x14ac:dyDescent="0.25">
      <c r="A1359" s="1"/>
      <c r="B1359" s="4"/>
      <c r="C1359" s="2"/>
      <c r="D1359" s="1"/>
      <c r="E1359" s="8"/>
      <c r="F1359" s="14"/>
      <c r="G1359" s="14"/>
      <c r="H1359" s="18"/>
      <c r="I1359" s="19"/>
      <c r="J1359" s="5"/>
      <c r="L1359" s="1"/>
    </row>
    <row r="1360" spans="1:12" x14ac:dyDescent="0.25">
      <c r="A1360" s="1"/>
      <c r="B1360" s="4"/>
      <c r="C1360" s="2"/>
      <c r="D1360" s="1"/>
      <c r="E1360" s="8"/>
      <c r="F1360" s="14"/>
      <c r="G1360" s="14"/>
      <c r="H1360" s="18"/>
      <c r="I1360" s="19"/>
      <c r="J1360" s="5"/>
      <c r="L1360" s="1"/>
    </row>
    <row r="1361" spans="1:12" x14ac:dyDescent="0.25">
      <c r="A1361" s="1"/>
      <c r="B1361" s="4"/>
      <c r="C1361" s="2"/>
      <c r="D1361" s="1"/>
      <c r="E1361" s="8"/>
      <c r="F1361" s="14"/>
      <c r="G1361" s="14"/>
      <c r="H1361" s="18"/>
      <c r="I1361" s="19"/>
      <c r="J1361" s="5"/>
      <c r="L1361" s="1"/>
    </row>
    <row r="1362" spans="1:12" x14ac:dyDescent="0.25">
      <c r="A1362" s="1"/>
      <c r="B1362" s="4"/>
      <c r="C1362" s="2"/>
      <c r="D1362" s="1"/>
      <c r="E1362" s="8"/>
      <c r="F1362" s="14"/>
      <c r="G1362" s="14"/>
      <c r="H1362" s="18"/>
      <c r="I1362" s="19"/>
      <c r="J1362" s="5"/>
      <c r="L1362" s="1"/>
    </row>
    <row r="1363" spans="1:12" x14ac:dyDescent="0.25">
      <c r="A1363" s="1"/>
      <c r="B1363" s="4"/>
      <c r="C1363" s="2"/>
      <c r="D1363" s="1"/>
      <c r="E1363" s="8"/>
      <c r="F1363" s="14"/>
      <c r="G1363" s="14"/>
      <c r="H1363" s="18"/>
      <c r="I1363" s="19"/>
      <c r="J1363" s="5"/>
      <c r="L1363" s="1"/>
    </row>
    <row r="1364" spans="1:12" x14ac:dyDescent="0.25">
      <c r="A1364" s="1"/>
      <c r="B1364" s="4"/>
      <c r="C1364" s="2"/>
      <c r="D1364" s="1"/>
      <c r="E1364" s="8"/>
      <c r="F1364" s="14"/>
      <c r="G1364" s="14"/>
      <c r="H1364" s="18"/>
      <c r="I1364" s="19"/>
      <c r="J1364" s="5"/>
      <c r="L1364" s="1"/>
    </row>
    <row r="1365" spans="1:12" x14ac:dyDescent="0.25">
      <c r="A1365" s="1"/>
      <c r="B1365" s="4"/>
      <c r="C1365" s="2"/>
      <c r="D1365" s="1"/>
      <c r="E1365" s="8"/>
      <c r="F1365" s="14"/>
      <c r="G1365" s="14"/>
      <c r="H1365" s="18"/>
      <c r="I1365" s="19"/>
      <c r="J1365" s="5"/>
      <c r="L1365" s="1"/>
    </row>
    <row r="1366" spans="1:12" x14ac:dyDescent="0.25">
      <c r="A1366" s="1"/>
      <c r="B1366" s="4"/>
      <c r="C1366" s="2"/>
      <c r="D1366" s="1"/>
      <c r="E1366" s="8"/>
      <c r="F1366" s="14"/>
      <c r="G1366" s="14"/>
      <c r="H1366" s="18"/>
      <c r="I1366" s="19"/>
      <c r="J1366" s="5"/>
      <c r="L1366" s="1"/>
    </row>
    <row r="1367" spans="1:12" x14ac:dyDescent="0.25">
      <c r="A1367" s="1"/>
      <c r="B1367" s="4"/>
      <c r="C1367" s="2"/>
      <c r="D1367" s="1"/>
      <c r="E1367" s="8"/>
      <c r="F1367" s="14"/>
      <c r="G1367" s="14"/>
      <c r="H1367" s="18"/>
      <c r="I1367" s="19"/>
      <c r="J1367" s="5"/>
      <c r="L1367" s="1"/>
    </row>
    <row r="1368" spans="1:12" x14ac:dyDescent="0.25">
      <c r="A1368" s="1"/>
      <c r="B1368" s="4"/>
      <c r="C1368" s="2"/>
      <c r="D1368" s="1"/>
      <c r="E1368" s="8"/>
      <c r="F1368" s="14"/>
      <c r="G1368" s="14"/>
      <c r="H1368" s="18"/>
      <c r="I1368" s="19"/>
      <c r="J1368" s="5"/>
      <c r="L1368" s="1"/>
    </row>
    <row r="1369" spans="1:12" x14ac:dyDescent="0.25">
      <c r="A1369" s="1"/>
      <c r="B1369" s="4"/>
      <c r="C1369" s="2"/>
      <c r="D1369" s="1"/>
      <c r="E1369" s="8"/>
      <c r="F1369" s="14"/>
      <c r="G1369" s="14"/>
      <c r="H1369" s="18"/>
      <c r="I1369" s="19"/>
      <c r="J1369" s="5"/>
      <c r="L1369" s="1"/>
    </row>
    <row r="1370" spans="1:12" x14ac:dyDescent="0.25">
      <c r="A1370" s="1"/>
      <c r="B1370" s="4"/>
      <c r="C1370" s="2"/>
      <c r="D1370" s="1"/>
      <c r="E1370" s="8"/>
      <c r="F1370" s="14"/>
      <c r="G1370" s="14"/>
      <c r="H1370" s="18"/>
      <c r="I1370" s="19"/>
      <c r="J1370" s="5"/>
      <c r="L1370" s="1"/>
    </row>
    <row r="1371" spans="1:12" x14ac:dyDescent="0.25">
      <c r="A1371" s="1"/>
      <c r="B1371" s="4"/>
      <c r="C1371" s="2"/>
      <c r="D1371" s="1"/>
      <c r="E1371" s="8"/>
      <c r="F1371" s="14"/>
      <c r="G1371" s="14"/>
      <c r="H1371" s="18"/>
      <c r="I1371" s="19"/>
      <c r="J1371" s="5"/>
      <c r="L1371" s="1"/>
    </row>
    <row r="1372" spans="1:12" x14ac:dyDescent="0.25">
      <c r="A1372" s="1"/>
      <c r="B1372" s="4"/>
      <c r="C1372" s="2"/>
      <c r="D1372" s="1"/>
      <c r="E1372" s="8"/>
      <c r="F1372" s="14"/>
      <c r="G1372" s="14"/>
      <c r="H1372" s="18"/>
      <c r="I1372" s="19"/>
      <c r="J1372" s="5"/>
      <c r="L1372" s="1"/>
    </row>
    <row r="1373" spans="1:12" x14ac:dyDescent="0.25">
      <c r="A1373" s="1"/>
      <c r="B1373" s="4"/>
      <c r="C1373" s="2"/>
      <c r="D1373" s="1"/>
      <c r="E1373" s="8"/>
      <c r="F1373" s="14"/>
      <c r="G1373" s="14"/>
      <c r="H1373" s="18"/>
      <c r="I1373" s="19"/>
      <c r="J1373" s="5"/>
    </row>
    <row r="1374" spans="1:12" x14ac:dyDescent="0.25">
      <c r="A1374" s="1"/>
      <c r="B1374" s="4"/>
      <c r="C1374" s="2"/>
      <c r="D1374" s="1"/>
      <c r="E1374" s="8"/>
      <c r="F1374" s="14"/>
      <c r="G1374" s="14"/>
      <c r="H1374" s="18"/>
      <c r="I1374" s="19"/>
      <c r="J1374" s="5"/>
    </row>
    <row r="1375" spans="1:12" x14ac:dyDescent="0.25">
      <c r="E1375" s="8"/>
    </row>
    <row r="1376" spans="1:12" x14ac:dyDescent="0.25">
      <c r="E1376" s="8"/>
    </row>
    <row r="1377" spans="2:11" x14ac:dyDescent="0.25">
      <c r="E1377" s="8"/>
    </row>
    <row r="1378" spans="2:11" x14ac:dyDescent="0.25">
      <c r="E1378" s="8"/>
    </row>
    <row r="1379" spans="2:11" x14ac:dyDescent="0.25">
      <c r="B1379"/>
      <c r="C1379"/>
      <c r="E1379" s="8"/>
      <c r="F1379" s="17"/>
      <c r="G1379" s="17"/>
      <c r="H1379"/>
      <c r="I1379"/>
      <c r="J1379"/>
      <c r="K1379"/>
    </row>
    <row r="1380" spans="2:11" x14ac:dyDescent="0.25">
      <c r="B1380"/>
      <c r="C1380"/>
      <c r="E1380" s="8"/>
      <c r="F1380" s="17"/>
      <c r="G1380" s="17"/>
      <c r="H1380"/>
      <c r="I1380"/>
      <c r="J1380"/>
      <c r="K1380"/>
    </row>
    <row r="1381" spans="2:11" x14ac:dyDescent="0.25">
      <c r="B1381"/>
      <c r="C1381"/>
      <c r="E1381" s="8"/>
      <c r="F1381" s="17"/>
      <c r="G1381" s="17"/>
      <c r="H1381"/>
      <c r="I1381"/>
      <c r="J1381"/>
      <c r="K1381"/>
    </row>
    <row r="1382" spans="2:11" x14ac:dyDescent="0.25">
      <c r="B1382"/>
      <c r="C1382"/>
      <c r="E1382" s="8"/>
      <c r="F1382" s="17"/>
      <c r="G1382" s="17"/>
      <c r="H1382"/>
      <c r="I1382"/>
      <c r="J1382"/>
      <c r="K1382"/>
    </row>
    <row r="1383" spans="2:11" x14ac:dyDescent="0.25">
      <c r="B1383"/>
      <c r="C1383"/>
      <c r="E1383" s="8"/>
      <c r="F1383" s="17"/>
      <c r="G1383" s="17"/>
      <c r="H1383"/>
      <c r="I1383"/>
      <c r="J1383"/>
      <c r="K1383"/>
    </row>
    <row r="1384" spans="2:11" x14ac:dyDescent="0.25">
      <c r="B1384"/>
      <c r="C1384"/>
      <c r="E1384" s="8"/>
      <c r="F1384" s="17"/>
      <c r="G1384" s="17"/>
      <c r="H1384"/>
      <c r="I1384"/>
      <c r="J1384"/>
      <c r="K1384"/>
    </row>
    <row r="1385" spans="2:11" x14ac:dyDescent="0.25">
      <c r="B1385"/>
      <c r="C1385"/>
      <c r="E1385" s="8"/>
      <c r="F1385" s="17"/>
      <c r="G1385" s="17"/>
      <c r="H1385"/>
      <c r="I1385"/>
      <c r="J1385"/>
      <c r="K1385"/>
    </row>
    <row r="1386" spans="2:11" x14ac:dyDescent="0.25">
      <c r="B1386"/>
      <c r="C1386"/>
      <c r="E1386" s="8"/>
      <c r="F1386" s="17"/>
      <c r="G1386" s="17"/>
      <c r="H1386"/>
      <c r="I1386"/>
      <c r="J1386"/>
      <c r="K1386"/>
    </row>
    <row r="1387" spans="2:11" x14ac:dyDescent="0.25">
      <c r="B1387"/>
      <c r="C1387"/>
      <c r="E1387" s="8"/>
      <c r="F1387" s="17"/>
      <c r="G1387" s="17"/>
      <c r="H1387"/>
      <c r="I1387"/>
      <c r="J1387"/>
      <c r="K1387"/>
    </row>
    <row r="1388" spans="2:11" x14ac:dyDescent="0.25">
      <c r="B1388"/>
      <c r="C1388"/>
      <c r="E1388" s="8"/>
      <c r="F1388" s="17"/>
      <c r="G1388" s="17"/>
      <c r="H1388"/>
      <c r="I1388"/>
      <c r="J1388"/>
      <c r="K1388"/>
    </row>
    <row r="1389" spans="2:11" x14ac:dyDescent="0.25">
      <c r="B1389"/>
      <c r="C1389"/>
      <c r="E1389" s="8"/>
      <c r="F1389" s="17"/>
      <c r="G1389" s="17"/>
      <c r="H1389"/>
      <c r="I1389"/>
      <c r="J1389"/>
      <c r="K1389"/>
    </row>
    <row r="1390" spans="2:11" x14ac:dyDescent="0.25">
      <c r="B1390"/>
      <c r="C1390"/>
      <c r="E1390" s="8"/>
      <c r="F1390" s="17"/>
      <c r="G1390" s="17"/>
      <c r="H1390"/>
      <c r="I1390"/>
      <c r="J1390"/>
      <c r="K1390"/>
    </row>
    <row r="1391" spans="2:11" x14ac:dyDescent="0.25">
      <c r="B1391"/>
      <c r="C1391"/>
      <c r="E1391" s="8"/>
      <c r="F1391" s="17"/>
      <c r="G1391" s="17"/>
      <c r="H1391"/>
      <c r="I1391"/>
      <c r="J1391"/>
      <c r="K1391"/>
    </row>
    <row r="1392" spans="2:11" x14ac:dyDescent="0.25">
      <c r="B1392"/>
      <c r="C1392"/>
      <c r="E1392" s="8"/>
      <c r="F1392" s="17"/>
      <c r="G1392" s="17"/>
      <c r="H1392"/>
      <c r="I1392"/>
      <c r="J1392"/>
      <c r="K1392"/>
    </row>
    <row r="1393" spans="2:11" x14ac:dyDescent="0.25">
      <c r="B1393"/>
      <c r="C1393"/>
      <c r="E1393" s="8"/>
      <c r="F1393" s="17"/>
      <c r="G1393" s="17"/>
      <c r="H1393"/>
      <c r="I1393"/>
      <c r="J1393"/>
      <c r="K1393"/>
    </row>
    <row r="1394" spans="2:11" x14ac:dyDescent="0.25">
      <c r="B1394"/>
      <c r="C1394"/>
      <c r="E1394" s="8"/>
      <c r="F1394" s="17"/>
      <c r="G1394" s="17"/>
      <c r="H1394"/>
      <c r="I1394"/>
      <c r="J1394"/>
      <c r="K1394"/>
    </row>
    <row r="1395" spans="2:11" x14ac:dyDescent="0.25">
      <c r="B1395"/>
      <c r="C1395"/>
      <c r="E1395" s="8"/>
      <c r="F1395" s="17"/>
      <c r="G1395" s="17"/>
      <c r="H1395"/>
      <c r="I1395"/>
      <c r="J1395"/>
      <c r="K1395"/>
    </row>
    <row r="1396" spans="2:11" x14ac:dyDescent="0.25">
      <c r="B1396"/>
      <c r="C1396"/>
      <c r="E1396" s="8"/>
      <c r="F1396" s="17"/>
      <c r="G1396" s="17"/>
      <c r="H1396"/>
      <c r="I1396"/>
      <c r="J1396"/>
      <c r="K1396"/>
    </row>
    <row r="1397" spans="2:11" x14ac:dyDescent="0.25">
      <c r="B1397"/>
      <c r="C1397"/>
      <c r="E1397" s="8"/>
      <c r="F1397" s="17"/>
      <c r="G1397" s="17"/>
      <c r="H1397"/>
      <c r="I1397"/>
      <c r="J1397"/>
      <c r="K1397"/>
    </row>
    <row r="1398" spans="2:11" x14ac:dyDescent="0.25">
      <c r="B1398"/>
      <c r="C1398"/>
      <c r="E1398" s="8"/>
      <c r="F1398" s="17"/>
      <c r="G1398" s="17"/>
      <c r="H1398"/>
      <c r="I1398"/>
      <c r="J1398"/>
      <c r="K1398"/>
    </row>
    <row r="1399" spans="2:11" x14ac:dyDescent="0.25">
      <c r="B1399"/>
      <c r="C1399"/>
      <c r="E1399" s="8"/>
      <c r="F1399" s="17"/>
      <c r="G1399" s="17"/>
      <c r="H1399"/>
      <c r="I1399"/>
      <c r="J1399"/>
      <c r="K1399"/>
    </row>
    <row r="1400" spans="2:11" x14ac:dyDescent="0.25">
      <c r="B1400"/>
      <c r="C1400"/>
      <c r="E1400" s="8"/>
      <c r="F1400" s="17"/>
      <c r="G1400" s="17"/>
      <c r="H1400"/>
      <c r="I1400"/>
      <c r="J1400"/>
      <c r="K1400"/>
    </row>
    <row r="1401" spans="2:11" x14ac:dyDescent="0.25">
      <c r="B1401"/>
      <c r="C1401"/>
      <c r="E1401" s="8"/>
      <c r="F1401" s="17"/>
      <c r="G1401" s="17"/>
      <c r="H1401"/>
      <c r="I1401"/>
      <c r="J1401"/>
      <c r="K1401"/>
    </row>
    <row r="1402" spans="2:11" x14ac:dyDescent="0.25">
      <c r="B1402"/>
      <c r="C1402"/>
      <c r="E1402" s="8"/>
      <c r="F1402" s="17"/>
      <c r="G1402" s="17"/>
      <c r="H1402"/>
      <c r="I1402"/>
      <c r="J1402"/>
      <c r="K1402"/>
    </row>
    <row r="1403" spans="2:11" x14ac:dyDescent="0.25">
      <c r="B1403"/>
      <c r="C1403"/>
      <c r="E1403" s="8"/>
      <c r="F1403" s="17"/>
      <c r="G1403" s="17"/>
      <c r="H1403"/>
      <c r="I1403"/>
      <c r="J1403"/>
      <c r="K1403"/>
    </row>
    <row r="1404" spans="2:11" x14ac:dyDescent="0.25">
      <c r="B1404"/>
      <c r="C1404"/>
      <c r="E1404" s="8"/>
      <c r="F1404" s="17"/>
      <c r="G1404" s="17"/>
      <c r="H1404"/>
      <c r="I1404"/>
      <c r="J1404"/>
      <c r="K1404"/>
    </row>
    <row r="1405" spans="2:11" x14ac:dyDescent="0.25">
      <c r="B1405"/>
      <c r="C1405"/>
      <c r="E1405" s="8"/>
      <c r="F1405" s="17"/>
      <c r="G1405" s="17"/>
      <c r="H1405"/>
      <c r="I1405"/>
      <c r="J1405"/>
      <c r="K1405"/>
    </row>
    <row r="1406" spans="2:11" x14ac:dyDescent="0.25">
      <c r="B1406"/>
      <c r="C1406"/>
      <c r="E1406" s="8"/>
      <c r="F1406" s="17"/>
      <c r="G1406" s="17"/>
      <c r="H1406"/>
      <c r="I1406"/>
      <c r="J1406"/>
      <c r="K1406"/>
    </row>
    <row r="1407" spans="2:11" x14ac:dyDescent="0.25">
      <c r="B1407"/>
      <c r="C1407"/>
      <c r="E1407" s="8"/>
      <c r="F1407" s="17"/>
      <c r="G1407" s="17"/>
      <c r="H1407"/>
      <c r="I1407"/>
      <c r="J1407"/>
      <c r="K1407"/>
    </row>
    <row r="1408" spans="2:11" x14ac:dyDescent="0.25">
      <c r="B1408"/>
      <c r="C1408"/>
      <c r="E1408" s="8"/>
      <c r="F1408" s="17"/>
      <c r="G1408" s="17"/>
      <c r="H1408"/>
      <c r="I1408"/>
      <c r="J1408"/>
      <c r="K1408"/>
    </row>
    <row r="1409" spans="2:11" x14ac:dyDescent="0.25">
      <c r="B1409"/>
      <c r="C1409"/>
      <c r="E1409" s="8"/>
      <c r="F1409" s="17"/>
      <c r="G1409" s="17"/>
      <c r="H1409"/>
      <c r="I1409"/>
      <c r="J1409"/>
      <c r="K1409"/>
    </row>
    <row r="1410" spans="2:11" x14ac:dyDescent="0.25">
      <c r="B1410"/>
      <c r="C1410"/>
      <c r="E1410" s="8"/>
      <c r="F1410" s="17"/>
      <c r="G1410" s="17"/>
      <c r="H1410"/>
      <c r="I1410"/>
      <c r="J1410"/>
      <c r="K1410"/>
    </row>
    <row r="1411" spans="2:11" x14ac:dyDescent="0.25">
      <c r="B1411"/>
      <c r="C1411"/>
      <c r="E1411" s="8"/>
      <c r="F1411" s="17"/>
      <c r="G1411" s="17"/>
      <c r="H1411"/>
      <c r="I1411"/>
      <c r="J1411"/>
      <c r="K1411"/>
    </row>
    <row r="1412" spans="2:11" x14ac:dyDescent="0.25">
      <c r="B1412"/>
      <c r="C1412"/>
      <c r="E1412" s="8"/>
      <c r="F1412" s="17"/>
      <c r="G1412" s="17"/>
      <c r="H1412"/>
      <c r="I1412"/>
      <c r="J1412"/>
      <c r="K1412"/>
    </row>
    <row r="1413" spans="2:11" x14ac:dyDescent="0.25">
      <c r="B1413"/>
      <c r="C1413"/>
      <c r="E1413" s="8"/>
      <c r="F1413" s="17"/>
      <c r="G1413" s="17"/>
      <c r="H1413"/>
      <c r="I1413"/>
      <c r="J1413"/>
      <c r="K1413"/>
    </row>
    <row r="1414" spans="2:11" x14ac:dyDescent="0.25">
      <c r="B1414"/>
      <c r="C1414"/>
      <c r="E1414" s="8"/>
      <c r="F1414" s="17"/>
      <c r="G1414" s="17"/>
      <c r="H1414"/>
      <c r="I1414"/>
      <c r="J1414"/>
      <c r="K1414"/>
    </row>
    <row r="1415" spans="2:11" x14ac:dyDescent="0.25">
      <c r="B1415"/>
      <c r="C1415"/>
      <c r="E1415" s="8"/>
      <c r="F1415" s="17"/>
      <c r="G1415" s="17"/>
      <c r="H1415"/>
      <c r="I1415"/>
      <c r="J1415"/>
      <c r="K1415"/>
    </row>
    <row r="1416" spans="2:11" x14ac:dyDescent="0.25">
      <c r="B1416"/>
      <c r="C1416"/>
      <c r="E1416" s="8"/>
      <c r="F1416" s="17"/>
      <c r="G1416" s="17"/>
      <c r="H1416"/>
      <c r="I1416"/>
      <c r="J1416"/>
      <c r="K1416"/>
    </row>
    <row r="1417" spans="2:11" x14ac:dyDescent="0.25">
      <c r="B1417"/>
      <c r="C1417"/>
      <c r="E1417" s="8"/>
      <c r="F1417" s="17"/>
      <c r="G1417" s="17"/>
      <c r="H1417"/>
      <c r="I1417"/>
      <c r="J1417"/>
      <c r="K1417"/>
    </row>
    <row r="1418" spans="2:11" x14ac:dyDescent="0.25">
      <c r="B1418"/>
      <c r="C1418"/>
      <c r="E1418" s="8"/>
      <c r="F1418" s="17"/>
      <c r="G1418" s="17"/>
      <c r="H1418"/>
      <c r="I1418"/>
      <c r="J1418"/>
      <c r="K1418"/>
    </row>
    <row r="1419" spans="2:11" x14ac:dyDescent="0.25">
      <c r="B1419"/>
      <c r="C1419"/>
      <c r="E1419" s="8"/>
      <c r="F1419" s="17"/>
      <c r="G1419" s="17"/>
      <c r="H1419"/>
      <c r="I1419"/>
      <c r="J1419"/>
      <c r="K1419"/>
    </row>
    <row r="1420" spans="2:11" x14ac:dyDescent="0.25">
      <c r="B1420"/>
      <c r="C1420"/>
      <c r="E1420" s="8"/>
      <c r="F1420" s="17"/>
      <c r="G1420" s="17"/>
      <c r="H1420"/>
      <c r="I1420"/>
      <c r="J1420"/>
      <c r="K1420"/>
    </row>
    <row r="1421" spans="2:11" x14ac:dyDescent="0.25">
      <c r="B1421"/>
      <c r="C1421"/>
      <c r="E1421" s="8"/>
      <c r="F1421" s="17"/>
      <c r="G1421" s="17"/>
      <c r="H1421"/>
      <c r="I1421"/>
      <c r="J1421"/>
      <c r="K1421"/>
    </row>
    <row r="1422" spans="2:11" x14ac:dyDescent="0.25">
      <c r="B1422"/>
      <c r="C1422"/>
      <c r="E1422" s="8"/>
      <c r="F1422" s="17"/>
      <c r="G1422" s="17"/>
      <c r="H1422"/>
      <c r="I1422"/>
      <c r="J1422"/>
      <c r="K1422"/>
    </row>
    <row r="1423" spans="2:11" x14ac:dyDescent="0.25">
      <c r="B1423"/>
      <c r="C1423"/>
      <c r="E1423" s="8"/>
      <c r="F1423" s="17"/>
      <c r="G1423" s="17"/>
      <c r="H1423"/>
      <c r="I1423"/>
      <c r="J1423"/>
      <c r="K1423"/>
    </row>
    <row r="1424" spans="2:11" x14ac:dyDescent="0.25">
      <c r="B1424"/>
      <c r="C1424"/>
      <c r="E1424" s="8"/>
      <c r="F1424" s="17"/>
      <c r="G1424" s="17"/>
      <c r="H1424"/>
      <c r="I1424"/>
      <c r="J1424"/>
      <c r="K1424"/>
    </row>
    <row r="1425" spans="2:11" x14ac:dyDescent="0.25">
      <c r="B1425"/>
      <c r="C1425"/>
      <c r="E1425" s="8"/>
      <c r="F1425" s="17"/>
      <c r="G1425" s="17"/>
      <c r="H1425"/>
      <c r="I1425"/>
      <c r="J1425"/>
      <c r="K1425"/>
    </row>
    <row r="1426" spans="2:11" x14ac:dyDescent="0.25">
      <c r="B1426"/>
      <c r="C1426"/>
      <c r="E1426" s="8"/>
      <c r="F1426" s="17"/>
      <c r="G1426" s="17"/>
      <c r="H1426"/>
      <c r="I1426"/>
      <c r="J1426"/>
      <c r="K1426"/>
    </row>
    <row r="1427" spans="2:11" x14ac:dyDescent="0.25">
      <c r="B1427"/>
      <c r="C1427"/>
      <c r="E1427" s="8"/>
      <c r="F1427" s="17"/>
      <c r="G1427" s="17"/>
      <c r="H1427"/>
      <c r="I1427"/>
      <c r="J1427"/>
      <c r="K1427"/>
    </row>
    <row r="1428" spans="2:11" x14ac:dyDescent="0.25">
      <c r="B1428"/>
      <c r="C1428"/>
      <c r="E1428" s="8"/>
      <c r="F1428" s="17"/>
      <c r="G1428" s="17"/>
      <c r="H1428"/>
      <c r="I1428"/>
      <c r="J1428"/>
      <c r="K1428"/>
    </row>
    <row r="1429" spans="2:11" x14ac:dyDescent="0.25">
      <c r="B1429"/>
      <c r="C1429"/>
      <c r="E1429" s="8"/>
      <c r="F1429" s="17"/>
      <c r="G1429" s="17"/>
      <c r="H1429"/>
      <c r="I1429"/>
      <c r="J1429"/>
      <c r="K1429"/>
    </row>
    <row r="1430" spans="2:11" x14ac:dyDescent="0.25">
      <c r="B1430"/>
      <c r="C1430"/>
      <c r="E1430" s="8"/>
      <c r="F1430" s="17"/>
      <c r="G1430" s="17"/>
      <c r="H1430"/>
      <c r="I1430"/>
      <c r="J1430"/>
      <c r="K1430"/>
    </row>
    <row r="1431" spans="2:11" x14ac:dyDescent="0.25">
      <c r="B1431"/>
      <c r="C1431"/>
      <c r="E1431" s="8"/>
      <c r="F1431" s="17"/>
      <c r="G1431" s="17"/>
      <c r="H1431"/>
      <c r="I1431"/>
      <c r="J1431"/>
      <c r="K1431"/>
    </row>
    <row r="1432" spans="2:11" x14ac:dyDescent="0.25">
      <c r="B1432"/>
      <c r="C1432"/>
      <c r="E1432" s="8"/>
      <c r="F1432" s="17"/>
      <c r="G1432" s="17"/>
      <c r="H1432"/>
      <c r="I1432"/>
      <c r="J1432"/>
      <c r="K1432"/>
    </row>
    <row r="1433" spans="2:11" x14ac:dyDescent="0.25">
      <c r="B1433"/>
      <c r="C1433"/>
      <c r="E1433" s="8"/>
      <c r="F1433" s="17"/>
      <c r="G1433" s="17"/>
      <c r="H1433"/>
      <c r="I1433"/>
      <c r="J1433"/>
      <c r="K1433"/>
    </row>
    <row r="1434" spans="2:11" x14ac:dyDescent="0.25">
      <c r="B1434"/>
      <c r="C1434"/>
      <c r="E1434" s="8"/>
      <c r="F1434" s="17"/>
      <c r="G1434" s="17"/>
      <c r="H1434"/>
      <c r="I1434"/>
      <c r="J1434"/>
      <c r="K1434"/>
    </row>
    <row r="1435" spans="2:11" x14ac:dyDescent="0.25">
      <c r="B1435"/>
      <c r="C1435"/>
      <c r="E1435" s="8"/>
      <c r="F1435" s="17"/>
      <c r="G1435" s="17"/>
      <c r="H1435"/>
      <c r="I1435"/>
      <c r="J1435"/>
      <c r="K1435"/>
    </row>
    <row r="1436" spans="2:11" x14ac:dyDescent="0.25">
      <c r="B1436"/>
      <c r="C1436"/>
      <c r="E1436" s="8"/>
      <c r="F1436" s="17"/>
      <c r="G1436" s="17"/>
      <c r="H1436"/>
      <c r="I1436"/>
      <c r="J1436"/>
      <c r="K1436"/>
    </row>
    <row r="1437" spans="2:11" x14ac:dyDescent="0.25">
      <c r="B1437"/>
      <c r="C1437"/>
      <c r="E1437" s="8"/>
      <c r="F1437" s="17"/>
      <c r="G1437" s="17"/>
      <c r="H1437"/>
      <c r="I1437"/>
      <c r="J1437"/>
      <c r="K1437"/>
    </row>
    <row r="1438" spans="2:11" x14ac:dyDescent="0.25">
      <c r="B1438"/>
      <c r="C1438"/>
      <c r="E1438" s="8"/>
      <c r="F1438" s="17"/>
      <c r="G1438" s="17"/>
      <c r="H1438"/>
      <c r="I1438"/>
      <c r="J1438"/>
      <c r="K1438"/>
    </row>
    <row r="1439" spans="2:11" x14ac:dyDescent="0.25">
      <c r="B1439"/>
      <c r="C1439"/>
      <c r="E1439" s="8"/>
      <c r="F1439" s="17"/>
      <c r="G1439" s="17"/>
      <c r="H1439"/>
      <c r="I1439"/>
      <c r="J1439"/>
      <c r="K1439"/>
    </row>
    <row r="1440" spans="2:11" x14ac:dyDescent="0.25">
      <c r="B1440"/>
      <c r="C1440"/>
      <c r="E1440" s="8"/>
      <c r="F1440" s="17"/>
      <c r="G1440" s="17"/>
      <c r="H1440"/>
      <c r="I1440"/>
      <c r="J1440"/>
      <c r="K1440"/>
    </row>
    <row r="1441" spans="2:11" x14ac:dyDescent="0.25">
      <c r="B1441"/>
      <c r="C1441"/>
      <c r="E1441" s="8"/>
      <c r="F1441" s="17"/>
      <c r="G1441" s="17"/>
      <c r="H1441"/>
      <c r="I1441"/>
      <c r="J1441"/>
      <c r="K1441"/>
    </row>
    <row r="1442" spans="2:11" x14ac:dyDescent="0.25">
      <c r="B1442"/>
      <c r="C1442"/>
      <c r="E1442" s="8"/>
      <c r="F1442" s="17"/>
      <c r="G1442" s="17"/>
      <c r="H1442"/>
      <c r="I1442"/>
      <c r="J1442"/>
      <c r="K1442"/>
    </row>
    <row r="1443" spans="2:11" x14ac:dyDescent="0.25">
      <c r="B1443"/>
      <c r="C1443"/>
      <c r="E1443" s="8"/>
      <c r="F1443" s="17"/>
      <c r="G1443" s="17"/>
      <c r="H1443"/>
      <c r="I1443"/>
      <c r="J1443"/>
      <c r="K1443"/>
    </row>
    <row r="1444" spans="2:11" x14ac:dyDescent="0.25">
      <c r="B1444"/>
      <c r="C1444"/>
      <c r="E1444" s="8"/>
      <c r="F1444" s="17"/>
      <c r="G1444" s="17"/>
      <c r="H1444"/>
      <c r="I1444"/>
      <c r="J1444"/>
      <c r="K1444"/>
    </row>
    <row r="1445" spans="2:11" x14ac:dyDescent="0.25">
      <c r="B1445"/>
      <c r="C1445"/>
      <c r="E1445" s="8"/>
      <c r="F1445" s="17"/>
      <c r="G1445" s="17"/>
      <c r="H1445"/>
      <c r="I1445"/>
      <c r="J1445"/>
      <c r="K1445"/>
    </row>
    <row r="1446" spans="2:11" x14ac:dyDescent="0.25">
      <c r="B1446"/>
      <c r="C1446"/>
      <c r="E1446" s="8"/>
      <c r="F1446" s="17"/>
      <c r="G1446" s="17"/>
      <c r="H1446"/>
      <c r="I1446"/>
      <c r="J1446"/>
      <c r="K1446"/>
    </row>
    <row r="1447" spans="2:11" x14ac:dyDescent="0.25">
      <c r="B1447"/>
      <c r="C1447"/>
      <c r="E1447" s="8"/>
      <c r="F1447" s="17"/>
      <c r="G1447" s="17"/>
      <c r="H1447"/>
      <c r="I1447"/>
      <c r="J1447"/>
      <c r="K1447"/>
    </row>
    <row r="1448" spans="2:11" x14ac:dyDescent="0.25">
      <c r="B1448"/>
      <c r="C1448"/>
      <c r="E1448" s="8"/>
      <c r="F1448" s="17"/>
      <c r="G1448" s="17"/>
      <c r="H1448"/>
      <c r="I1448"/>
      <c r="J1448"/>
      <c r="K1448"/>
    </row>
    <row r="1449" spans="2:11" x14ac:dyDescent="0.25">
      <c r="B1449"/>
      <c r="C1449"/>
      <c r="E1449" s="8"/>
      <c r="F1449" s="17"/>
      <c r="G1449" s="17"/>
      <c r="H1449"/>
      <c r="I1449"/>
      <c r="J1449"/>
      <c r="K1449"/>
    </row>
    <row r="1450" spans="2:11" x14ac:dyDescent="0.25">
      <c r="B1450"/>
      <c r="C1450"/>
      <c r="E1450" s="8"/>
      <c r="F1450" s="17"/>
      <c r="G1450" s="17"/>
      <c r="H1450"/>
      <c r="I1450"/>
      <c r="J1450"/>
      <c r="K1450"/>
    </row>
    <row r="1451" spans="2:11" x14ac:dyDescent="0.25">
      <c r="B1451"/>
      <c r="C1451"/>
      <c r="E1451" s="8"/>
      <c r="F1451" s="17"/>
      <c r="G1451" s="17"/>
      <c r="H1451"/>
      <c r="I1451"/>
      <c r="J1451"/>
      <c r="K1451"/>
    </row>
    <row r="1452" spans="2:11" x14ac:dyDescent="0.25">
      <c r="B1452"/>
      <c r="C1452"/>
      <c r="E1452" s="8"/>
      <c r="F1452" s="17"/>
      <c r="G1452" s="17"/>
      <c r="H1452"/>
      <c r="I1452"/>
      <c r="J1452"/>
      <c r="K1452"/>
    </row>
    <row r="1453" spans="2:11" x14ac:dyDescent="0.25">
      <c r="B1453"/>
      <c r="C1453"/>
      <c r="E1453" s="8"/>
      <c r="F1453" s="17"/>
      <c r="G1453" s="17"/>
      <c r="H1453"/>
      <c r="I1453"/>
      <c r="J1453"/>
      <c r="K1453"/>
    </row>
    <row r="1454" spans="2:11" x14ac:dyDescent="0.25">
      <c r="B1454"/>
      <c r="C1454"/>
      <c r="E1454" s="8"/>
      <c r="F1454" s="17"/>
      <c r="G1454" s="17"/>
      <c r="H1454"/>
      <c r="I1454"/>
      <c r="J1454"/>
      <c r="K1454"/>
    </row>
    <row r="1455" spans="2:11" x14ac:dyDescent="0.25">
      <c r="B1455"/>
      <c r="C1455"/>
      <c r="E1455" s="8"/>
      <c r="F1455" s="17"/>
      <c r="G1455" s="17"/>
      <c r="H1455"/>
      <c r="I1455"/>
      <c r="J1455"/>
      <c r="K1455"/>
    </row>
    <row r="1456" spans="2:11" x14ac:dyDescent="0.25">
      <c r="B1456"/>
      <c r="C1456"/>
      <c r="E1456" s="8"/>
      <c r="F1456" s="17"/>
      <c r="G1456" s="17"/>
      <c r="H1456"/>
      <c r="I1456"/>
      <c r="J1456"/>
      <c r="K1456"/>
    </row>
    <row r="1457" spans="2:11" x14ac:dyDescent="0.25">
      <c r="B1457"/>
      <c r="C1457"/>
      <c r="E1457" s="8"/>
      <c r="F1457" s="17"/>
      <c r="G1457" s="17"/>
      <c r="H1457"/>
      <c r="I1457"/>
      <c r="J1457"/>
      <c r="K1457"/>
    </row>
    <row r="1458" spans="2:11" x14ac:dyDescent="0.25">
      <c r="B1458"/>
      <c r="C1458"/>
      <c r="E1458" s="8"/>
      <c r="F1458" s="17"/>
      <c r="G1458" s="17"/>
      <c r="H1458"/>
      <c r="I1458"/>
      <c r="J1458"/>
      <c r="K1458"/>
    </row>
    <row r="1459" spans="2:11" x14ac:dyDescent="0.25">
      <c r="B1459"/>
      <c r="C1459"/>
      <c r="E1459" s="8"/>
      <c r="F1459" s="17"/>
      <c r="G1459" s="17"/>
      <c r="H1459"/>
      <c r="I1459"/>
      <c r="J1459"/>
      <c r="K1459"/>
    </row>
    <row r="1460" spans="2:11" x14ac:dyDescent="0.25">
      <c r="B1460"/>
      <c r="C1460"/>
      <c r="E1460" s="8"/>
      <c r="F1460" s="17"/>
      <c r="G1460" s="17"/>
      <c r="H1460"/>
      <c r="I1460"/>
      <c r="J1460"/>
      <c r="K1460"/>
    </row>
    <row r="1461" spans="2:11" x14ac:dyDescent="0.25">
      <c r="B1461"/>
      <c r="C1461"/>
      <c r="E1461" s="8"/>
      <c r="F1461" s="17"/>
      <c r="G1461" s="17"/>
      <c r="H1461"/>
      <c r="I1461"/>
      <c r="J1461"/>
      <c r="K1461"/>
    </row>
    <row r="1462" spans="2:11" x14ac:dyDescent="0.25">
      <c r="B1462"/>
      <c r="C1462"/>
      <c r="E1462" s="8"/>
      <c r="F1462" s="17"/>
      <c r="G1462" s="17"/>
      <c r="H1462"/>
      <c r="I1462"/>
      <c r="J1462"/>
      <c r="K1462"/>
    </row>
    <row r="1463" spans="2:11" x14ac:dyDescent="0.25">
      <c r="B1463"/>
      <c r="C1463"/>
      <c r="E1463" s="8"/>
      <c r="F1463" s="17"/>
      <c r="G1463" s="17"/>
      <c r="H1463"/>
      <c r="I1463"/>
      <c r="J1463"/>
      <c r="K1463"/>
    </row>
    <row r="1464" spans="2:11" x14ac:dyDescent="0.25">
      <c r="B1464"/>
      <c r="C1464"/>
      <c r="E1464" s="8"/>
      <c r="F1464" s="17"/>
      <c r="G1464" s="17"/>
      <c r="H1464"/>
      <c r="I1464"/>
      <c r="J1464"/>
      <c r="K1464"/>
    </row>
    <row r="1465" spans="2:11" x14ac:dyDescent="0.25">
      <c r="B1465"/>
      <c r="C1465"/>
      <c r="E1465" s="8"/>
      <c r="F1465" s="17"/>
      <c r="G1465" s="17"/>
      <c r="H1465"/>
      <c r="I1465"/>
      <c r="J1465"/>
      <c r="K1465"/>
    </row>
    <row r="1466" spans="2:11" x14ac:dyDescent="0.25">
      <c r="B1466"/>
      <c r="C1466"/>
      <c r="E1466" s="8"/>
      <c r="F1466" s="17"/>
      <c r="G1466" s="17"/>
      <c r="H1466"/>
      <c r="I1466"/>
      <c r="J1466"/>
      <c r="K1466"/>
    </row>
    <row r="1467" spans="2:11" x14ac:dyDescent="0.25">
      <c r="B1467"/>
      <c r="C1467"/>
      <c r="E1467" s="8"/>
      <c r="F1467" s="17"/>
      <c r="G1467" s="17"/>
      <c r="H1467"/>
      <c r="I1467"/>
      <c r="J1467"/>
      <c r="K1467"/>
    </row>
    <row r="1468" spans="2:11" x14ac:dyDescent="0.25">
      <c r="B1468"/>
      <c r="C1468"/>
      <c r="E1468" s="8"/>
      <c r="F1468" s="17"/>
      <c r="G1468" s="17"/>
      <c r="H1468"/>
      <c r="I1468"/>
      <c r="J1468"/>
      <c r="K1468"/>
    </row>
    <row r="1469" spans="2:11" x14ac:dyDescent="0.25">
      <c r="B1469"/>
      <c r="C1469"/>
      <c r="E1469" s="8"/>
      <c r="F1469" s="17"/>
      <c r="G1469" s="17"/>
      <c r="H1469"/>
      <c r="I1469"/>
      <c r="J1469"/>
      <c r="K1469"/>
    </row>
    <row r="1470" spans="2:11" x14ac:dyDescent="0.25">
      <c r="B1470"/>
      <c r="C1470"/>
      <c r="E1470" s="8"/>
      <c r="F1470" s="17"/>
      <c r="G1470" s="17"/>
      <c r="H1470"/>
      <c r="I1470"/>
      <c r="J1470"/>
      <c r="K1470"/>
    </row>
    <row r="1471" spans="2:11" x14ac:dyDescent="0.25">
      <c r="B1471"/>
      <c r="C1471"/>
      <c r="E1471" s="8"/>
      <c r="F1471" s="17"/>
      <c r="G1471" s="17"/>
      <c r="H1471"/>
      <c r="I1471"/>
      <c r="J1471"/>
      <c r="K1471"/>
    </row>
    <row r="1472" spans="2:11" x14ac:dyDescent="0.25">
      <c r="B1472"/>
      <c r="C1472"/>
      <c r="E1472" s="8"/>
      <c r="F1472" s="17"/>
      <c r="G1472" s="17"/>
      <c r="H1472"/>
      <c r="I1472"/>
      <c r="J1472"/>
      <c r="K1472"/>
    </row>
    <row r="1473" spans="2:11" x14ac:dyDescent="0.25">
      <c r="B1473"/>
      <c r="C1473"/>
      <c r="E1473" s="8"/>
      <c r="F1473" s="17"/>
      <c r="G1473" s="17"/>
      <c r="H1473"/>
      <c r="I1473"/>
      <c r="J1473"/>
      <c r="K1473"/>
    </row>
    <row r="1474" spans="2:11" x14ac:dyDescent="0.25">
      <c r="B1474"/>
      <c r="C1474"/>
      <c r="E1474" s="8"/>
      <c r="F1474" s="17"/>
      <c r="G1474" s="17"/>
      <c r="H1474"/>
      <c r="I1474"/>
      <c r="J1474"/>
      <c r="K1474"/>
    </row>
    <row r="1475" spans="2:11" x14ac:dyDescent="0.25">
      <c r="B1475"/>
      <c r="C1475"/>
      <c r="E1475" s="8"/>
      <c r="F1475" s="17"/>
      <c r="G1475" s="17"/>
      <c r="H1475"/>
      <c r="I1475"/>
      <c r="J1475"/>
      <c r="K1475"/>
    </row>
    <row r="1476" spans="2:11" x14ac:dyDescent="0.25">
      <c r="B1476"/>
      <c r="C1476"/>
      <c r="E1476" s="8"/>
      <c r="F1476" s="17"/>
      <c r="G1476" s="17"/>
      <c r="H1476"/>
      <c r="I1476"/>
      <c r="J1476"/>
      <c r="K1476"/>
    </row>
    <row r="1477" spans="2:11" x14ac:dyDescent="0.25">
      <c r="B1477"/>
      <c r="C1477"/>
      <c r="E1477" s="8"/>
      <c r="F1477" s="17"/>
      <c r="G1477" s="17"/>
      <c r="H1477"/>
      <c r="I1477"/>
      <c r="J1477"/>
      <c r="K1477"/>
    </row>
    <row r="1478" spans="2:11" x14ac:dyDescent="0.25">
      <c r="B1478"/>
      <c r="C1478"/>
      <c r="E1478" s="8"/>
      <c r="F1478" s="17"/>
      <c r="G1478" s="17"/>
      <c r="H1478"/>
      <c r="I1478"/>
      <c r="J1478"/>
      <c r="K1478"/>
    </row>
    <row r="1479" spans="2:11" x14ac:dyDescent="0.25">
      <c r="B1479"/>
      <c r="C1479"/>
      <c r="E1479" s="8"/>
      <c r="F1479" s="17"/>
      <c r="G1479" s="17"/>
      <c r="H1479"/>
      <c r="I1479"/>
      <c r="J1479"/>
      <c r="K1479"/>
    </row>
    <row r="1480" spans="2:11" x14ac:dyDescent="0.25">
      <c r="B1480"/>
      <c r="C1480"/>
      <c r="E1480" s="8"/>
      <c r="F1480" s="17"/>
      <c r="G1480" s="17"/>
      <c r="H1480"/>
      <c r="I1480"/>
      <c r="J1480"/>
      <c r="K1480"/>
    </row>
    <row r="1481" spans="2:11" x14ac:dyDescent="0.25">
      <c r="B1481"/>
      <c r="C1481"/>
      <c r="E1481" s="8"/>
      <c r="F1481" s="17"/>
      <c r="G1481" s="17"/>
      <c r="H1481"/>
      <c r="I1481"/>
      <c r="J1481"/>
      <c r="K1481"/>
    </row>
    <row r="1482" spans="2:11" x14ac:dyDescent="0.25">
      <c r="B1482"/>
      <c r="C1482"/>
      <c r="E1482" s="8"/>
      <c r="F1482" s="17"/>
      <c r="G1482" s="17"/>
      <c r="H1482"/>
      <c r="I1482"/>
      <c r="J1482"/>
      <c r="K1482"/>
    </row>
    <row r="1483" spans="2:11" x14ac:dyDescent="0.25">
      <c r="B1483"/>
      <c r="C1483"/>
      <c r="E1483" s="8"/>
      <c r="F1483" s="17"/>
      <c r="G1483" s="17"/>
      <c r="H1483"/>
      <c r="I1483"/>
      <c r="J1483"/>
      <c r="K1483"/>
    </row>
    <row r="1484" spans="2:11" x14ac:dyDescent="0.25">
      <c r="B1484"/>
      <c r="C1484"/>
      <c r="E1484" s="8"/>
      <c r="F1484" s="17"/>
      <c r="G1484" s="17"/>
      <c r="H1484"/>
      <c r="I1484"/>
      <c r="J1484"/>
      <c r="K1484"/>
    </row>
    <row r="1485" spans="2:11" x14ac:dyDescent="0.25">
      <c r="B1485"/>
      <c r="C1485"/>
      <c r="E1485" s="8"/>
      <c r="F1485" s="17"/>
      <c r="G1485" s="17"/>
      <c r="H1485"/>
      <c r="I1485"/>
      <c r="J1485"/>
      <c r="K1485"/>
    </row>
    <row r="1486" spans="2:11" x14ac:dyDescent="0.25">
      <c r="B1486"/>
      <c r="C1486"/>
      <c r="E1486" s="8"/>
      <c r="F1486" s="17"/>
      <c r="G1486" s="17"/>
      <c r="H1486"/>
      <c r="I1486"/>
      <c r="J1486"/>
      <c r="K1486"/>
    </row>
    <row r="1487" spans="2:11" x14ac:dyDescent="0.25">
      <c r="B1487"/>
      <c r="C1487"/>
      <c r="E1487" s="8"/>
      <c r="F1487" s="17"/>
      <c r="G1487" s="17"/>
      <c r="H1487"/>
      <c r="I1487"/>
      <c r="J1487"/>
      <c r="K1487"/>
    </row>
    <row r="1488" spans="2:11" x14ac:dyDescent="0.25">
      <c r="B1488"/>
      <c r="C1488"/>
      <c r="E1488" s="8"/>
      <c r="F1488" s="17"/>
      <c r="G1488" s="17"/>
      <c r="H1488"/>
      <c r="I1488"/>
      <c r="J1488"/>
      <c r="K1488"/>
    </row>
    <row r="1489" spans="2:11" x14ac:dyDescent="0.25">
      <c r="B1489"/>
      <c r="C1489"/>
      <c r="E1489" s="8"/>
      <c r="F1489" s="17"/>
      <c r="G1489" s="17"/>
      <c r="H1489"/>
      <c r="I1489"/>
      <c r="J1489"/>
      <c r="K1489"/>
    </row>
    <row r="1490" spans="2:11" x14ac:dyDescent="0.25">
      <c r="B1490"/>
      <c r="C1490"/>
      <c r="E1490" s="8"/>
      <c r="F1490" s="17"/>
      <c r="G1490" s="17"/>
      <c r="H1490"/>
      <c r="I1490"/>
      <c r="J1490"/>
      <c r="K1490"/>
    </row>
    <row r="1491" spans="2:11" x14ac:dyDescent="0.25">
      <c r="B1491"/>
      <c r="C1491"/>
      <c r="E1491" s="8"/>
      <c r="F1491" s="17"/>
      <c r="G1491" s="17"/>
      <c r="H1491"/>
      <c r="I1491"/>
      <c r="J1491"/>
      <c r="K1491"/>
    </row>
    <row r="1492" spans="2:11" x14ac:dyDescent="0.25">
      <c r="B1492"/>
      <c r="C1492"/>
      <c r="E1492" s="8"/>
      <c r="F1492" s="17"/>
      <c r="G1492" s="17"/>
      <c r="H1492"/>
      <c r="I1492"/>
      <c r="J1492"/>
      <c r="K1492"/>
    </row>
    <row r="1493" spans="2:11" x14ac:dyDescent="0.25">
      <c r="B1493"/>
      <c r="C1493"/>
      <c r="E1493" s="8"/>
      <c r="F1493" s="17"/>
      <c r="G1493" s="17"/>
      <c r="H1493"/>
      <c r="I1493"/>
      <c r="J1493"/>
      <c r="K1493"/>
    </row>
    <row r="1494" spans="2:11" x14ac:dyDescent="0.25">
      <c r="B1494"/>
      <c r="C1494"/>
      <c r="E1494" s="8"/>
      <c r="F1494" s="17"/>
      <c r="G1494" s="17"/>
      <c r="H1494"/>
      <c r="I1494"/>
      <c r="J1494"/>
      <c r="K1494"/>
    </row>
    <row r="1495" spans="2:11" x14ac:dyDescent="0.25">
      <c r="B1495"/>
      <c r="C1495"/>
      <c r="E1495" s="8"/>
      <c r="F1495" s="17"/>
      <c r="G1495" s="17"/>
      <c r="H1495"/>
      <c r="I1495"/>
      <c r="J1495"/>
      <c r="K1495"/>
    </row>
    <row r="1496" spans="2:11" x14ac:dyDescent="0.25">
      <c r="B1496"/>
      <c r="C1496"/>
      <c r="E1496" s="8"/>
      <c r="F1496" s="17"/>
      <c r="G1496" s="17"/>
      <c r="H1496"/>
      <c r="I1496"/>
      <c r="J1496"/>
      <c r="K1496"/>
    </row>
    <row r="1497" spans="2:11" x14ac:dyDescent="0.25">
      <c r="B1497"/>
      <c r="C1497"/>
      <c r="E1497" s="8"/>
      <c r="F1497" s="17"/>
      <c r="G1497" s="17"/>
      <c r="H1497"/>
      <c r="I1497"/>
      <c r="J1497"/>
      <c r="K1497"/>
    </row>
    <row r="1498" spans="2:11" x14ac:dyDescent="0.25">
      <c r="B1498"/>
      <c r="C1498"/>
      <c r="E1498" s="8"/>
      <c r="F1498" s="17"/>
      <c r="G1498" s="17"/>
      <c r="H1498"/>
      <c r="I1498"/>
      <c r="J1498"/>
      <c r="K1498"/>
    </row>
    <row r="1499" spans="2:11" x14ac:dyDescent="0.25">
      <c r="B1499"/>
      <c r="C1499"/>
      <c r="E1499" s="8"/>
      <c r="F1499" s="17"/>
      <c r="G1499" s="17"/>
      <c r="H1499"/>
      <c r="I1499"/>
      <c r="J1499"/>
      <c r="K1499"/>
    </row>
    <row r="1500" spans="2:11" x14ac:dyDescent="0.25">
      <c r="B1500"/>
      <c r="C1500"/>
      <c r="E1500" s="8"/>
      <c r="F1500" s="17"/>
      <c r="G1500" s="17"/>
      <c r="H1500"/>
      <c r="I1500"/>
      <c r="J1500"/>
      <c r="K1500"/>
    </row>
    <row r="1501" spans="2:11" x14ac:dyDescent="0.25">
      <c r="B1501"/>
      <c r="C1501"/>
      <c r="E1501" s="8"/>
      <c r="F1501" s="17"/>
      <c r="G1501" s="17"/>
      <c r="H1501"/>
      <c r="I1501"/>
      <c r="J1501"/>
      <c r="K1501"/>
    </row>
    <row r="1502" spans="2:11" x14ac:dyDescent="0.25">
      <c r="B1502"/>
      <c r="C1502"/>
      <c r="E1502" s="8"/>
      <c r="F1502" s="17"/>
      <c r="G1502" s="17"/>
      <c r="H1502"/>
      <c r="I1502"/>
      <c r="J1502"/>
      <c r="K1502"/>
    </row>
    <row r="1503" spans="2:11" x14ac:dyDescent="0.25">
      <c r="B1503"/>
      <c r="C1503"/>
      <c r="E1503" s="8"/>
      <c r="F1503" s="17"/>
      <c r="G1503" s="17"/>
      <c r="H1503"/>
      <c r="I1503"/>
      <c r="J1503"/>
      <c r="K1503"/>
    </row>
    <row r="1504" spans="2:11" x14ac:dyDescent="0.25">
      <c r="B1504"/>
      <c r="C1504"/>
      <c r="E1504" s="8"/>
      <c r="F1504" s="17"/>
      <c r="G1504" s="17"/>
      <c r="H1504"/>
      <c r="I1504"/>
      <c r="J1504"/>
      <c r="K1504"/>
    </row>
    <row r="1505" spans="2:11" x14ac:dyDescent="0.25">
      <c r="B1505"/>
      <c r="C1505"/>
      <c r="E1505" s="8"/>
      <c r="F1505" s="17"/>
      <c r="G1505" s="17"/>
      <c r="H1505"/>
      <c r="I1505"/>
      <c r="J1505"/>
      <c r="K1505"/>
    </row>
    <row r="1506" spans="2:11" x14ac:dyDescent="0.25">
      <c r="B1506"/>
      <c r="C1506"/>
      <c r="E1506" s="8"/>
      <c r="F1506" s="17"/>
      <c r="G1506" s="17"/>
      <c r="H1506"/>
      <c r="I1506"/>
      <c r="J1506"/>
      <c r="K1506"/>
    </row>
    <row r="1507" spans="2:11" x14ac:dyDescent="0.25">
      <c r="B1507"/>
      <c r="C1507"/>
      <c r="E1507" s="8"/>
      <c r="F1507" s="17"/>
      <c r="G1507" s="17"/>
      <c r="H1507"/>
      <c r="I1507"/>
      <c r="J1507"/>
      <c r="K1507"/>
    </row>
    <row r="1508" spans="2:11" x14ac:dyDescent="0.25">
      <c r="B1508"/>
      <c r="C1508"/>
      <c r="E1508" s="8"/>
      <c r="F1508" s="17"/>
      <c r="G1508" s="17"/>
      <c r="H1508"/>
      <c r="I1508"/>
      <c r="J1508"/>
      <c r="K1508"/>
    </row>
    <row r="1509" spans="2:11" x14ac:dyDescent="0.25">
      <c r="B1509"/>
      <c r="C1509"/>
      <c r="E1509" s="8"/>
      <c r="F1509" s="17"/>
      <c r="G1509" s="17"/>
      <c r="H1509"/>
      <c r="I1509"/>
      <c r="J1509"/>
      <c r="K1509"/>
    </row>
    <row r="1510" spans="2:11" x14ac:dyDescent="0.25">
      <c r="B1510"/>
      <c r="C1510"/>
      <c r="E1510" s="8"/>
      <c r="F1510" s="17"/>
      <c r="G1510" s="17"/>
      <c r="H1510"/>
      <c r="I1510"/>
      <c r="J1510"/>
      <c r="K1510"/>
    </row>
    <row r="1511" spans="2:11" x14ac:dyDescent="0.25">
      <c r="B1511"/>
      <c r="C1511"/>
      <c r="E1511" s="8"/>
      <c r="F1511" s="17"/>
      <c r="G1511" s="17"/>
      <c r="H1511"/>
      <c r="I1511"/>
      <c r="J1511"/>
      <c r="K1511"/>
    </row>
    <row r="1512" spans="2:11" x14ac:dyDescent="0.25">
      <c r="B1512"/>
      <c r="C1512"/>
      <c r="E1512" s="8"/>
      <c r="F1512" s="17"/>
      <c r="G1512" s="17"/>
      <c r="H1512"/>
      <c r="I1512"/>
      <c r="J1512"/>
      <c r="K1512"/>
    </row>
    <row r="1513" spans="2:11" x14ac:dyDescent="0.25">
      <c r="B1513"/>
      <c r="C1513"/>
      <c r="E1513" s="8"/>
      <c r="F1513" s="17"/>
      <c r="G1513" s="17"/>
      <c r="H1513"/>
      <c r="I1513"/>
      <c r="J1513"/>
      <c r="K1513"/>
    </row>
    <row r="1514" spans="2:11" x14ac:dyDescent="0.25">
      <c r="B1514"/>
      <c r="C1514"/>
      <c r="E1514" s="8"/>
      <c r="F1514" s="17"/>
      <c r="G1514" s="17"/>
      <c r="H1514"/>
      <c r="I1514"/>
      <c r="J1514"/>
      <c r="K1514"/>
    </row>
    <row r="1515" spans="2:11" x14ac:dyDescent="0.25">
      <c r="B1515"/>
      <c r="C1515"/>
      <c r="E1515" s="8"/>
      <c r="F1515" s="17"/>
      <c r="G1515" s="17"/>
      <c r="H1515"/>
      <c r="I1515"/>
      <c r="J1515"/>
      <c r="K1515"/>
    </row>
    <row r="1516" spans="2:11" x14ac:dyDescent="0.25">
      <c r="B1516"/>
      <c r="C1516"/>
      <c r="E1516" s="8"/>
      <c r="F1516" s="17"/>
      <c r="G1516" s="17"/>
      <c r="H1516"/>
      <c r="I1516"/>
      <c r="J1516"/>
      <c r="K1516"/>
    </row>
    <row r="1517" spans="2:11" x14ac:dyDescent="0.25">
      <c r="B1517"/>
      <c r="C1517"/>
      <c r="E1517" s="8"/>
      <c r="F1517" s="17"/>
      <c r="G1517" s="17"/>
      <c r="H1517"/>
      <c r="I1517"/>
      <c r="J1517"/>
      <c r="K1517"/>
    </row>
    <row r="1518" spans="2:11" x14ac:dyDescent="0.25">
      <c r="B1518"/>
      <c r="C1518"/>
      <c r="E1518" s="8"/>
      <c r="F1518" s="17"/>
      <c r="G1518" s="17"/>
      <c r="H1518"/>
      <c r="I1518"/>
      <c r="J1518"/>
      <c r="K1518"/>
    </row>
    <row r="1519" spans="2:11" x14ac:dyDescent="0.25">
      <c r="B1519"/>
      <c r="C1519"/>
      <c r="E1519" s="8"/>
      <c r="F1519" s="17"/>
      <c r="G1519" s="17"/>
      <c r="H1519"/>
      <c r="I1519"/>
      <c r="J1519"/>
      <c r="K1519"/>
    </row>
    <row r="1520" spans="2:11" x14ac:dyDescent="0.25">
      <c r="B1520"/>
      <c r="C1520"/>
      <c r="E1520" s="8"/>
      <c r="F1520" s="17"/>
      <c r="G1520" s="17"/>
      <c r="H1520"/>
      <c r="I1520"/>
      <c r="J1520"/>
      <c r="K1520"/>
    </row>
    <row r="1521" spans="2:11" x14ac:dyDescent="0.25">
      <c r="B1521"/>
      <c r="C1521"/>
      <c r="E1521" s="8"/>
      <c r="F1521" s="17"/>
      <c r="G1521" s="17"/>
      <c r="H1521"/>
      <c r="I1521"/>
      <c r="J1521"/>
      <c r="K1521"/>
    </row>
    <row r="1522" spans="2:11" x14ac:dyDescent="0.25">
      <c r="B1522"/>
      <c r="C1522"/>
      <c r="E1522" s="8"/>
      <c r="F1522" s="17"/>
      <c r="G1522" s="17"/>
      <c r="H1522"/>
      <c r="I1522"/>
      <c r="J1522"/>
      <c r="K1522"/>
    </row>
    <row r="1523" spans="2:11" x14ac:dyDescent="0.25">
      <c r="B1523"/>
      <c r="C1523"/>
      <c r="E1523" s="8"/>
      <c r="F1523" s="17"/>
      <c r="G1523" s="17"/>
      <c r="H1523"/>
      <c r="I1523"/>
      <c r="J1523"/>
      <c r="K1523"/>
    </row>
    <row r="1524" spans="2:11" x14ac:dyDescent="0.25">
      <c r="B1524"/>
      <c r="C1524"/>
      <c r="E1524" s="8"/>
      <c r="F1524" s="17"/>
      <c r="G1524" s="17"/>
      <c r="H1524"/>
      <c r="I1524"/>
      <c r="J1524"/>
      <c r="K1524"/>
    </row>
    <row r="1525" spans="2:11" x14ac:dyDescent="0.25">
      <c r="B1525"/>
      <c r="C1525"/>
      <c r="E1525" s="8"/>
      <c r="F1525" s="17"/>
      <c r="G1525" s="17"/>
      <c r="H1525"/>
      <c r="I1525"/>
      <c r="J1525"/>
      <c r="K1525"/>
    </row>
    <row r="1526" spans="2:11" x14ac:dyDescent="0.25">
      <c r="B1526"/>
      <c r="C1526"/>
      <c r="E1526" s="8"/>
      <c r="F1526" s="17"/>
      <c r="G1526" s="17"/>
      <c r="H1526"/>
      <c r="I1526"/>
      <c r="J1526"/>
      <c r="K1526"/>
    </row>
    <row r="1527" spans="2:11" x14ac:dyDescent="0.25">
      <c r="B1527"/>
      <c r="C1527"/>
      <c r="E1527" s="8"/>
      <c r="F1527" s="17"/>
      <c r="G1527" s="17"/>
      <c r="H1527"/>
      <c r="I1527"/>
      <c r="J1527"/>
      <c r="K1527"/>
    </row>
    <row r="1528" spans="2:11" x14ac:dyDescent="0.25">
      <c r="B1528"/>
      <c r="C1528"/>
      <c r="E1528" s="8"/>
      <c r="F1528" s="17"/>
      <c r="G1528" s="17"/>
      <c r="H1528"/>
      <c r="I1528"/>
      <c r="J1528"/>
      <c r="K1528"/>
    </row>
    <row r="1529" spans="2:11" x14ac:dyDescent="0.25">
      <c r="B1529"/>
      <c r="C1529"/>
      <c r="E1529" s="8"/>
      <c r="F1529" s="17"/>
      <c r="G1529" s="17"/>
      <c r="H1529"/>
      <c r="I1529"/>
      <c r="J1529"/>
      <c r="K1529"/>
    </row>
    <row r="1530" spans="2:11" x14ac:dyDescent="0.25">
      <c r="B1530"/>
      <c r="C1530"/>
      <c r="E1530" s="8"/>
      <c r="F1530" s="17"/>
      <c r="G1530" s="17"/>
      <c r="H1530"/>
      <c r="I1530"/>
      <c r="J1530"/>
      <c r="K1530"/>
    </row>
    <row r="1531" spans="2:11" x14ac:dyDescent="0.25">
      <c r="B1531"/>
      <c r="C1531"/>
      <c r="E1531" s="8"/>
      <c r="F1531" s="17"/>
      <c r="G1531" s="17"/>
      <c r="H1531"/>
      <c r="I1531"/>
      <c r="J1531"/>
      <c r="K1531"/>
    </row>
    <row r="1532" spans="2:11" x14ac:dyDescent="0.25">
      <c r="B1532"/>
      <c r="C1532"/>
      <c r="E1532" s="8"/>
      <c r="F1532" s="17"/>
      <c r="G1532" s="17"/>
      <c r="H1532"/>
      <c r="I1532"/>
      <c r="J1532"/>
      <c r="K1532"/>
    </row>
    <row r="1533" spans="2:11" x14ac:dyDescent="0.25">
      <c r="B1533"/>
      <c r="C1533"/>
      <c r="E1533" s="8"/>
      <c r="F1533" s="17"/>
      <c r="G1533" s="17"/>
      <c r="H1533"/>
      <c r="I1533"/>
      <c r="J1533"/>
      <c r="K1533"/>
    </row>
    <row r="1534" spans="2:11" x14ac:dyDescent="0.25">
      <c r="B1534"/>
      <c r="C1534"/>
      <c r="E1534" s="8"/>
      <c r="F1534" s="17"/>
      <c r="G1534" s="17"/>
      <c r="H1534"/>
      <c r="I1534"/>
      <c r="J1534"/>
      <c r="K1534"/>
    </row>
    <row r="1535" spans="2:11" x14ac:dyDescent="0.25">
      <c r="B1535"/>
      <c r="C1535"/>
      <c r="E1535" s="8"/>
      <c r="F1535" s="17"/>
      <c r="G1535" s="17"/>
      <c r="H1535"/>
      <c r="I1535"/>
      <c r="J1535"/>
      <c r="K1535"/>
    </row>
    <row r="1536" spans="2:11" x14ac:dyDescent="0.25">
      <c r="B1536"/>
      <c r="C1536"/>
      <c r="E1536" s="8"/>
      <c r="F1536" s="17"/>
      <c r="G1536" s="17"/>
      <c r="H1536"/>
      <c r="I1536"/>
      <c r="J1536"/>
      <c r="K1536"/>
    </row>
    <row r="1537" spans="2:11" x14ac:dyDescent="0.25">
      <c r="B1537"/>
      <c r="C1537"/>
      <c r="E1537" s="8"/>
      <c r="F1537" s="17"/>
      <c r="G1537" s="17"/>
      <c r="H1537"/>
      <c r="I1537"/>
      <c r="J1537"/>
      <c r="K1537"/>
    </row>
    <row r="1538" spans="2:11" x14ac:dyDescent="0.25">
      <c r="B1538"/>
      <c r="C1538"/>
      <c r="E1538" s="8"/>
      <c r="F1538" s="17"/>
      <c r="G1538" s="17"/>
      <c r="H1538"/>
      <c r="I1538"/>
      <c r="J1538"/>
      <c r="K1538"/>
    </row>
    <row r="1539" spans="2:11" x14ac:dyDescent="0.25">
      <c r="B1539"/>
      <c r="C1539"/>
      <c r="E1539" s="8"/>
      <c r="F1539" s="17"/>
      <c r="G1539" s="17"/>
      <c r="H1539"/>
      <c r="I1539"/>
      <c r="J1539"/>
      <c r="K1539"/>
    </row>
    <row r="1540" spans="2:11" x14ac:dyDescent="0.25">
      <c r="B1540"/>
      <c r="C1540"/>
      <c r="E1540" s="8"/>
      <c r="F1540" s="17"/>
      <c r="G1540" s="17"/>
      <c r="H1540"/>
      <c r="I1540"/>
      <c r="J1540"/>
      <c r="K1540"/>
    </row>
    <row r="1541" spans="2:11" x14ac:dyDescent="0.25">
      <c r="B1541"/>
      <c r="C1541"/>
      <c r="E1541" s="8"/>
      <c r="F1541" s="17"/>
      <c r="G1541" s="17"/>
      <c r="H1541"/>
      <c r="I1541"/>
      <c r="J1541"/>
      <c r="K1541"/>
    </row>
    <row r="1542" spans="2:11" x14ac:dyDescent="0.25">
      <c r="B1542"/>
      <c r="C1542"/>
      <c r="E1542" s="8"/>
      <c r="F1542" s="17"/>
      <c r="G1542" s="17"/>
      <c r="H1542"/>
      <c r="I1542"/>
      <c r="J1542"/>
      <c r="K1542"/>
    </row>
    <row r="1543" spans="2:11" x14ac:dyDescent="0.25">
      <c r="B1543"/>
      <c r="C1543"/>
      <c r="E1543" s="8"/>
      <c r="F1543" s="17"/>
      <c r="G1543" s="17"/>
      <c r="H1543"/>
      <c r="I1543"/>
      <c r="J1543"/>
      <c r="K1543"/>
    </row>
    <row r="1544" spans="2:11" x14ac:dyDescent="0.25">
      <c r="B1544"/>
      <c r="C1544"/>
      <c r="E1544" s="8"/>
      <c r="F1544" s="17"/>
      <c r="G1544" s="17"/>
      <c r="H1544"/>
      <c r="I1544"/>
      <c r="J1544"/>
      <c r="K1544"/>
    </row>
    <row r="1545" spans="2:11" x14ac:dyDescent="0.25">
      <c r="B1545"/>
      <c r="C1545"/>
      <c r="E1545" s="8"/>
      <c r="F1545" s="17"/>
      <c r="G1545" s="17"/>
      <c r="H1545"/>
      <c r="I1545"/>
      <c r="J1545"/>
      <c r="K1545"/>
    </row>
    <row r="1546" spans="2:11" x14ac:dyDescent="0.25">
      <c r="B1546"/>
      <c r="C1546"/>
      <c r="E1546" s="8"/>
      <c r="F1546" s="17"/>
      <c r="G1546" s="17"/>
      <c r="H1546"/>
      <c r="I1546"/>
      <c r="J1546"/>
      <c r="K1546"/>
    </row>
    <row r="1547" spans="2:11" x14ac:dyDescent="0.25">
      <c r="B1547"/>
      <c r="C1547"/>
      <c r="E1547" s="8"/>
      <c r="F1547" s="17"/>
      <c r="G1547" s="17"/>
      <c r="H1547"/>
      <c r="I1547"/>
      <c r="J1547"/>
      <c r="K1547"/>
    </row>
    <row r="1548" spans="2:11" x14ac:dyDescent="0.25">
      <c r="B1548"/>
      <c r="C1548"/>
      <c r="E1548" s="8"/>
      <c r="F1548" s="17"/>
      <c r="G1548" s="17"/>
      <c r="H1548"/>
      <c r="I1548"/>
      <c r="J1548"/>
      <c r="K1548"/>
    </row>
    <row r="1549" spans="2:11" x14ac:dyDescent="0.25">
      <c r="B1549"/>
      <c r="C1549"/>
      <c r="E1549" s="8"/>
      <c r="F1549" s="17"/>
      <c r="G1549" s="17"/>
      <c r="H1549"/>
      <c r="I1549"/>
      <c r="J1549"/>
      <c r="K1549"/>
    </row>
    <row r="1550" spans="2:11" x14ac:dyDescent="0.25">
      <c r="B1550"/>
      <c r="C1550"/>
      <c r="E1550" s="8"/>
      <c r="F1550" s="17"/>
      <c r="G1550" s="17"/>
      <c r="H1550"/>
      <c r="I1550"/>
      <c r="J1550"/>
      <c r="K1550"/>
    </row>
    <row r="1551" spans="2:11" x14ac:dyDescent="0.25">
      <c r="B1551"/>
      <c r="C1551"/>
      <c r="E1551" s="8"/>
      <c r="F1551" s="17"/>
      <c r="G1551" s="17"/>
      <c r="H1551"/>
      <c r="I1551"/>
      <c r="J1551"/>
      <c r="K1551"/>
    </row>
    <row r="1552" spans="2:11" x14ac:dyDescent="0.25">
      <c r="B1552"/>
      <c r="C1552"/>
      <c r="E1552" s="8"/>
      <c r="F1552" s="17"/>
      <c r="G1552" s="17"/>
      <c r="H1552"/>
      <c r="I1552"/>
      <c r="J1552"/>
      <c r="K1552"/>
    </row>
    <row r="1553" spans="2:11" x14ac:dyDescent="0.25">
      <c r="B1553"/>
      <c r="C1553"/>
      <c r="E1553" s="8"/>
      <c r="F1553" s="17"/>
      <c r="G1553" s="17"/>
      <c r="H1553"/>
      <c r="I1553"/>
      <c r="J1553"/>
      <c r="K1553"/>
    </row>
    <row r="1554" spans="2:11" x14ac:dyDescent="0.25">
      <c r="B1554"/>
      <c r="C1554"/>
      <c r="E1554" s="8"/>
      <c r="F1554" s="17"/>
      <c r="G1554" s="17"/>
      <c r="H1554"/>
      <c r="I1554"/>
      <c r="J1554"/>
      <c r="K1554"/>
    </row>
    <row r="1555" spans="2:11" x14ac:dyDescent="0.25">
      <c r="B1555"/>
      <c r="C1555"/>
      <c r="E1555" s="8"/>
      <c r="F1555" s="17"/>
      <c r="G1555" s="17"/>
      <c r="H1555"/>
      <c r="I1555"/>
      <c r="J1555"/>
      <c r="K1555"/>
    </row>
    <row r="1556" spans="2:11" x14ac:dyDescent="0.25">
      <c r="B1556"/>
      <c r="C1556"/>
      <c r="E1556" s="8"/>
      <c r="F1556" s="17"/>
      <c r="G1556" s="17"/>
      <c r="H1556"/>
      <c r="I1556"/>
      <c r="J1556"/>
      <c r="K1556"/>
    </row>
    <row r="1557" spans="2:11" x14ac:dyDescent="0.25">
      <c r="B1557"/>
      <c r="C1557"/>
      <c r="E1557" s="8"/>
      <c r="F1557" s="17"/>
      <c r="G1557" s="17"/>
      <c r="H1557"/>
      <c r="I1557"/>
      <c r="J1557"/>
      <c r="K1557"/>
    </row>
    <row r="1558" spans="2:11" x14ac:dyDescent="0.25">
      <c r="B1558"/>
      <c r="C1558"/>
      <c r="E1558" s="8"/>
      <c r="F1558" s="17"/>
      <c r="G1558" s="17"/>
      <c r="H1558"/>
      <c r="I1558"/>
      <c r="J1558"/>
      <c r="K1558"/>
    </row>
    <row r="1559" spans="2:11" x14ac:dyDescent="0.25">
      <c r="B1559"/>
      <c r="C1559"/>
      <c r="E1559" s="8"/>
      <c r="F1559" s="17"/>
      <c r="G1559" s="17"/>
      <c r="H1559"/>
      <c r="I1559"/>
      <c r="J1559"/>
      <c r="K1559"/>
    </row>
    <row r="1560" spans="2:11" x14ac:dyDescent="0.25">
      <c r="B1560"/>
      <c r="C1560"/>
      <c r="E1560" s="8"/>
      <c r="F1560" s="17"/>
      <c r="G1560" s="17"/>
      <c r="H1560"/>
      <c r="I1560"/>
      <c r="J1560"/>
      <c r="K1560"/>
    </row>
    <row r="1561" spans="2:11" x14ac:dyDescent="0.25">
      <c r="B1561"/>
      <c r="C1561"/>
      <c r="E1561" s="8"/>
      <c r="F1561" s="17"/>
      <c r="G1561" s="17"/>
      <c r="H1561"/>
      <c r="I1561"/>
      <c r="J1561"/>
      <c r="K1561"/>
    </row>
    <row r="1562" spans="2:11" x14ac:dyDescent="0.25">
      <c r="B1562"/>
      <c r="C1562"/>
      <c r="E1562" s="8"/>
      <c r="F1562" s="17"/>
      <c r="G1562" s="17"/>
      <c r="H1562"/>
      <c r="I1562"/>
      <c r="J1562"/>
      <c r="K1562"/>
    </row>
    <row r="1563" spans="2:11" x14ac:dyDescent="0.25">
      <c r="B1563"/>
      <c r="C1563"/>
      <c r="E1563" s="8"/>
      <c r="F1563" s="17"/>
      <c r="G1563" s="17"/>
      <c r="H1563"/>
      <c r="I1563"/>
      <c r="J1563"/>
      <c r="K1563"/>
    </row>
    <row r="1564" spans="2:11" x14ac:dyDescent="0.25">
      <c r="B1564"/>
      <c r="C1564"/>
      <c r="E1564" s="8"/>
      <c r="F1564" s="17"/>
      <c r="G1564" s="17"/>
      <c r="H1564"/>
      <c r="I1564"/>
      <c r="J1564"/>
      <c r="K1564"/>
    </row>
    <row r="1565" spans="2:11" x14ac:dyDescent="0.25">
      <c r="B1565"/>
      <c r="C1565"/>
      <c r="E1565" s="8"/>
      <c r="F1565" s="17"/>
      <c r="G1565" s="17"/>
      <c r="H1565"/>
      <c r="I1565"/>
      <c r="J1565"/>
      <c r="K1565"/>
    </row>
    <row r="1566" spans="2:11" x14ac:dyDescent="0.25">
      <c r="B1566"/>
      <c r="C1566"/>
      <c r="E1566" s="8"/>
      <c r="F1566" s="17"/>
      <c r="G1566" s="17"/>
      <c r="H1566"/>
      <c r="I1566"/>
      <c r="J1566"/>
      <c r="K1566"/>
    </row>
    <row r="1567" spans="2:11" x14ac:dyDescent="0.25">
      <c r="B1567"/>
      <c r="C1567"/>
      <c r="E1567" s="8"/>
      <c r="F1567" s="17"/>
      <c r="G1567" s="17"/>
      <c r="H1567"/>
      <c r="I1567"/>
      <c r="J1567"/>
      <c r="K1567"/>
    </row>
    <row r="1568" spans="2:11" x14ac:dyDescent="0.25">
      <c r="B1568"/>
      <c r="C1568"/>
      <c r="E1568" s="8"/>
      <c r="F1568" s="17"/>
      <c r="G1568" s="17"/>
      <c r="H1568"/>
      <c r="I1568"/>
      <c r="J1568"/>
      <c r="K1568"/>
    </row>
    <row r="1569" spans="2:11" x14ac:dyDescent="0.25">
      <c r="B1569"/>
      <c r="C1569"/>
      <c r="E1569" s="8"/>
      <c r="F1569" s="17"/>
      <c r="G1569" s="17"/>
      <c r="H1569"/>
      <c r="I1569"/>
      <c r="J1569"/>
      <c r="K1569"/>
    </row>
    <row r="1570" spans="2:11" x14ac:dyDescent="0.25">
      <c r="B1570"/>
      <c r="C1570"/>
      <c r="E1570" s="8"/>
      <c r="F1570" s="17"/>
      <c r="G1570" s="17"/>
      <c r="H1570"/>
      <c r="I1570"/>
      <c r="J1570"/>
      <c r="K1570"/>
    </row>
    <row r="1571" spans="2:11" x14ac:dyDescent="0.25">
      <c r="B1571"/>
      <c r="C1571"/>
      <c r="E1571" s="8"/>
      <c r="F1571" s="17"/>
      <c r="G1571" s="17"/>
      <c r="H1571"/>
      <c r="I1571"/>
      <c r="J1571"/>
      <c r="K1571"/>
    </row>
    <row r="1572" spans="2:11" x14ac:dyDescent="0.25">
      <c r="B1572"/>
      <c r="C1572"/>
      <c r="E1572" s="8"/>
      <c r="F1572" s="17"/>
      <c r="G1572" s="17"/>
      <c r="H1572"/>
      <c r="I1572"/>
      <c r="J1572"/>
      <c r="K1572"/>
    </row>
    <row r="1573" spans="2:11" x14ac:dyDescent="0.25">
      <c r="B1573"/>
      <c r="C1573"/>
      <c r="E1573" s="8"/>
      <c r="F1573" s="17"/>
      <c r="G1573" s="17"/>
      <c r="H1573"/>
      <c r="I1573"/>
      <c r="J1573"/>
      <c r="K1573"/>
    </row>
    <row r="1574" spans="2:11" x14ac:dyDescent="0.25">
      <c r="B1574"/>
      <c r="C1574"/>
      <c r="E1574" s="8"/>
      <c r="F1574" s="17"/>
      <c r="G1574" s="17"/>
      <c r="H1574"/>
      <c r="I1574"/>
      <c r="J1574"/>
      <c r="K1574"/>
    </row>
    <row r="1575" spans="2:11" x14ac:dyDescent="0.25">
      <c r="B1575"/>
      <c r="C1575"/>
      <c r="E1575" s="8"/>
      <c r="F1575" s="17"/>
      <c r="G1575" s="17"/>
      <c r="H1575"/>
      <c r="I1575"/>
      <c r="J1575"/>
      <c r="K1575"/>
    </row>
    <row r="1576" spans="2:11" x14ac:dyDescent="0.25">
      <c r="B1576"/>
      <c r="C1576"/>
      <c r="E1576" s="8"/>
      <c r="F1576" s="17"/>
      <c r="G1576" s="17"/>
      <c r="H1576"/>
      <c r="I1576"/>
      <c r="J1576"/>
      <c r="K1576"/>
    </row>
    <row r="1577" spans="2:11" x14ac:dyDescent="0.25">
      <c r="B1577"/>
      <c r="C1577"/>
      <c r="E1577" s="8"/>
      <c r="F1577" s="17"/>
      <c r="G1577" s="17"/>
      <c r="H1577"/>
      <c r="I1577"/>
      <c r="J1577"/>
      <c r="K1577"/>
    </row>
    <row r="1578" spans="2:11" x14ac:dyDescent="0.25">
      <c r="B1578"/>
      <c r="C1578"/>
      <c r="E1578" s="8"/>
      <c r="F1578" s="17"/>
      <c r="G1578" s="17"/>
      <c r="H1578"/>
      <c r="I1578"/>
      <c r="J1578"/>
      <c r="K1578"/>
    </row>
    <row r="1579" spans="2:11" x14ac:dyDescent="0.25">
      <c r="B1579"/>
      <c r="C1579"/>
      <c r="E1579" s="8"/>
      <c r="F1579" s="17"/>
      <c r="G1579" s="17"/>
      <c r="H1579"/>
      <c r="I1579"/>
      <c r="J1579"/>
      <c r="K1579"/>
    </row>
    <row r="1580" spans="2:11" x14ac:dyDescent="0.25">
      <c r="B1580"/>
      <c r="C1580"/>
      <c r="E1580" s="8"/>
      <c r="F1580" s="17"/>
      <c r="G1580" s="17"/>
      <c r="H1580"/>
      <c r="I1580"/>
      <c r="J1580"/>
      <c r="K1580"/>
    </row>
    <row r="1581" spans="2:11" x14ac:dyDescent="0.25">
      <c r="B1581"/>
      <c r="C1581"/>
      <c r="E1581" s="8"/>
      <c r="F1581" s="17"/>
      <c r="G1581" s="17"/>
      <c r="H1581"/>
      <c r="I1581"/>
      <c r="J1581"/>
      <c r="K1581"/>
    </row>
    <row r="1582" spans="2:11" x14ac:dyDescent="0.25">
      <c r="B1582"/>
      <c r="C1582"/>
      <c r="E1582" s="8"/>
      <c r="F1582" s="17"/>
      <c r="G1582" s="17"/>
      <c r="H1582"/>
      <c r="I1582"/>
      <c r="J1582"/>
      <c r="K1582"/>
    </row>
    <row r="1583" spans="2:11" x14ac:dyDescent="0.25">
      <c r="B1583"/>
      <c r="C1583"/>
      <c r="E1583" s="8"/>
      <c r="F1583" s="17"/>
      <c r="G1583" s="17"/>
      <c r="H1583"/>
      <c r="I1583"/>
      <c r="J1583"/>
      <c r="K1583"/>
    </row>
    <row r="1584" spans="2:11" x14ac:dyDescent="0.25">
      <c r="B1584"/>
      <c r="C1584"/>
      <c r="E1584" s="8"/>
      <c r="F1584" s="17"/>
      <c r="G1584" s="17"/>
      <c r="H1584"/>
      <c r="I1584"/>
      <c r="J1584"/>
      <c r="K1584"/>
    </row>
    <row r="1585" spans="2:11" x14ac:dyDescent="0.25">
      <c r="B1585"/>
      <c r="C1585"/>
      <c r="E1585" s="8"/>
      <c r="F1585" s="17"/>
      <c r="G1585" s="17"/>
      <c r="H1585"/>
      <c r="I1585"/>
      <c r="J1585"/>
      <c r="K1585"/>
    </row>
    <row r="1586" spans="2:11" x14ac:dyDescent="0.25">
      <c r="B1586"/>
      <c r="C1586"/>
      <c r="E1586" s="8"/>
      <c r="F1586" s="17"/>
      <c r="G1586" s="17"/>
      <c r="H1586"/>
      <c r="I1586"/>
      <c r="J1586"/>
      <c r="K1586"/>
    </row>
    <row r="1587" spans="2:11" x14ac:dyDescent="0.25">
      <c r="B1587"/>
      <c r="C1587"/>
      <c r="E1587" s="8"/>
      <c r="F1587" s="17"/>
      <c r="G1587" s="17"/>
      <c r="H1587"/>
      <c r="I1587"/>
      <c r="J1587"/>
      <c r="K1587"/>
    </row>
    <row r="1588" spans="2:11" x14ac:dyDescent="0.25">
      <c r="B1588"/>
      <c r="C1588"/>
      <c r="E1588" s="8"/>
      <c r="F1588" s="17"/>
      <c r="G1588" s="17"/>
      <c r="H1588"/>
      <c r="I1588"/>
      <c r="J1588"/>
      <c r="K1588"/>
    </row>
    <row r="1589" spans="2:11" x14ac:dyDescent="0.25">
      <c r="B1589"/>
      <c r="C1589"/>
      <c r="E1589" s="8"/>
      <c r="F1589" s="17"/>
      <c r="G1589" s="17"/>
      <c r="H1589"/>
      <c r="I1589"/>
      <c r="J1589"/>
      <c r="K1589"/>
    </row>
    <row r="1590" spans="2:11" x14ac:dyDescent="0.25">
      <c r="B1590"/>
      <c r="C1590"/>
      <c r="E1590" s="8"/>
      <c r="F1590" s="17"/>
      <c r="G1590" s="17"/>
      <c r="H1590"/>
      <c r="I1590"/>
      <c r="J1590"/>
      <c r="K1590"/>
    </row>
    <row r="1591" spans="2:11" x14ac:dyDescent="0.25">
      <c r="B1591"/>
      <c r="C1591"/>
      <c r="E1591" s="8"/>
      <c r="F1591" s="17"/>
      <c r="G1591" s="17"/>
      <c r="H1591"/>
      <c r="I1591"/>
      <c r="J1591"/>
      <c r="K1591"/>
    </row>
    <row r="1592" spans="2:11" x14ac:dyDescent="0.25">
      <c r="B1592"/>
      <c r="C1592"/>
      <c r="E1592" s="8"/>
      <c r="F1592" s="17"/>
      <c r="G1592" s="17"/>
      <c r="H1592"/>
      <c r="I1592"/>
      <c r="J1592"/>
      <c r="K1592"/>
    </row>
    <row r="1593" spans="2:11" x14ac:dyDescent="0.25">
      <c r="B1593"/>
      <c r="C1593"/>
      <c r="E1593" s="8"/>
      <c r="F1593" s="17"/>
      <c r="G1593" s="17"/>
      <c r="H1593"/>
      <c r="I1593"/>
      <c r="J1593"/>
      <c r="K1593"/>
    </row>
    <row r="1594" spans="2:11" x14ac:dyDescent="0.25">
      <c r="B1594"/>
      <c r="C1594"/>
      <c r="E1594" s="8"/>
      <c r="F1594" s="17"/>
      <c r="G1594" s="17"/>
      <c r="H1594"/>
      <c r="I1594"/>
      <c r="J1594"/>
      <c r="K1594"/>
    </row>
    <row r="1595" spans="2:11" x14ac:dyDescent="0.25">
      <c r="B1595"/>
      <c r="C1595"/>
      <c r="E1595" s="8"/>
      <c r="F1595" s="17"/>
      <c r="G1595" s="17"/>
      <c r="H1595"/>
      <c r="I1595"/>
      <c r="J1595"/>
      <c r="K1595"/>
    </row>
    <row r="1596" spans="2:11" x14ac:dyDescent="0.25">
      <c r="B1596"/>
      <c r="C1596"/>
      <c r="E1596" s="8"/>
      <c r="F1596" s="17"/>
      <c r="G1596" s="17"/>
      <c r="H1596"/>
      <c r="I1596"/>
      <c r="J1596"/>
      <c r="K1596"/>
    </row>
    <row r="1597" spans="2:11" x14ac:dyDescent="0.25">
      <c r="B1597"/>
      <c r="C1597"/>
      <c r="E1597" s="8"/>
      <c r="F1597" s="17"/>
      <c r="G1597" s="17"/>
      <c r="H1597"/>
      <c r="I1597"/>
      <c r="J1597"/>
      <c r="K1597"/>
    </row>
    <row r="1598" spans="2:11" x14ac:dyDescent="0.25">
      <c r="B1598"/>
      <c r="C1598"/>
      <c r="E1598" s="8"/>
      <c r="F1598" s="17"/>
      <c r="G1598" s="17"/>
      <c r="H1598"/>
      <c r="I1598"/>
      <c r="J1598"/>
      <c r="K1598"/>
    </row>
    <row r="1599" spans="2:11" x14ac:dyDescent="0.25">
      <c r="B1599"/>
      <c r="C1599"/>
      <c r="E1599" s="8"/>
      <c r="F1599" s="17"/>
      <c r="G1599" s="17"/>
      <c r="H1599"/>
      <c r="I1599"/>
      <c r="J1599"/>
      <c r="K1599"/>
    </row>
    <row r="1600" spans="2:11" x14ac:dyDescent="0.25">
      <c r="B1600"/>
      <c r="C1600"/>
      <c r="E1600" s="8"/>
      <c r="F1600" s="17"/>
      <c r="G1600" s="17"/>
      <c r="H1600"/>
      <c r="I1600"/>
      <c r="J1600"/>
      <c r="K1600"/>
    </row>
    <row r="1601" spans="2:11" x14ac:dyDescent="0.25">
      <c r="B1601"/>
      <c r="C1601"/>
      <c r="E1601" s="8"/>
      <c r="F1601" s="17"/>
      <c r="G1601" s="17"/>
      <c r="H1601"/>
      <c r="I1601"/>
      <c r="J1601"/>
      <c r="K1601"/>
    </row>
    <row r="1602" spans="2:11" x14ac:dyDescent="0.25">
      <c r="B1602"/>
      <c r="C1602"/>
      <c r="E1602" s="8"/>
      <c r="F1602" s="17"/>
      <c r="G1602" s="17"/>
      <c r="H1602"/>
      <c r="I1602"/>
      <c r="J1602"/>
      <c r="K1602"/>
    </row>
    <row r="1603" spans="2:11" x14ac:dyDescent="0.25">
      <c r="B1603"/>
      <c r="C1603"/>
      <c r="E1603" s="8"/>
      <c r="F1603" s="17"/>
      <c r="G1603" s="17"/>
      <c r="H1603"/>
      <c r="I1603"/>
      <c r="J1603"/>
      <c r="K1603"/>
    </row>
    <row r="1604" spans="2:11" x14ac:dyDescent="0.25">
      <c r="B1604"/>
      <c r="C1604"/>
      <c r="E1604" s="8"/>
      <c r="F1604" s="17"/>
      <c r="G1604" s="17"/>
      <c r="H1604"/>
      <c r="I1604"/>
      <c r="J1604"/>
      <c r="K1604"/>
    </row>
    <row r="1605" spans="2:11" x14ac:dyDescent="0.25">
      <c r="B1605"/>
      <c r="C1605"/>
      <c r="E1605" s="8"/>
      <c r="F1605" s="17"/>
      <c r="G1605" s="17"/>
      <c r="H1605"/>
      <c r="I1605"/>
      <c r="J1605"/>
      <c r="K1605"/>
    </row>
    <row r="1606" spans="2:11" x14ac:dyDescent="0.25">
      <c r="B1606"/>
      <c r="C1606"/>
      <c r="E1606" s="8"/>
      <c r="F1606" s="17"/>
      <c r="G1606" s="17"/>
      <c r="H1606"/>
      <c r="I1606"/>
      <c r="J1606"/>
      <c r="K1606"/>
    </row>
    <row r="1607" spans="2:11" x14ac:dyDescent="0.25">
      <c r="B1607"/>
      <c r="C1607"/>
      <c r="E1607" s="8"/>
      <c r="F1607" s="17"/>
      <c r="G1607" s="17"/>
      <c r="H1607"/>
      <c r="I1607"/>
      <c r="J1607"/>
      <c r="K1607"/>
    </row>
    <row r="1608" spans="2:11" x14ac:dyDescent="0.25">
      <c r="B1608"/>
      <c r="C1608"/>
      <c r="E1608" s="8"/>
      <c r="F1608" s="17"/>
      <c r="G1608" s="17"/>
      <c r="H1608"/>
      <c r="I1608"/>
      <c r="J1608"/>
      <c r="K1608"/>
    </row>
    <row r="1609" spans="2:11" x14ac:dyDescent="0.25">
      <c r="B1609"/>
      <c r="C1609"/>
      <c r="E1609" s="8"/>
      <c r="F1609" s="17"/>
      <c r="G1609" s="17"/>
      <c r="H1609"/>
      <c r="I1609"/>
      <c r="J1609"/>
      <c r="K1609"/>
    </row>
    <row r="1610" spans="2:11" x14ac:dyDescent="0.25">
      <c r="B1610"/>
      <c r="C1610"/>
      <c r="E1610" s="8"/>
      <c r="F1610" s="17"/>
      <c r="G1610" s="17"/>
      <c r="H1610"/>
      <c r="I1610"/>
      <c r="J1610"/>
      <c r="K1610"/>
    </row>
    <row r="1611" spans="2:11" x14ac:dyDescent="0.25">
      <c r="B1611"/>
      <c r="C1611"/>
      <c r="E1611" s="8"/>
      <c r="F1611" s="17"/>
      <c r="G1611" s="17"/>
      <c r="H1611"/>
      <c r="I1611"/>
      <c r="J1611"/>
      <c r="K1611"/>
    </row>
    <row r="1612" spans="2:11" x14ac:dyDescent="0.25">
      <c r="B1612"/>
      <c r="C1612"/>
      <c r="E1612" s="8"/>
      <c r="F1612" s="17"/>
      <c r="G1612" s="17"/>
      <c r="H1612"/>
      <c r="I1612"/>
      <c r="J1612"/>
      <c r="K1612"/>
    </row>
    <row r="1613" spans="2:11" x14ac:dyDescent="0.25">
      <c r="B1613"/>
      <c r="C1613"/>
      <c r="E1613" s="8"/>
      <c r="F1613" s="17"/>
      <c r="G1613" s="17"/>
      <c r="H1613"/>
      <c r="I1613"/>
      <c r="J1613"/>
      <c r="K1613"/>
    </row>
    <row r="1614" spans="2:11" x14ac:dyDescent="0.25">
      <c r="B1614"/>
      <c r="C1614"/>
      <c r="E1614" s="8"/>
      <c r="F1614" s="17"/>
      <c r="G1614" s="17"/>
      <c r="H1614"/>
      <c r="I1614"/>
      <c r="J1614"/>
      <c r="K1614"/>
    </row>
    <row r="1615" spans="2:11" x14ac:dyDescent="0.25">
      <c r="B1615"/>
      <c r="C1615"/>
      <c r="E1615" s="8"/>
      <c r="F1615" s="17"/>
      <c r="G1615" s="17"/>
      <c r="H1615"/>
      <c r="I1615"/>
      <c r="J1615"/>
      <c r="K1615"/>
    </row>
    <row r="1616" spans="2:11" x14ac:dyDescent="0.25">
      <c r="B1616"/>
      <c r="C1616"/>
      <c r="E1616" s="8"/>
      <c r="F1616" s="17"/>
      <c r="G1616" s="17"/>
      <c r="H1616"/>
      <c r="I1616"/>
      <c r="J1616"/>
      <c r="K1616"/>
    </row>
    <row r="1617" spans="2:11" x14ac:dyDescent="0.25">
      <c r="B1617"/>
      <c r="C1617"/>
      <c r="E1617" s="8"/>
      <c r="F1617" s="17"/>
      <c r="G1617" s="17"/>
      <c r="H1617"/>
      <c r="I1617"/>
      <c r="J1617"/>
      <c r="K1617"/>
    </row>
    <row r="1618" spans="2:11" x14ac:dyDescent="0.25">
      <c r="B1618"/>
      <c r="C1618"/>
      <c r="E1618" s="8"/>
      <c r="F1618" s="17"/>
      <c r="G1618" s="17"/>
      <c r="H1618"/>
      <c r="I1618"/>
      <c r="J1618"/>
      <c r="K1618"/>
    </row>
    <row r="1619" spans="2:11" x14ac:dyDescent="0.25">
      <c r="B1619"/>
      <c r="C1619"/>
      <c r="E1619" s="8"/>
      <c r="F1619" s="17"/>
      <c r="G1619" s="17"/>
      <c r="H1619"/>
      <c r="I1619"/>
      <c r="J1619"/>
      <c r="K1619"/>
    </row>
    <row r="1620" spans="2:11" x14ac:dyDescent="0.25">
      <c r="B1620"/>
      <c r="C1620"/>
      <c r="E1620" s="8"/>
      <c r="F1620" s="17"/>
      <c r="G1620" s="17"/>
      <c r="H1620"/>
      <c r="I1620"/>
      <c r="J1620"/>
      <c r="K1620"/>
    </row>
    <row r="1621" spans="2:11" x14ac:dyDescent="0.25">
      <c r="B1621"/>
      <c r="C1621"/>
      <c r="E1621" s="8"/>
      <c r="F1621" s="17"/>
      <c r="G1621" s="17"/>
      <c r="H1621"/>
      <c r="I1621"/>
      <c r="J1621"/>
      <c r="K1621"/>
    </row>
    <row r="1622" spans="2:11" x14ac:dyDescent="0.25">
      <c r="B1622"/>
      <c r="C1622"/>
      <c r="E1622" s="8"/>
      <c r="F1622" s="17"/>
      <c r="G1622" s="17"/>
      <c r="H1622"/>
      <c r="I1622"/>
      <c r="J1622"/>
      <c r="K1622"/>
    </row>
    <row r="1623" spans="2:11" x14ac:dyDescent="0.25">
      <c r="B1623"/>
      <c r="C1623"/>
      <c r="E1623" s="8"/>
      <c r="F1623" s="17"/>
      <c r="G1623" s="17"/>
      <c r="H1623"/>
      <c r="I1623"/>
      <c r="J1623"/>
      <c r="K1623"/>
    </row>
    <row r="1624" spans="2:11" x14ac:dyDescent="0.25">
      <c r="B1624"/>
      <c r="C1624"/>
      <c r="E1624" s="8"/>
      <c r="F1624" s="17"/>
      <c r="G1624" s="17"/>
      <c r="H1624"/>
      <c r="I1624"/>
      <c r="J1624"/>
      <c r="K1624"/>
    </row>
    <row r="1625" spans="2:11" x14ac:dyDescent="0.25">
      <c r="B1625"/>
      <c r="C1625"/>
      <c r="E1625" s="8"/>
      <c r="F1625" s="17"/>
      <c r="G1625" s="17"/>
      <c r="H1625"/>
      <c r="I1625"/>
      <c r="J1625"/>
      <c r="K1625"/>
    </row>
    <row r="1626" spans="2:11" x14ac:dyDescent="0.25">
      <c r="B1626"/>
      <c r="C1626"/>
      <c r="E1626" s="8"/>
      <c r="F1626" s="17"/>
      <c r="G1626" s="17"/>
      <c r="H1626"/>
      <c r="I1626"/>
      <c r="J1626"/>
      <c r="K1626"/>
    </row>
    <row r="1627" spans="2:11" x14ac:dyDescent="0.25">
      <c r="B1627"/>
      <c r="C1627"/>
      <c r="E1627" s="8"/>
      <c r="F1627" s="17"/>
      <c r="G1627" s="17"/>
      <c r="H1627"/>
      <c r="I1627"/>
      <c r="J1627"/>
      <c r="K1627"/>
    </row>
    <row r="1628" spans="2:11" x14ac:dyDescent="0.25">
      <c r="B1628"/>
      <c r="C1628"/>
      <c r="E1628" s="8"/>
      <c r="F1628" s="17"/>
      <c r="G1628" s="17"/>
      <c r="H1628"/>
      <c r="I1628"/>
      <c r="J1628"/>
      <c r="K1628"/>
    </row>
    <row r="1629" spans="2:11" x14ac:dyDescent="0.25">
      <c r="B1629"/>
      <c r="C1629"/>
      <c r="E1629" s="8"/>
      <c r="F1629" s="17"/>
      <c r="G1629" s="17"/>
      <c r="H1629"/>
      <c r="I1629"/>
      <c r="J1629"/>
      <c r="K1629"/>
    </row>
    <row r="1630" spans="2:11" x14ac:dyDescent="0.25">
      <c r="B1630"/>
      <c r="C1630"/>
      <c r="E1630" s="8"/>
      <c r="F1630" s="17"/>
      <c r="G1630" s="17"/>
      <c r="H1630"/>
      <c r="I1630"/>
      <c r="J1630"/>
      <c r="K1630"/>
    </row>
    <row r="1631" spans="2:11" x14ac:dyDescent="0.25">
      <c r="B1631"/>
      <c r="C1631"/>
      <c r="E1631" s="8"/>
      <c r="F1631" s="17"/>
      <c r="G1631" s="17"/>
      <c r="H1631"/>
      <c r="I1631"/>
      <c r="J1631"/>
      <c r="K1631"/>
    </row>
    <row r="1632" spans="2:11" x14ac:dyDescent="0.25">
      <c r="B1632"/>
      <c r="C1632"/>
      <c r="E1632" s="8"/>
      <c r="F1632" s="17"/>
      <c r="G1632" s="17"/>
      <c r="H1632"/>
      <c r="I1632"/>
      <c r="J1632"/>
      <c r="K1632"/>
    </row>
    <row r="1633" spans="2:11" x14ac:dyDescent="0.25">
      <c r="B1633"/>
      <c r="C1633"/>
      <c r="E1633" s="8"/>
      <c r="F1633" s="17"/>
      <c r="G1633" s="17"/>
      <c r="H1633"/>
      <c r="I1633"/>
      <c r="J1633"/>
      <c r="K1633"/>
    </row>
    <row r="1634" spans="2:11" x14ac:dyDescent="0.25">
      <c r="B1634"/>
      <c r="C1634"/>
      <c r="E1634" s="8"/>
      <c r="F1634" s="17"/>
      <c r="G1634" s="17"/>
      <c r="H1634"/>
      <c r="I1634"/>
      <c r="J1634"/>
      <c r="K1634"/>
    </row>
    <row r="1635" spans="2:11" x14ac:dyDescent="0.25">
      <c r="B1635"/>
      <c r="C1635"/>
      <c r="E1635" s="8"/>
      <c r="F1635" s="17"/>
      <c r="G1635" s="17"/>
      <c r="H1635"/>
      <c r="I1635"/>
      <c r="J1635"/>
      <c r="K1635"/>
    </row>
    <row r="1636" spans="2:11" x14ac:dyDescent="0.25">
      <c r="B1636"/>
      <c r="C1636"/>
      <c r="E1636" s="8"/>
      <c r="F1636" s="17"/>
      <c r="G1636" s="17"/>
      <c r="H1636"/>
      <c r="I1636"/>
      <c r="J1636"/>
      <c r="K1636"/>
    </row>
    <row r="1637" spans="2:11" x14ac:dyDescent="0.25">
      <c r="B1637"/>
      <c r="C1637"/>
      <c r="E1637" s="8"/>
      <c r="F1637" s="17"/>
      <c r="G1637" s="17"/>
      <c r="H1637"/>
      <c r="I1637"/>
      <c r="J1637"/>
      <c r="K1637"/>
    </row>
    <row r="1638" spans="2:11" x14ac:dyDescent="0.25">
      <c r="B1638"/>
      <c r="C1638"/>
      <c r="E1638" s="8"/>
      <c r="F1638" s="17"/>
      <c r="G1638" s="17"/>
      <c r="H1638"/>
      <c r="I1638"/>
      <c r="J1638"/>
      <c r="K1638"/>
    </row>
    <row r="1639" spans="2:11" x14ac:dyDescent="0.25">
      <c r="B1639"/>
      <c r="C1639"/>
      <c r="E1639" s="8"/>
      <c r="F1639" s="17"/>
      <c r="G1639" s="17"/>
      <c r="H1639"/>
      <c r="I1639"/>
      <c r="J1639"/>
      <c r="K1639"/>
    </row>
    <row r="1640" spans="2:11" x14ac:dyDescent="0.25">
      <c r="B1640"/>
      <c r="C1640"/>
      <c r="E1640" s="8"/>
      <c r="F1640" s="17"/>
      <c r="G1640" s="17"/>
      <c r="H1640"/>
      <c r="I1640"/>
      <c r="J1640"/>
      <c r="K1640"/>
    </row>
    <row r="1641" spans="2:11" x14ac:dyDescent="0.25">
      <c r="B1641"/>
      <c r="C1641"/>
      <c r="E1641" s="8"/>
      <c r="F1641" s="17"/>
      <c r="G1641" s="17"/>
      <c r="H1641"/>
      <c r="I1641"/>
      <c r="J1641"/>
      <c r="K1641"/>
    </row>
    <row r="1642" spans="2:11" x14ac:dyDescent="0.25">
      <c r="B1642"/>
      <c r="C1642"/>
      <c r="E1642" s="8"/>
      <c r="F1642" s="17"/>
      <c r="G1642" s="17"/>
      <c r="H1642"/>
      <c r="I1642"/>
      <c r="J1642"/>
      <c r="K1642"/>
    </row>
    <row r="1643" spans="2:11" x14ac:dyDescent="0.25">
      <c r="B1643"/>
      <c r="C1643"/>
      <c r="E1643" s="8"/>
      <c r="F1643" s="17"/>
      <c r="G1643" s="17"/>
      <c r="H1643"/>
      <c r="I1643"/>
      <c r="J1643"/>
      <c r="K1643"/>
    </row>
    <row r="1644" spans="2:11" x14ac:dyDescent="0.25">
      <c r="B1644"/>
      <c r="C1644"/>
      <c r="E1644" s="8"/>
      <c r="F1644" s="17"/>
      <c r="G1644" s="17"/>
      <c r="H1644"/>
      <c r="I1644"/>
      <c r="J1644"/>
      <c r="K1644"/>
    </row>
    <row r="1645" spans="2:11" x14ac:dyDescent="0.25">
      <c r="B1645"/>
      <c r="C1645"/>
      <c r="E1645" s="8"/>
      <c r="F1645" s="17"/>
      <c r="G1645" s="17"/>
      <c r="H1645"/>
      <c r="I1645"/>
      <c r="J1645"/>
      <c r="K1645"/>
    </row>
    <row r="1646" spans="2:11" x14ac:dyDescent="0.25">
      <c r="B1646"/>
      <c r="C1646"/>
      <c r="E1646" s="8"/>
      <c r="F1646" s="17"/>
      <c r="G1646" s="17"/>
      <c r="H1646"/>
      <c r="I1646"/>
      <c r="J1646"/>
      <c r="K1646"/>
    </row>
    <row r="1647" spans="2:11" x14ac:dyDescent="0.25">
      <c r="B1647"/>
      <c r="C1647"/>
      <c r="E1647" s="8"/>
      <c r="F1647" s="17"/>
      <c r="G1647" s="17"/>
      <c r="H1647"/>
      <c r="I1647"/>
      <c r="J1647"/>
      <c r="K1647"/>
    </row>
    <row r="1648" spans="2:11" x14ac:dyDescent="0.25">
      <c r="B1648"/>
      <c r="C1648"/>
      <c r="E1648" s="8"/>
      <c r="F1648" s="17"/>
      <c r="G1648" s="17"/>
      <c r="H1648"/>
      <c r="I1648"/>
      <c r="J1648"/>
      <c r="K1648"/>
    </row>
    <row r="1649" spans="2:11" x14ac:dyDescent="0.25">
      <c r="B1649"/>
      <c r="C1649"/>
      <c r="E1649" s="8"/>
      <c r="F1649" s="17"/>
      <c r="G1649" s="17"/>
      <c r="H1649"/>
      <c r="I1649"/>
      <c r="J1649"/>
      <c r="K1649"/>
    </row>
    <row r="1650" spans="2:11" x14ac:dyDescent="0.25">
      <c r="B1650"/>
      <c r="C1650"/>
      <c r="E1650" s="8"/>
      <c r="F1650" s="17"/>
      <c r="G1650" s="17"/>
      <c r="H1650"/>
      <c r="I1650"/>
      <c r="J1650"/>
      <c r="K1650"/>
    </row>
    <row r="1651" spans="2:11" x14ac:dyDescent="0.25">
      <c r="B1651"/>
      <c r="C1651"/>
      <c r="E1651" s="8"/>
      <c r="F1651" s="17"/>
      <c r="G1651" s="17"/>
      <c r="H1651"/>
      <c r="I1651"/>
      <c r="J1651"/>
      <c r="K1651"/>
    </row>
    <row r="1652" spans="2:11" x14ac:dyDescent="0.25">
      <c r="B1652"/>
      <c r="C1652"/>
      <c r="E1652" s="8"/>
      <c r="F1652" s="17"/>
      <c r="G1652" s="17"/>
      <c r="H1652"/>
      <c r="I1652"/>
      <c r="J1652"/>
      <c r="K1652"/>
    </row>
    <row r="1653" spans="2:11" x14ac:dyDescent="0.25">
      <c r="B1653"/>
      <c r="C1653"/>
      <c r="E1653" s="8"/>
      <c r="F1653" s="17"/>
      <c r="G1653" s="17"/>
      <c r="H1653"/>
      <c r="I1653"/>
      <c r="J1653"/>
      <c r="K1653"/>
    </row>
    <row r="1654" spans="2:11" x14ac:dyDescent="0.25">
      <c r="B1654"/>
      <c r="C1654"/>
      <c r="E1654" s="8"/>
      <c r="F1654" s="17"/>
      <c r="G1654" s="17"/>
      <c r="H1654"/>
      <c r="I1654"/>
      <c r="J1654"/>
      <c r="K1654"/>
    </row>
    <row r="1655" spans="2:11" x14ac:dyDescent="0.25">
      <c r="B1655"/>
      <c r="C1655"/>
      <c r="E1655" s="8"/>
      <c r="F1655" s="17"/>
      <c r="G1655" s="17"/>
      <c r="H1655"/>
      <c r="I1655"/>
      <c r="J1655"/>
      <c r="K1655"/>
    </row>
    <row r="1656" spans="2:11" x14ac:dyDescent="0.25">
      <c r="B1656"/>
      <c r="C1656"/>
      <c r="E1656" s="8"/>
      <c r="F1656" s="17"/>
      <c r="G1656" s="17"/>
      <c r="H1656"/>
      <c r="I1656"/>
      <c r="J1656"/>
      <c r="K1656"/>
    </row>
    <row r="1657" spans="2:11" x14ac:dyDescent="0.25">
      <c r="B1657"/>
      <c r="C1657"/>
      <c r="E1657" s="8"/>
      <c r="F1657" s="17"/>
      <c r="G1657" s="17"/>
      <c r="H1657"/>
      <c r="I1657"/>
      <c r="J1657"/>
      <c r="K1657"/>
    </row>
    <row r="1658" spans="2:11" x14ac:dyDescent="0.25">
      <c r="B1658"/>
      <c r="C1658"/>
      <c r="E1658" s="8"/>
      <c r="F1658" s="17"/>
      <c r="G1658" s="17"/>
      <c r="H1658"/>
      <c r="I1658"/>
      <c r="J1658"/>
      <c r="K1658"/>
    </row>
    <row r="1659" spans="2:11" x14ac:dyDescent="0.25">
      <c r="B1659"/>
      <c r="C1659"/>
      <c r="E1659" s="8"/>
      <c r="F1659" s="17"/>
      <c r="G1659" s="17"/>
      <c r="H1659"/>
      <c r="I1659"/>
      <c r="J1659"/>
      <c r="K1659"/>
    </row>
    <row r="1660" spans="2:11" x14ac:dyDescent="0.25">
      <c r="B1660"/>
      <c r="C1660"/>
      <c r="E1660" s="8"/>
      <c r="F1660" s="17"/>
      <c r="G1660" s="17"/>
      <c r="H1660"/>
      <c r="I1660"/>
      <c r="J1660"/>
      <c r="K1660"/>
    </row>
    <row r="1661" spans="2:11" x14ac:dyDescent="0.25">
      <c r="B1661"/>
      <c r="C1661"/>
      <c r="E1661" s="8"/>
      <c r="F1661" s="17"/>
      <c r="G1661" s="17"/>
      <c r="H1661"/>
      <c r="I1661"/>
      <c r="J1661"/>
      <c r="K1661"/>
    </row>
    <row r="1662" spans="2:11" x14ac:dyDescent="0.25">
      <c r="B1662"/>
      <c r="C1662"/>
      <c r="E1662" s="8"/>
      <c r="F1662" s="17"/>
      <c r="G1662" s="17"/>
      <c r="H1662"/>
      <c r="I1662"/>
      <c r="J1662"/>
      <c r="K1662"/>
    </row>
    <row r="1663" spans="2:11" x14ac:dyDescent="0.25">
      <c r="B1663"/>
      <c r="C1663"/>
      <c r="E1663" s="8"/>
      <c r="F1663" s="17"/>
      <c r="G1663" s="17"/>
      <c r="H1663"/>
      <c r="I1663"/>
      <c r="J1663"/>
      <c r="K1663"/>
    </row>
    <row r="1664" spans="2:11" x14ac:dyDescent="0.25">
      <c r="B1664"/>
      <c r="C1664"/>
      <c r="E1664" s="8"/>
      <c r="F1664" s="17"/>
      <c r="G1664" s="17"/>
      <c r="H1664"/>
      <c r="I1664"/>
      <c r="J1664"/>
      <c r="K1664"/>
    </row>
    <row r="1665" spans="2:11" x14ac:dyDescent="0.25">
      <c r="B1665"/>
      <c r="C1665"/>
      <c r="E1665" s="8"/>
      <c r="F1665" s="17"/>
      <c r="G1665" s="17"/>
      <c r="H1665"/>
      <c r="I1665"/>
      <c r="J1665"/>
      <c r="K1665"/>
    </row>
    <row r="1666" spans="2:11" x14ac:dyDescent="0.25">
      <c r="B1666"/>
      <c r="C1666"/>
      <c r="E1666" s="8"/>
      <c r="F1666" s="17"/>
      <c r="G1666" s="17"/>
      <c r="H1666"/>
      <c r="I1666"/>
      <c r="J1666"/>
      <c r="K1666"/>
    </row>
    <row r="1667" spans="2:11" x14ac:dyDescent="0.25">
      <c r="B1667"/>
      <c r="C1667"/>
      <c r="E1667" s="8"/>
      <c r="F1667" s="17"/>
      <c r="G1667" s="17"/>
      <c r="H1667"/>
      <c r="I1667"/>
      <c r="J1667"/>
      <c r="K1667"/>
    </row>
    <row r="1668" spans="2:11" x14ac:dyDescent="0.25">
      <c r="B1668"/>
      <c r="C1668"/>
      <c r="E1668" s="8"/>
      <c r="F1668" s="17"/>
      <c r="G1668" s="17"/>
      <c r="H1668"/>
      <c r="I1668"/>
      <c r="J1668"/>
      <c r="K1668"/>
    </row>
    <row r="1669" spans="2:11" x14ac:dyDescent="0.25">
      <c r="B1669"/>
      <c r="C1669"/>
      <c r="E1669" s="8"/>
      <c r="F1669" s="17"/>
      <c r="G1669" s="17"/>
      <c r="H1669"/>
      <c r="I1669"/>
      <c r="J1669"/>
      <c r="K1669"/>
    </row>
    <row r="1670" spans="2:11" x14ac:dyDescent="0.25">
      <c r="B1670"/>
      <c r="C1670"/>
      <c r="E1670" s="8"/>
      <c r="F1670" s="17"/>
      <c r="G1670" s="17"/>
      <c r="H1670"/>
      <c r="I1670"/>
      <c r="J1670"/>
      <c r="K1670"/>
    </row>
    <row r="1671" spans="2:11" x14ac:dyDescent="0.25">
      <c r="B1671"/>
      <c r="C1671"/>
      <c r="E1671" s="8"/>
      <c r="F1671" s="17"/>
      <c r="G1671" s="17"/>
      <c r="H1671"/>
      <c r="I1671"/>
      <c r="J1671"/>
      <c r="K1671"/>
    </row>
    <row r="1672" spans="2:11" x14ac:dyDescent="0.25">
      <c r="B1672"/>
      <c r="C1672"/>
      <c r="E1672" s="8"/>
      <c r="F1672" s="17"/>
      <c r="G1672" s="17"/>
      <c r="H1672"/>
      <c r="I1672"/>
      <c r="J1672"/>
      <c r="K1672"/>
    </row>
    <row r="1673" spans="2:11" x14ac:dyDescent="0.25">
      <c r="B1673"/>
      <c r="C1673"/>
      <c r="E1673" s="8"/>
      <c r="F1673" s="17"/>
      <c r="G1673" s="17"/>
      <c r="H1673"/>
      <c r="I1673"/>
      <c r="J1673"/>
      <c r="K1673"/>
    </row>
    <row r="1674" spans="2:11" x14ac:dyDescent="0.25">
      <c r="B1674"/>
      <c r="C1674"/>
      <c r="E1674" s="8"/>
      <c r="F1674" s="17"/>
      <c r="G1674" s="17"/>
      <c r="H1674"/>
      <c r="I1674"/>
      <c r="J1674"/>
      <c r="K1674"/>
    </row>
    <row r="1675" spans="2:11" x14ac:dyDescent="0.25">
      <c r="B1675"/>
      <c r="C1675"/>
      <c r="E1675" s="8"/>
      <c r="F1675" s="17"/>
      <c r="G1675" s="17"/>
      <c r="H1675"/>
      <c r="I1675"/>
      <c r="J1675"/>
      <c r="K1675"/>
    </row>
    <row r="1676" spans="2:11" x14ac:dyDescent="0.25">
      <c r="B1676"/>
      <c r="C1676"/>
      <c r="E1676" s="8"/>
      <c r="F1676" s="17"/>
      <c r="G1676" s="17"/>
      <c r="H1676"/>
      <c r="I1676"/>
      <c r="J1676"/>
      <c r="K1676"/>
    </row>
    <row r="1677" spans="2:11" x14ac:dyDescent="0.25">
      <c r="B1677"/>
      <c r="C1677"/>
      <c r="E1677" s="8"/>
      <c r="F1677" s="17"/>
      <c r="G1677" s="17"/>
      <c r="H1677"/>
      <c r="I1677"/>
      <c r="J1677"/>
      <c r="K1677"/>
    </row>
    <row r="1678" spans="2:11" x14ac:dyDescent="0.25">
      <c r="B1678"/>
      <c r="C1678"/>
      <c r="E1678" s="8"/>
      <c r="F1678" s="17"/>
      <c r="G1678" s="17"/>
      <c r="H1678"/>
      <c r="I1678"/>
      <c r="J1678"/>
      <c r="K1678"/>
    </row>
    <row r="1679" spans="2:11" x14ac:dyDescent="0.25">
      <c r="B1679"/>
      <c r="C1679"/>
      <c r="E1679" s="8"/>
      <c r="F1679" s="17"/>
      <c r="G1679" s="17"/>
      <c r="H1679"/>
      <c r="I1679"/>
      <c r="J1679"/>
      <c r="K1679"/>
    </row>
    <row r="1680" spans="2:11" x14ac:dyDescent="0.25">
      <c r="B1680"/>
      <c r="C1680"/>
      <c r="E1680" s="8"/>
      <c r="F1680" s="17"/>
      <c r="G1680" s="17"/>
      <c r="H1680"/>
      <c r="I1680"/>
      <c r="J1680"/>
      <c r="K1680"/>
    </row>
  </sheetData>
  <sheetProtection formatCells="0" formatColumns="0" formatRows="0" insertRows="0" deleteRows="0" sort="0" autoFilter="0"/>
  <phoneticPr fontId="6" type="noConversion"/>
  <conditionalFormatting sqref="A2 A8:A12 D10 A23:A32 A34 A36:A37 A41:A48 A51:A61 A63:A74 A76:A77 A79:A80 A85:A89 A123 A136 A138:A139 A141:A142 A144:A145 A151 A154:A155 A161:A169 A174 A184:A187 A189 A192 A194:A197 A201:A204 A206:A207 A210:A213 A221:A222 A230 A235:A237 A241:A242 A272 A275:A281 A283:A285 A309:A324 A330:A334 A337:A344 A358:A361 A364 A373:A378 A405:A406 A416:A418 A422:A424 A428:A432 A457 A477 A479 A481 A485:A489 A494 A503:A514 A517:A519 A521:A522 A524:A527 A551 A554:A555 A610 A612:A622 A632:A633 A635:A638 A640:A654 A657:A676 A681:A682 A695:A697 A704 A707:A708 A712:A713 A718:A721 A731:A744 A750:A764 A769:A774 A780:A801 A818 A821:A822 A826:A829 A833:A834 A844 A866:A871 A875:A876 A897:A910 A917 A924 A928:A930 A940:A945 A951:A952 A955 A959 A962 A970:A971 A975 A979 A981 A983:A984 A988:A990 A994:A996 A998:A10159">
    <cfRule type="expression" dxfId="585" priority="1590657">
      <formula>COUNTIF($A$4:$A$10159,$A2)&gt;1</formula>
    </cfRule>
  </conditionalFormatting>
  <conditionalFormatting sqref="A3">
    <cfRule type="expression" dxfId="584" priority="1591585">
      <formula>COUNTIF($A$2:$A$9913,$A3)&gt;1</formula>
    </cfRule>
  </conditionalFormatting>
  <conditionalFormatting sqref="A4:A6 A936">
    <cfRule type="expression" dxfId="583" priority="1589430">
      <formula>COUNTIF($A$4:$A$10132,$A4)&gt;1</formula>
    </cfRule>
  </conditionalFormatting>
  <conditionalFormatting sqref="A7">
    <cfRule type="expression" dxfId="582" priority="1591586">
      <formula>COUNTIF($A$4:$A$10010,$A7)&gt;1</formula>
    </cfRule>
  </conditionalFormatting>
  <conditionalFormatting sqref="A13 A15:A17">
    <cfRule type="expression" dxfId="581" priority="1591056">
      <formula>COUNTIF($A$4:$A$10101,$A13)&gt;1</formula>
    </cfRule>
  </conditionalFormatting>
  <conditionalFormatting sqref="A14">
    <cfRule type="expression" dxfId="580" priority="1591587">
      <formula>COUNTIF($A$2:$A$9927,$A14)&gt;1</formula>
    </cfRule>
  </conditionalFormatting>
  <conditionalFormatting sqref="A18:A19">
    <cfRule type="expression" dxfId="579" priority="1591588">
      <formula>COUNTIF($A$2:$A$9950,$A18)&gt;1</formula>
    </cfRule>
  </conditionalFormatting>
  <conditionalFormatting sqref="A20:A21 A180 A579">
    <cfRule type="expression" dxfId="578" priority="1588970">
      <formula>COUNTIF($A$4:$A$10133,$A20)&gt;1</formula>
    </cfRule>
  </conditionalFormatting>
  <conditionalFormatting sqref="A22 A62">
    <cfRule type="expression" dxfId="577" priority="1591555">
      <formula>COUNTIF($A$4:$A$10094,$A22)&gt;1</formula>
    </cfRule>
  </conditionalFormatting>
  <conditionalFormatting sqref="A33">
    <cfRule type="expression" dxfId="576" priority="1591589">
      <formula>COUNTIF($A$4:$A$10112,$A33)&gt;1</formula>
    </cfRule>
  </conditionalFormatting>
  <conditionalFormatting sqref="A35">
    <cfRule type="expression" dxfId="575" priority="1591538">
      <formula>COUNTIF($A$4:$A$10164,$A35)&gt;1</formula>
    </cfRule>
  </conditionalFormatting>
  <conditionalFormatting sqref="A38:A40 A933 A935 A937:A939">
    <cfRule type="expression" dxfId="574" priority="1591590">
      <formula>COUNTIF($A$4:$A$10151,$A38)&gt;1</formula>
    </cfRule>
  </conditionalFormatting>
  <conditionalFormatting sqref="A49">
    <cfRule type="expression" dxfId="573" priority="1589380">
      <formula>COUNTIF($A$4:$A$10033,$A49)&gt;1</formula>
    </cfRule>
  </conditionalFormatting>
  <conditionalFormatting sqref="A50 A558 A568 A570:A573 A577:A578">
    <cfRule type="expression" dxfId="572" priority="1591559">
      <formula>COUNTIF($A$4:$A$10126,$A50)&gt;1</formula>
    </cfRule>
  </conditionalFormatting>
  <conditionalFormatting sqref="A75">
    <cfRule type="expression" dxfId="571" priority="1591594">
      <formula>COUNTIF($A$3:$A$10031,$A75)&gt;1</formula>
    </cfRule>
  </conditionalFormatting>
  <conditionalFormatting sqref="A78">
    <cfRule type="expression" dxfId="570" priority="1591595">
      <formula>COUNTIF($A$2:$A$9995,$A78)&gt;1</formula>
    </cfRule>
  </conditionalFormatting>
  <conditionalFormatting sqref="A81:A82">
    <cfRule type="expression" dxfId="569" priority="1591596">
      <formula>COUNTIF($A$3:$A$10048,$A81)&gt;1</formula>
    </cfRule>
  </conditionalFormatting>
  <conditionalFormatting sqref="A90">
    <cfRule type="expression" dxfId="568" priority="1591597">
      <formula>COUNTIF($A$3:$A$10018,$A90)&gt;1</formula>
    </cfRule>
  </conditionalFormatting>
  <conditionalFormatting sqref="A91">
    <cfRule type="expression" dxfId="567" priority="1591598">
      <formula>COUNTIF($A$3:$A$10054,$A91)&gt;1</formula>
    </cfRule>
  </conditionalFormatting>
  <conditionalFormatting sqref="A92">
    <cfRule type="expression" dxfId="566" priority="1591599">
      <formula>COUNTIF($A$3:$A$9953,$A92)&gt;1</formula>
    </cfRule>
  </conditionalFormatting>
  <conditionalFormatting sqref="A93 A972">
    <cfRule type="expression" dxfId="565" priority="1591600">
      <formula>COUNTIF($A$3:$A$9972,$A93)&gt;1</formula>
    </cfRule>
  </conditionalFormatting>
  <conditionalFormatting sqref="A94 A96 A143 A215 A217:A220 A498 A500">
    <cfRule type="expression" dxfId="564" priority="1591539">
      <formula>COUNTIF($A$4:$A$10116,$A94)&gt;1</formula>
    </cfRule>
  </conditionalFormatting>
  <conditionalFormatting sqref="A95">
    <cfRule type="expression" dxfId="563" priority="1591602">
      <formula>COUNTIF($A$5:$A$10107,$A95)&gt;1</formula>
    </cfRule>
  </conditionalFormatting>
  <conditionalFormatting sqref="A97:A98 A100:A101">
    <cfRule type="expression" dxfId="562" priority="1588283">
      <formula>COUNTIF($A$4:$A$10169,$A97)&gt;1</formula>
    </cfRule>
  </conditionalFormatting>
  <conditionalFormatting sqref="A99">
    <cfRule type="expression" dxfId="561" priority="1591547">
      <formula>COUNTIF($A$4:$A$10166,$A99)&gt;1</formula>
    </cfRule>
  </conditionalFormatting>
  <conditionalFormatting sqref="A102:A110 A913:A916">
    <cfRule type="expression" dxfId="560" priority="1591077">
      <formula>COUNTIF($A$4:$A$10218,$A102)&gt;1</formula>
    </cfRule>
  </conditionalFormatting>
  <conditionalFormatting sqref="A111 A190">
    <cfRule type="expression" dxfId="559" priority="1591549">
      <formula>COUNTIF($A$3:$A$10033,$A111)&gt;1</formula>
    </cfRule>
  </conditionalFormatting>
  <conditionalFormatting sqref="A112">
    <cfRule type="expression" dxfId="558" priority="1591603">
      <formula>COUNTIF($A$5:$A$10046,$A112)&gt;1</formula>
    </cfRule>
  </conditionalFormatting>
  <conditionalFormatting sqref="A113:A117">
    <cfRule type="expression" dxfId="557" priority="1591604">
      <formula>COUNTIF($A$4:$A$10043,$A113)&gt;1</formula>
    </cfRule>
  </conditionalFormatting>
  <conditionalFormatting sqref="A118">
    <cfRule type="expression" dxfId="556" priority="1591551">
      <formula>COUNTIF($A$3:$A$9955,$A118)&gt;1</formula>
    </cfRule>
  </conditionalFormatting>
  <conditionalFormatting sqref="A119">
    <cfRule type="expression" dxfId="555" priority="1591605">
      <formula>COUNTIF($A$3:$A$9968,$A119)&gt;1</formula>
    </cfRule>
  </conditionalFormatting>
  <conditionalFormatting sqref="A120 A803">
    <cfRule type="expression" dxfId="554" priority="1591606">
      <formula>COUNTIF($A$4:$A$10040,$A120)&gt;1</formula>
    </cfRule>
  </conditionalFormatting>
  <conditionalFormatting sqref="A121:A122">
    <cfRule type="expression" dxfId="553" priority="1590199">
      <formula>COUNTIF($A$4:$A$10032,$A121)&gt;1</formula>
    </cfRule>
  </conditionalFormatting>
  <conditionalFormatting sqref="A124 A126">
    <cfRule type="expression" dxfId="552" priority="1591608">
      <formula>COUNTIF($A$2:$A$9953,$A124)&gt;1</formula>
    </cfRule>
  </conditionalFormatting>
  <conditionalFormatting sqref="A125">
    <cfRule type="expression" dxfId="551" priority="1591564">
      <formula>COUNTIF($A$4:$A$10141,$A125)&gt;1</formula>
    </cfRule>
  </conditionalFormatting>
  <conditionalFormatting sqref="A127">
    <cfRule type="expression" dxfId="550" priority="1590685">
      <formula>COUNTIF($A$4:$A$10119,$A127)&gt;1</formula>
    </cfRule>
  </conditionalFormatting>
  <conditionalFormatting sqref="A128">
    <cfRule type="expression" dxfId="549" priority="1591610">
      <formula>COUNTIF($A$2:$A$10068,$A128)&gt;1</formula>
    </cfRule>
  </conditionalFormatting>
  <conditionalFormatting sqref="A129">
    <cfRule type="expression" dxfId="548" priority="1591558">
      <formula>COUNTIF($A$4:$A$10246,$A129)&gt;1</formula>
    </cfRule>
  </conditionalFormatting>
  <conditionalFormatting sqref="A130">
    <cfRule type="expression" dxfId="547" priority="1591611">
      <formula>COUNTIF($A$5:$A$10150,$A130)&gt;1</formula>
    </cfRule>
  </conditionalFormatting>
  <conditionalFormatting sqref="A131">
    <cfRule type="expression" dxfId="546" priority="1591612">
      <formula>COUNTIF($A$2:$A$9946,$A131)&gt;1</formula>
    </cfRule>
  </conditionalFormatting>
  <conditionalFormatting sqref="A132:A133">
    <cfRule type="expression" dxfId="545" priority="1590751">
      <formula>COUNTIF($A$2:$A$9947,$A132)&gt;1</formula>
    </cfRule>
  </conditionalFormatting>
  <conditionalFormatting sqref="A134">
    <cfRule type="expression" dxfId="544" priority="1590946">
      <formula>COUNTIF($A$4:$A$10061,$A134)&gt;1</formula>
    </cfRule>
  </conditionalFormatting>
  <conditionalFormatting sqref="A135">
    <cfRule type="expression" dxfId="543" priority="1591613">
      <formula>COUNTIF($A$2:$A$10045,$A135)&gt;1</formula>
    </cfRule>
  </conditionalFormatting>
  <conditionalFormatting sqref="A137 A467">
    <cfRule type="expression" dxfId="542" priority="1591614">
      <formula>COUNTIF($A$4:$A$10222,$A137)&gt;1</formula>
    </cfRule>
  </conditionalFormatting>
  <conditionalFormatting sqref="A140 A365:A371">
    <cfRule type="expression" dxfId="541" priority="1589602">
      <formula>COUNTIF($A$4:$A$10160,$A140)&gt;1</formula>
    </cfRule>
  </conditionalFormatting>
  <conditionalFormatting sqref="A146:A147 A153">
    <cfRule type="expression" dxfId="540" priority="1590734">
      <formula>COUNTIF($A$2:$A$9996,$A146)&gt;1</formula>
    </cfRule>
  </conditionalFormatting>
  <conditionalFormatting sqref="A148:A150 A156:A158">
    <cfRule type="expression" dxfId="539" priority="1591616">
      <formula>COUNTIF($A$4:$A$10183,$A148)&gt;1</formula>
    </cfRule>
  </conditionalFormatting>
  <conditionalFormatting sqref="A152 A982">
    <cfRule type="expression" dxfId="538" priority="1591618">
      <formula>COUNTIF($A$2:$A$10007,$A152)&gt;1</formula>
    </cfRule>
  </conditionalFormatting>
  <conditionalFormatting sqref="A159:A160">
    <cfRule type="expression" dxfId="537" priority="1591620">
      <formula>COUNTIF($A$4:$A$10194,$A159)&gt;1</formula>
    </cfRule>
  </conditionalFormatting>
  <conditionalFormatting sqref="A170:A171">
    <cfRule type="expression" dxfId="536" priority="1591621">
      <formula>COUNTIF($A$4:$A$10197,$A170)&gt;1</formula>
    </cfRule>
  </conditionalFormatting>
  <conditionalFormatting sqref="A172">
    <cfRule type="expression" dxfId="535" priority="1591622">
      <formula>COUNTIF($A$3:$A$9884,$A172)&gt;1</formula>
    </cfRule>
  </conditionalFormatting>
  <conditionalFormatting sqref="A173">
    <cfRule type="expression" dxfId="534" priority="1591623">
      <formula>COUNTIF($A$4:$A$9937,$A173)&gt;1</formula>
    </cfRule>
  </conditionalFormatting>
  <conditionalFormatting sqref="A175:A177 A921">
    <cfRule type="expression" dxfId="533" priority="1589661">
      <formula>COUNTIF($A$4:$A$10168,$A175)&gt;1</formula>
    </cfRule>
  </conditionalFormatting>
  <conditionalFormatting sqref="A178">
    <cfRule type="expression" dxfId="532" priority="1591552">
      <formula>COUNTIF($A$4:$A$10199,$A178)&gt;1</formula>
    </cfRule>
  </conditionalFormatting>
  <conditionalFormatting sqref="A179">
    <cfRule type="expression" dxfId="531" priority="1591624">
      <formula>COUNTIF($A$5:$A$10132,$A179)&gt;1</formula>
    </cfRule>
  </conditionalFormatting>
  <conditionalFormatting sqref="A181 A183 A533:A534 A536:A537 A539:A548">
    <cfRule type="expression" dxfId="530" priority="1590665">
      <formula>COUNTIF($A$4:$A$10155,$A181)&gt;1</formula>
    </cfRule>
  </conditionalFormatting>
  <conditionalFormatting sqref="A182">
    <cfRule type="expression" dxfId="529" priority="1591625">
      <formula>COUNTIF($A$5:$A$10112,$A182)&gt;1</formula>
    </cfRule>
  </conditionalFormatting>
  <conditionalFormatting sqref="A188">
    <cfRule type="expression" dxfId="528" priority="1589659">
      <formula>COUNTIF($A$4:$A$10120,$A188)&gt;1</formula>
    </cfRule>
  </conditionalFormatting>
  <conditionalFormatting sqref="A191">
    <cfRule type="expression" dxfId="527" priority="1591626">
      <formula>COUNTIF($A$4:$A$10047,$A191)&gt;1</formula>
    </cfRule>
  </conditionalFormatting>
  <conditionalFormatting sqref="A193">
    <cfRule type="expression" dxfId="526" priority="1591627">
      <formula>COUNTIF($A$3:$A$9960,$A193)&gt;1</formula>
    </cfRule>
  </conditionalFormatting>
  <conditionalFormatting sqref="A198">
    <cfRule type="expression" dxfId="525" priority="1591629">
      <formula>COUNTIF($A$4:$A$10122,$A198)&gt;1</formula>
    </cfRule>
    <cfRule type="expression" dxfId="524" priority="1591628">
      <formula>COUNTIF($A198:$A1347,$A198)&gt;1</formula>
    </cfRule>
  </conditionalFormatting>
  <conditionalFormatting sqref="A199:A200">
    <cfRule type="expression" dxfId="523" priority="1591630">
      <formula>COUNTIF($A$5:$A$10023,$A199)&gt;1</formula>
    </cfRule>
  </conditionalFormatting>
  <conditionalFormatting sqref="A205">
    <cfRule type="expression" dxfId="522" priority="1591631">
      <formula>COUNTIF($A$2:$A$10026,$A205)&gt;1</formula>
    </cfRule>
  </conditionalFormatting>
  <conditionalFormatting sqref="A208:A209">
    <cfRule type="expression" dxfId="521" priority="1591632">
      <formula>COUNTIF($A$5:$A$10081,$A208)&gt;1</formula>
    </cfRule>
  </conditionalFormatting>
  <conditionalFormatting sqref="A214">
    <cfRule type="expression" dxfId="520" priority="1591633">
      <formula>COUNTIF($A$2:$A$9901,$A214)&gt;1</formula>
    </cfRule>
  </conditionalFormatting>
  <conditionalFormatting sqref="A216">
    <cfRule type="expression" dxfId="519" priority="1591110">
      <formula>COUNTIF($A$4:$A$10130,$A216)&gt;1</formula>
    </cfRule>
  </conditionalFormatting>
  <conditionalFormatting sqref="A223:A224">
    <cfRule type="expression" dxfId="518" priority="1591634">
      <formula>COUNTIF($A$4:$A$10188,$A223)&gt;1</formula>
    </cfRule>
  </conditionalFormatting>
  <conditionalFormatting sqref="A225">
    <cfRule type="expression" dxfId="517" priority="1591635">
      <formula>COUNTIF($A225:$A1298,$A225)&gt;1</formula>
    </cfRule>
    <cfRule type="expression" dxfId="516" priority="1591636">
      <formula>COUNTIF($A$4:$A$10111,$A225)&gt;1</formula>
    </cfRule>
  </conditionalFormatting>
  <conditionalFormatting sqref="A226:A228">
    <cfRule type="expression" dxfId="515" priority="1591637">
      <formula>COUNTIF($A$4:$A$10092,$A226)&gt;1</formula>
    </cfRule>
  </conditionalFormatting>
  <conditionalFormatting sqref="A229">
    <cfRule type="expression" dxfId="514" priority="1591638">
      <formula>COUNTIF($A$4:$A$10212,$A229)&gt;1</formula>
    </cfRule>
  </conditionalFormatting>
  <conditionalFormatting sqref="A230 A235">
    <cfRule type="expression" dxfId="513" priority="1574305">
      <formula>COUNTIF($A230:$A1365,$A230)&gt;1</formula>
    </cfRule>
  </conditionalFormatting>
  <conditionalFormatting sqref="A231">
    <cfRule type="expression" dxfId="512" priority="1591640">
      <formula>COUNTIF($A231:$A1419,$A231)&gt;1</formula>
    </cfRule>
    <cfRule type="expression" dxfId="511" priority="1591639">
      <formula>COUNTIF($A$4:$A$10233,$A231)&gt;1</formula>
    </cfRule>
  </conditionalFormatting>
  <conditionalFormatting sqref="A232:A233">
    <cfRule type="expression" dxfId="510" priority="1591642">
      <formula>COUNTIF($A232:$A1325,$A232)&gt;1</formula>
    </cfRule>
    <cfRule type="expression" dxfId="509" priority="1591641">
      <formula>COUNTIF($A$4:$A$10117,$A232)&gt;1</formula>
    </cfRule>
  </conditionalFormatting>
  <conditionalFormatting sqref="A234">
    <cfRule type="expression" dxfId="508" priority="1590711">
      <formula>COUNTIF($A234:$A1270,$A234)&gt;1</formula>
    </cfRule>
    <cfRule type="expression" dxfId="507" priority="1591060">
      <formula>COUNTIF($A$4:$A$10031,$A234)&gt;1</formula>
    </cfRule>
  </conditionalFormatting>
  <conditionalFormatting sqref="A236:A237 A426 A456 A606">
    <cfRule type="expression" dxfId="506" priority="1572904">
      <formula>COUNTIF($A236:$A1370,$A236)&gt;1</formula>
    </cfRule>
  </conditionalFormatting>
  <conditionalFormatting sqref="A238">
    <cfRule type="expression" dxfId="505" priority="1591644">
      <formula>COUNTIF($A238:$A1301,$A238)&gt;1</formula>
    </cfRule>
    <cfRule type="expression" dxfId="504" priority="1591643">
      <formula>COUNTIF($A$4:$A$10100,$A238)&gt;1</formula>
    </cfRule>
  </conditionalFormatting>
  <conditionalFormatting sqref="A239 A400 A492 A764">
    <cfRule type="expression" dxfId="503" priority="1567616">
      <formula>COUNTIF($A239:$A1285,$A239)&gt;1</formula>
    </cfRule>
  </conditionalFormatting>
  <conditionalFormatting sqref="A239:A240">
    <cfRule type="expression" dxfId="502" priority="1591645">
      <formula>COUNTIF($A$4:$A$10056,$A239)&gt;1</formula>
    </cfRule>
  </conditionalFormatting>
  <conditionalFormatting sqref="A240 A796">
    <cfRule type="expression" dxfId="501" priority="1575702">
      <formula>COUNTIF($A240:$A1284,$A240)&gt;1</formula>
    </cfRule>
  </conditionalFormatting>
  <conditionalFormatting sqref="A241:A242 A514 A522">
    <cfRule type="expression" dxfId="500" priority="1589474">
      <formula>COUNTIF($A241:$A1383,$A241)&gt;1</formula>
    </cfRule>
  </conditionalFormatting>
  <conditionalFormatting sqref="A243">
    <cfRule type="expression" dxfId="499" priority="1591647">
      <formula>COUNTIF($A$4:$A$10052,$A243)&gt;1</formula>
    </cfRule>
    <cfRule type="expression" dxfId="498" priority="1591646">
      <formula>COUNTIF($A243:$A1276,$A243)&gt;1</formula>
    </cfRule>
  </conditionalFormatting>
  <conditionalFormatting sqref="A244">
    <cfRule type="expression" dxfId="497" priority="1591649">
      <formula>COUNTIF($A$4:$A$10193,$A244)&gt;1</formula>
    </cfRule>
    <cfRule type="expression" dxfId="496" priority="1591648">
      <formula>COUNTIF($A244:$A1400,$A244)&gt;1</formula>
    </cfRule>
  </conditionalFormatting>
  <conditionalFormatting sqref="A245">
    <cfRule type="expression" dxfId="495" priority="1591650">
      <formula>COUNTIF($A245:$A1395,$A245)&gt;1</formula>
    </cfRule>
    <cfRule type="expression" dxfId="494" priority="1591651">
      <formula>COUNTIF($A$6:$A$10168,$A245)&gt;1</formula>
    </cfRule>
  </conditionalFormatting>
  <conditionalFormatting sqref="A246">
    <cfRule type="expression" dxfId="493" priority="1591652">
      <formula>COUNTIF($A$4:$A$10278,$A246)&gt;1</formula>
    </cfRule>
    <cfRule type="expression" dxfId="492" priority="1591653">
      <formula>COUNTIF($A246:$A1475,$A246)&gt;1</formula>
    </cfRule>
  </conditionalFormatting>
  <conditionalFormatting sqref="A247">
    <cfRule type="expression" dxfId="491" priority="1591654">
      <formula>COUNTIF($A247:$A1404,$A247)&gt;1</formula>
    </cfRule>
    <cfRule type="expression" dxfId="490" priority="1591655">
      <formula>COUNTIF($A$4:$A$10183,$A247)&gt;1</formula>
    </cfRule>
  </conditionalFormatting>
  <conditionalFormatting sqref="A248">
    <cfRule type="expression" dxfId="489" priority="1591656">
      <formula>COUNTIF($A248:$A1452,$A248)&gt;1</formula>
    </cfRule>
    <cfRule type="expression" dxfId="488" priority="1591657">
      <formula>COUNTIF($A$4:$A$10232,$A248)&gt;1</formula>
    </cfRule>
  </conditionalFormatting>
  <conditionalFormatting sqref="A249:A251">
    <cfRule type="expression" dxfId="487" priority="1591658">
      <formula>COUNTIF($A$2:$A$10059,$A249)&gt;1</formula>
    </cfRule>
    <cfRule type="expression" dxfId="486" priority="1591659">
      <formula>COUNTIF($A249:$A1300,$A249)&gt;1</formula>
    </cfRule>
  </conditionalFormatting>
  <conditionalFormatting sqref="A252 A254 A257:A261">
    <cfRule type="expression" dxfId="485" priority="1590671">
      <formula>COUNTIF($A$4:$A$10262,$A252)&gt;1</formula>
    </cfRule>
  </conditionalFormatting>
  <conditionalFormatting sqref="A252 A254">
    <cfRule type="expression" dxfId="484" priority="1591583">
      <formula>COUNTIF($A252:$A1466,$A252)&gt;1</formula>
    </cfRule>
  </conditionalFormatting>
  <conditionalFormatting sqref="A253">
    <cfRule type="expression" dxfId="483" priority="1591660">
      <formula>COUNTIF($A$3:$A$10122,$A253)&gt;1</formula>
    </cfRule>
    <cfRule type="expression" dxfId="482" priority="1591661">
      <formula>COUNTIF($A253:$A1374,$A253)&gt;1</formula>
    </cfRule>
  </conditionalFormatting>
  <conditionalFormatting sqref="A255">
    <cfRule type="expression" dxfId="481" priority="1591662">
      <formula>COUNTIF($A$4:$A$10256,$A255)&gt;1</formula>
    </cfRule>
    <cfRule type="expression" dxfId="480" priority="1591663">
      <formula>COUNTIF($A255:$A1456,$A255)&gt;1</formula>
    </cfRule>
  </conditionalFormatting>
  <conditionalFormatting sqref="A256">
    <cfRule type="expression" dxfId="479" priority="1591665">
      <formula>COUNTIF($A$3:$A$10082,$A256)&gt;1</formula>
    </cfRule>
    <cfRule type="expression" dxfId="478" priority="1591664">
      <formula>COUNTIF($A256:$A1324,$A256)&gt;1</formula>
    </cfRule>
  </conditionalFormatting>
  <conditionalFormatting sqref="A257 A259">
    <cfRule type="expression" dxfId="477" priority="1589855">
      <formula>COUNTIF($A257:$A1460,$A257)&gt;1</formula>
    </cfRule>
  </conditionalFormatting>
  <conditionalFormatting sqref="A258 A260">
    <cfRule type="expression" dxfId="476" priority="1590716">
      <formula>COUNTIF($A258:$A1460,$A258)&gt;1</formula>
    </cfRule>
  </conditionalFormatting>
  <conditionalFormatting sqref="A261">
    <cfRule type="expression" dxfId="475" priority="1591577">
      <formula>COUNTIF($A261:$A1462,$A261)&gt;1</formula>
    </cfRule>
  </conditionalFormatting>
  <conditionalFormatting sqref="A262">
    <cfRule type="expression" dxfId="474" priority="1591667">
      <formula>COUNTIF($A262:$A1438,$A262)&gt;1</formula>
    </cfRule>
    <cfRule type="expression" dxfId="473" priority="1591666">
      <formula>COUNTIF($A$4:$A$10185,$A262)&gt;1</formula>
    </cfRule>
  </conditionalFormatting>
  <conditionalFormatting sqref="A263">
    <cfRule type="expression" dxfId="472" priority="1591668">
      <formula>COUNTIF($A$4:$A$10013,$A263)&gt;1</formula>
    </cfRule>
    <cfRule type="expression" dxfId="471" priority="1591669">
      <formula>COUNTIF($A263:$A1281,$A263)&gt;1</formula>
    </cfRule>
  </conditionalFormatting>
  <conditionalFormatting sqref="A264:A265">
    <cfRule type="expression" dxfId="470" priority="1591537">
      <formula>COUNTIF($A264:$A1290,$A264)&gt;1</formula>
    </cfRule>
  </conditionalFormatting>
  <conditionalFormatting sqref="A264:A266">
    <cfRule type="expression" dxfId="469" priority="1591670">
      <formula>COUNTIF($A$4:$A$10017,$A264)&gt;1</formula>
    </cfRule>
  </conditionalFormatting>
  <conditionalFormatting sqref="A266">
    <cfRule type="expression" dxfId="468" priority="1591578">
      <formula>COUNTIF($A266:$A1290,$A266)&gt;1</formula>
    </cfRule>
  </conditionalFormatting>
  <conditionalFormatting sqref="A267:A269">
    <cfRule type="expression" dxfId="467" priority="1591672">
      <formula>COUNTIF($A$2:$A$10041,$A267)&gt;1</formula>
    </cfRule>
    <cfRule type="expression" dxfId="466" priority="1591671">
      <formula>COUNTIF($A267:$A1318,$A267)&gt;1</formula>
    </cfRule>
  </conditionalFormatting>
  <conditionalFormatting sqref="A270 A565">
    <cfRule type="expression" dxfId="465" priority="1590408">
      <formula>COUNTIF($A270:$A1374,$A270)&gt;1</formula>
    </cfRule>
  </conditionalFormatting>
  <conditionalFormatting sqref="A270:A271">
    <cfRule type="expression" dxfId="464" priority="1591673">
      <formula>COUNTIF($A$4:$A$10104,$A270)&gt;1</formula>
    </cfRule>
  </conditionalFormatting>
  <conditionalFormatting sqref="A271 A564 A726:A728">
    <cfRule type="expression" dxfId="463" priority="1591497">
      <formula>COUNTIF($A271:$A1374,$A271)&gt;1</formula>
    </cfRule>
  </conditionalFormatting>
  <conditionalFormatting sqref="A272 A320 A364 A428 A479 A481">
    <cfRule type="expression" dxfId="462" priority="1583749">
      <formula>COUNTIF($A272:$A1436,$A272)&gt;1</formula>
    </cfRule>
  </conditionalFormatting>
  <conditionalFormatting sqref="A273">
    <cfRule type="expression" dxfId="461" priority="1591674">
      <formula>COUNTIF($A273:$A1444,$A273)&gt;1</formula>
    </cfRule>
    <cfRule type="expression" dxfId="460" priority="1591675">
      <formula>COUNTIF($A$4:$A$10174,$A273)&gt;1</formula>
    </cfRule>
  </conditionalFormatting>
  <conditionalFormatting sqref="A274">
    <cfRule type="expression" dxfId="459" priority="1591677">
      <formula>COUNTIF($A$5:$A$10086,$A274)&gt;1</formula>
    </cfRule>
    <cfRule type="expression" dxfId="458" priority="1591676">
      <formula>COUNTIF($A274:$A1392,$A274)&gt;1</formula>
    </cfRule>
  </conditionalFormatting>
  <conditionalFormatting sqref="A275 A321 A358:A361 A378">
    <cfRule type="expression" dxfId="457" priority="1584600">
      <formula>COUNTIF($A275:$A1438,$A275)&gt;1</formula>
    </cfRule>
  </conditionalFormatting>
  <conditionalFormatting sqref="A276 A309 A322 A377 A487:A489">
    <cfRule type="expression" dxfId="456" priority="1570387">
      <formula>COUNTIF($A276:$A1438,$A276)&gt;1</formula>
    </cfRule>
  </conditionalFormatting>
  <conditionalFormatting sqref="A277 A300 A411:A412 A423:A424 A429:A432 A485:A486">
    <cfRule type="expression" dxfId="455" priority="1572793">
      <formula>COUNTIF($A277:$A1438,$A277)&gt;1</formula>
    </cfRule>
  </conditionalFormatting>
  <conditionalFormatting sqref="A278 A417:A418">
    <cfRule type="expression" dxfId="454" priority="1575597">
      <formula>COUNTIF($A278:$A1438,$A278)&gt;1</formula>
    </cfRule>
  </conditionalFormatting>
  <conditionalFormatting sqref="A279:A280 A373 A416 A516">
    <cfRule type="expression" dxfId="453" priority="1574539">
      <formula>COUNTIF($A279:$A1438,$A279)&gt;1</formula>
    </cfRule>
  </conditionalFormatting>
  <conditionalFormatting sqref="A281 A330 A376 A415 A515">
    <cfRule type="expression" dxfId="452" priority="1576503">
      <formula>COUNTIF($A281:$A1439,$A281)&gt;1</formula>
    </cfRule>
  </conditionalFormatting>
  <conditionalFormatting sqref="A282">
    <cfRule type="expression" dxfId="451" priority="1591679">
      <formula>COUNTIF($A$5:$A$10112,$A282)&gt;1</formula>
    </cfRule>
    <cfRule type="expression" dxfId="450" priority="1591678">
      <formula>COUNTIF($A282:$A1381,$A282)&gt;1</formula>
    </cfRule>
  </conditionalFormatting>
  <conditionalFormatting sqref="A283 A332:A333 A419 A421">
    <cfRule type="expression" dxfId="449" priority="1588217">
      <formula>COUNTIF($A283:$A1439,$A283)&gt;1</formula>
    </cfRule>
  </conditionalFormatting>
  <conditionalFormatting sqref="A284 A334 A337:A342 A344">
    <cfRule type="expression" dxfId="448" priority="1588825">
      <formula>COUNTIF($A284:$A1439,$A284)&gt;1</formula>
    </cfRule>
  </conditionalFormatting>
  <conditionalFormatting sqref="A285 A446">
    <cfRule type="expression" dxfId="447" priority="1589635">
      <formula>COUNTIF($A285:$A1438,$A285)&gt;1</formula>
    </cfRule>
  </conditionalFormatting>
  <conditionalFormatting sqref="A286">
    <cfRule type="expression" dxfId="446" priority="1589857">
      <formula>COUNTIF($A286:$A1477,$A286)&gt;1</formula>
    </cfRule>
  </conditionalFormatting>
  <conditionalFormatting sqref="A286:A289 A293">
    <cfRule type="expression" dxfId="445" priority="1591680">
      <formula>COUNTIF($A$4:$A$10232,$A286)&gt;1</formula>
    </cfRule>
  </conditionalFormatting>
  <conditionalFormatting sqref="A287:A288">
    <cfRule type="expression" dxfId="444" priority="1590718">
      <formula>COUNTIF($A287:$A1477,$A287)&gt;1</formula>
    </cfRule>
  </conditionalFormatting>
  <conditionalFormatting sqref="A289">
    <cfRule type="expression" dxfId="443" priority="1591579">
      <formula>COUNTIF($A289:$A1478,$A289)&gt;1</formula>
    </cfRule>
  </conditionalFormatting>
  <conditionalFormatting sqref="A290:A291">
    <cfRule type="expression" dxfId="442" priority="1591682">
      <formula>COUNTIF($A$4:$A$10161,$A290)&gt;1</formula>
    </cfRule>
    <cfRule type="expression" dxfId="441" priority="1591683">
      <formula>COUNTIF($A290:$A1447,$A290)&gt;1</formula>
    </cfRule>
  </conditionalFormatting>
  <conditionalFormatting sqref="A292">
    <cfRule type="expression" dxfId="440" priority="1590819">
      <formula>COUNTIF($A$4:$A$10233,$A292)&gt;1</formula>
    </cfRule>
  </conditionalFormatting>
  <conditionalFormatting sqref="A292:A293">
    <cfRule type="expression" dxfId="439" priority="1590661">
      <formula>COUNTIF($A292:$A1478,$A292)&gt;1</formula>
    </cfRule>
  </conditionalFormatting>
  <conditionalFormatting sqref="A294">
    <cfRule type="expression" dxfId="438" priority="1591684">
      <formula>COUNTIF($A$5:$A$10118,$A294)&gt;1</formula>
    </cfRule>
    <cfRule type="expression" dxfId="437" priority="1591685">
      <formula>COUNTIF($A294:$A1435,$A294)&gt;1</formula>
    </cfRule>
  </conditionalFormatting>
  <conditionalFormatting sqref="A295">
    <cfRule type="expression" dxfId="436" priority="1591686">
      <formula>COUNTIF($A$5:$A$10020,$A295)&gt;1</formula>
    </cfRule>
    <cfRule type="expression" dxfId="435" priority="1591687">
      <formula>COUNTIF($A295:$A1346,$A295)&gt;1</formula>
    </cfRule>
  </conditionalFormatting>
  <conditionalFormatting sqref="A296">
    <cfRule type="expression" dxfId="434" priority="1591688">
      <formula>COUNTIF($A$4:$A$9955,$A296)&gt;1</formula>
    </cfRule>
    <cfRule type="expression" dxfId="433" priority="1591689">
      <formula>COUNTIF($A296:$A1303,$A296)&gt;1</formula>
    </cfRule>
  </conditionalFormatting>
  <conditionalFormatting sqref="A297">
    <cfRule type="expression" dxfId="432" priority="1591691">
      <formula>COUNTIF($A$4:$A$9987,$A297)&gt;1</formula>
    </cfRule>
    <cfRule type="expression" dxfId="431" priority="1591690">
      <formula>COUNTIF($A297:$A1322,$A297)&gt;1</formula>
    </cfRule>
  </conditionalFormatting>
  <conditionalFormatting sqref="A298 A790:A792">
    <cfRule type="expression" dxfId="430" priority="1566578">
      <formula>COUNTIF($A298:$A1347,$A298)&gt;1</formula>
    </cfRule>
  </conditionalFormatting>
  <conditionalFormatting sqref="A298">
    <cfRule type="expression" dxfId="429" priority="1590809">
      <formula>COUNTIF($A$4:$A$10018,$A298)&gt;1</formula>
    </cfRule>
  </conditionalFormatting>
  <conditionalFormatting sqref="A299">
    <cfRule type="expression" dxfId="428" priority="1591693">
      <formula>COUNTIF($A$5:$A$9990,$A299)&gt;1</formula>
    </cfRule>
    <cfRule type="expression" dxfId="427" priority="1591692">
      <formula>COUNTIF($A299:$A1324,$A299)&gt;1</formula>
    </cfRule>
  </conditionalFormatting>
  <conditionalFormatting sqref="A300 A456 A966:A967 A969">
    <cfRule type="expression" dxfId="426" priority="1591519">
      <formula>COUNTIF($A$4:$A$10158,$A300)&gt;1</formula>
    </cfRule>
  </conditionalFormatting>
  <conditionalFormatting sqref="A301:A303">
    <cfRule type="expression" dxfId="425" priority="1591695">
      <formula>COUNTIF($A$3:$A$10018,$A301)&gt;1</formula>
    </cfRule>
    <cfRule type="expression" dxfId="424" priority="1591694">
      <formula>COUNTIF($A301:$A1387,$A301)&gt;1</formula>
    </cfRule>
  </conditionalFormatting>
  <conditionalFormatting sqref="A304">
    <cfRule type="expression" dxfId="423" priority="1591696">
      <formula>COUNTIF($A304:$A1350,$A304)&gt;1</formula>
    </cfRule>
    <cfRule type="expression" dxfId="422" priority="1591697">
      <formula>COUNTIF($A$3:$A$9979,$A304)&gt;1</formula>
    </cfRule>
  </conditionalFormatting>
  <conditionalFormatting sqref="A305">
    <cfRule type="expression" dxfId="421" priority="1591698">
      <formula>COUNTIF($A305:$A1524,$A305)&gt;1</formula>
    </cfRule>
    <cfRule type="expression" dxfId="420" priority="1591699">
      <formula>COUNTIF($A$4:$A$10272,$A305)&gt;1</formula>
    </cfRule>
  </conditionalFormatting>
  <conditionalFormatting sqref="A306">
    <cfRule type="expression" dxfId="419" priority="1591700">
      <formula>COUNTIF($A306:$A1502,$A306)&gt;1</formula>
    </cfRule>
    <cfRule type="expression" dxfId="418" priority="1591701">
      <formula>COUNTIF($A$4:$A$10256,$A306)&gt;1</formula>
    </cfRule>
  </conditionalFormatting>
  <conditionalFormatting sqref="A307">
    <cfRule type="expression" dxfId="417" priority="1591703">
      <formula>COUNTIF($A307:$A1265,$A307)&gt;1</formula>
    </cfRule>
    <cfRule type="expression" dxfId="416" priority="1591702">
      <formula>COUNTIF($A$3:$A$9939,$A307)&gt;1</formula>
    </cfRule>
  </conditionalFormatting>
  <conditionalFormatting sqref="A308">
    <cfRule type="expression" dxfId="415" priority="1591705">
      <formula>COUNTIF($A$4:$A$10272,$A308)&gt;1</formula>
    </cfRule>
    <cfRule type="expression" dxfId="414" priority="1591704">
      <formula>COUNTIF($A308:$A1530,$A308)&gt;1</formula>
    </cfRule>
  </conditionalFormatting>
  <conditionalFormatting sqref="A310 A365:A367">
    <cfRule type="expression" dxfId="413" priority="1544427">
      <formula>COUNTIF($A310:$A1484,$A310)&gt;1</formula>
    </cfRule>
  </conditionalFormatting>
  <conditionalFormatting sqref="A311 A368">
    <cfRule type="expression" dxfId="412" priority="1566445">
      <formula>COUNTIF($A311:$A1484,$A311)&gt;1</formula>
    </cfRule>
  </conditionalFormatting>
  <conditionalFormatting sqref="A312 A369">
    <cfRule type="expression" dxfId="411" priority="1563851">
      <formula>COUNTIF($A312:$A1484,$A312)&gt;1</formula>
    </cfRule>
  </conditionalFormatting>
  <conditionalFormatting sqref="A313 A370:A371">
    <cfRule type="expression" dxfId="410" priority="1572448">
      <formula>COUNTIF($A313:$A1484,$A313)&gt;1</formula>
    </cfRule>
  </conditionalFormatting>
  <conditionalFormatting sqref="A314">
    <cfRule type="expression" dxfId="409" priority="1567821">
      <formula>COUNTIF($A314:$A1484,$A314)&gt;1</formula>
    </cfRule>
  </conditionalFormatting>
  <conditionalFormatting sqref="A315:A317">
    <cfRule type="expression" dxfId="408" priority="1563877">
      <formula>COUNTIF($A315:$A1484,$A315)&gt;1</formula>
    </cfRule>
  </conditionalFormatting>
  <conditionalFormatting sqref="A318 A405:A407">
    <cfRule type="expression" dxfId="407" priority="1573740">
      <formula>COUNTIF($A318:$A1485,$A318)&gt;1</formula>
    </cfRule>
  </conditionalFormatting>
  <conditionalFormatting sqref="A319 A477">
    <cfRule type="expression" dxfId="406" priority="1576310">
      <formula>COUNTIF($A319:$A1484,$A319)&gt;1</formula>
    </cfRule>
  </conditionalFormatting>
  <conditionalFormatting sqref="A323">
    <cfRule type="expression" dxfId="405" priority="1591580">
      <formula>COUNTIF($A313:$A1484,$A323)&gt;1</formula>
    </cfRule>
  </conditionalFormatting>
  <conditionalFormatting sqref="A324">
    <cfRule type="expression" dxfId="404" priority="1591581">
      <formula>COUNTIF($A313:$A1484,$A324)&gt;1</formula>
    </cfRule>
  </conditionalFormatting>
  <conditionalFormatting sqref="A325">
    <cfRule type="expression" dxfId="403" priority="1591706">
      <formula>COUNTIF($A$5:$A$9934,$A325)&gt;1</formula>
    </cfRule>
    <cfRule type="expression" dxfId="402" priority="1591572">
      <formula>COUNTIF($A325:$A1360,$A325)&gt;1</formula>
    </cfRule>
  </conditionalFormatting>
  <conditionalFormatting sqref="A326 A328:A329">
    <cfRule type="expression" dxfId="401" priority="1591707">
      <formula>COUNTIF($A$5:$A$10098,$A326)&gt;1</formula>
    </cfRule>
  </conditionalFormatting>
  <conditionalFormatting sqref="A326">
    <cfRule type="expression" dxfId="400" priority="1591582">
      <formula>COUNTIF($A326:$A1438,$A326)&gt;1</formula>
    </cfRule>
  </conditionalFormatting>
  <conditionalFormatting sqref="A327">
    <cfRule type="expression" dxfId="399" priority="1591709">
      <formula>COUNTIF($A$5:$A$10094,$A327)&gt;1</formula>
    </cfRule>
    <cfRule type="expression" dxfId="398" priority="1591710">
      <formula>COUNTIF($A327:$A1454,$A327)&gt;1</formula>
    </cfRule>
  </conditionalFormatting>
  <conditionalFormatting sqref="A328">
    <cfRule type="expression" dxfId="397" priority="1590721">
      <formula>COUNTIF($A328:$A1441,$A328)&gt;1</formula>
    </cfRule>
  </conditionalFormatting>
  <conditionalFormatting sqref="A329">
    <cfRule type="expression" dxfId="396" priority="1591524">
      <formula>COUNTIF($A329:$A1444,$A329)&gt;1</formula>
    </cfRule>
  </conditionalFormatting>
  <conditionalFormatting sqref="A331 A374:A375 A420 A422">
    <cfRule type="expression" dxfId="395" priority="1587258">
      <formula>COUNTIF($A331:$A1488,$A331)&gt;1</formula>
    </cfRule>
  </conditionalFormatting>
  <conditionalFormatting sqref="A335">
    <cfRule type="expression" dxfId="394" priority="1591711">
      <formula>COUNTIF($A$4:$A$10227,$A335)&gt;1</formula>
    </cfRule>
    <cfRule type="expression" dxfId="393" priority="1591712">
      <formula>COUNTIF($A335:$A1494,$A335)&gt;1</formula>
    </cfRule>
  </conditionalFormatting>
  <conditionalFormatting sqref="A336">
    <cfRule type="expression" dxfId="392" priority="1591713">
      <formula>COUNTIF($A336:$A1489,$A336)&gt;1</formula>
    </cfRule>
    <cfRule type="expression" dxfId="391" priority="1591714">
      <formula>COUNTIF($A$4:$A$10194,$A336)&gt;1</formula>
    </cfRule>
  </conditionalFormatting>
  <conditionalFormatting sqref="A343 A494">
    <cfRule type="expression" dxfId="390" priority="1588215">
      <formula>COUNTIF($A343:$A1497,$A343)&gt;1</formula>
    </cfRule>
  </conditionalFormatting>
  <conditionalFormatting sqref="A345">
    <cfRule type="expression" dxfId="389" priority="1591716">
      <formula>COUNTIF($A345:$A1408,$A345)&gt;1</formula>
    </cfRule>
    <cfRule type="expression" dxfId="388" priority="1591715">
      <formula>COUNTIF($A$4:$A$10064,$A345)&gt;1</formula>
    </cfRule>
  </conditionalFormatting>
  <conditionalFormatting sqref="A346">
    <cfRule type="expression" dxfId="387" priority="1591717">
      <formula>COUNTIF($A346:$A1531,$A346)&gt;1</formula>
    </cfRule>
    <cfRule type="expression" dxfId="386" priority="1591718">
      <formula>COUNTIF($A$4:$A$10269,$A346)&gt;1</formula>
    </cfRule>
  </conditionalFormatting>
  <conditionalFormatting sqref="A347">
    <cfRule type="expression" dxfId="385" priority="1591719">
      <formula>COUNTIF($A$3:$A$10087,$A347)&gt;1</formula>
    </cfRule>
    <cfRule type="expression" dxfId="384" priority="1591720">
      <formula>COUNTIF($A347:$A1470,$A347)&gt;1</formula>
    </cfRule>
  </conditionalFormatting>
  <conditionalFormatting sqref="A348">
    <cfRule type="expression" dxfId="383" priority="1591722">
      <formula>COUNTIF($A$8:$A$9529,$A348)&gt;1</formula>
    </cfRule>
    <cfRule type="expression" dxfId="382" priority="1591721">
      <formula>COUNTIF($A348:$A1071,$A348)&gt;1</formula>
    </cfRule>
  </conditionalFormatting>
  <conditionalFormatting sqref="A349 A353:A355 A398">
    <cfRule type="expression" dxfId="381" priority="1591574">
      <formula>COUNTIF($A349:$A1527,$A349)&gt;1</formula>
    </cfRule>
  </conditionalFormatting>
  <conditionalFormatting sqref="A349:A351 A353:A355">
    <cfRule type="expression" dxfId="380" priority="1591723">
      <formula>COUNTIF($A$4:$A$10191,$A349)&gt;1</formula>
    </cfRule>
  </conditionalFormatting>
  <conditionalFormatting sqref="A350:A351 A397">
    <cfRule type="expression" dxfId="379" priority="1590713">
      <formula>COUNTIF($A350:$A1529,$A350)&gt;1</formula>
    </cfRule>
  </conditionalFormatting>
  <conditionalFormatting sqref="A352">
    <cfRule type="expression" dxfId="378" priority="1590865">
      <formula>COUNTIF($A$4:$A$10151,$A352)&gt;1</formula>
    </cfRule>
    <cfRule type="expression" dxfId="377" priority="1590864">
      <formula>COUNTIF($A352:$A1445,$A352)&gt;1</formula>
    </cfRule>
  </conditionalFormatting>
  <conditionalFormatting sqref="A356">
    <cfRule type="expression" dxfId="376" priority="1591725">
      <formula>COUNTIF($A356:$A1448,$A356)&gt;1</formula>
    </cfRule>
    <cfRule type="expression" dxfId="375" priority="1591726">
      <formula>COUNTIF($A$4:$A$10150,$A356)&gt;1</formula>
    </cfRule>
  </conditionalFormatting>
  <conditionalFormatting sqref="A357">
    <cfRule type="expression" dxfId="374" priority="1591727">
      <formula>COUNTIF($A$4:$A$10149,$A357)&gt;1</formula>
    </cfRule>
    <cfRule type="expression" dxfId="373" priority="1591728">
      <formula>COUNTIF($A357:$A1506,$A357)&gt;1</formula>
    </cfRule>
  </conditionalFormatting>
  <conditionalFormatting sqref="A362">
    <cfRule type="expression" dxfId="372" priority="1591729">
      <formula>COUNTIF($A362:$A1425,$A362)&gt;1</formula>
    </cfRule>
    <cfRule type="expression" dxfId="371" priority="1591730">
      <formula>COUNTIF($A$4:$A$10046,$A362)&gt;1</formula>
    </cfRule>
  </conditionalFormatting>
  <conditionalFormatting sqref="A363">
    <cfRule type="expression" dxfId="370" priority="1591731">
      <formula>COUNTIF($A$4:$A$10162,$A363)&gt;1</formula>
    </cfRule>
    <cfRule type="expression" dxfId="369" priority="1591732">
      <formula>COUNTIF($A363:$A1516,$A363)&gt;1</formula>
    </cfRule>
  </conditionalFormatting>
  <conditionalFormatting sqref="A372">
    <cfRule type="expression" dxfId="368" priority="1591733">
      <formula>COUNTIF($A372:$A1402,$A372)&gt;1</formula>
    </cfRule>
    <cfRule type="expression" dxfId="367" priority="1591734">
      <formula>COUNTIF($A$2:$A$9926,$A372)&gt;1</formula>
    </cfRule>
  </conditionalFormatting>
  <conditionalFormatting sqref="A379">
    <cfRule type="expression" dxfId="366" priority="1588990">
      <formula>COUNTIF($A379:$A1571,$A379)&gt;1</formula>
    </cfRule>
  </conditionalFormatting>
  <conditionalFormatting sqref="A379:A387 A389:A398">
    <cfRule type="expression" dxfId="365" priority="1591532">
      <formula>COUNTIF($A$4:$A$10261,$A379)&gt;1</formula>
    </cfRule>
  </conditionalFormatting>
  <conditionalFormatting sqref="A380:A386">
    <cfRule type="expression" dxfId="364" priority="1588834">
      <formula>COUNTIF($A380:$A1573,$A380)&gt;1</formula>
    </cfRule>
  </conditionalFormatting>
  <conditionalFormatting sqref="A387">
    <cfRule type="expression" dxfId="363" priority="1591523">
      <formula>COUNTIF($A387:$A1572,$A387)&gt;1</formula>
    </cfRule>
  </conditionalFormatting>
  <conditionalFormatting sqref="A388">
    <cfRule type="expression" dxfId="362" priority="1591736">
      <formula>COUNTIF($A$4:$A$10134,$A388)&gt;1</formula>
    </cfRule>
    <cfRule type="expression" dxfId="361" priority="1591735">
      <formula>COUNTIF($A388:$A1551,$A388)&gt;1</formula>
    </cfRule>
  </conditionalFormatting>
  <conditionalFormatting sqref="A389:A393">
    <cfRule type="expression" dxfId="360" priority="1590655">
      <formula>COUNTIF($A389:$A1572,$A389)&gt;1</formula>
    </cfRule>
  </conditionalFormatting>
  <conditionalFormatting sqref="A394:A395">
    <cfRule type="expression" dxfId="359" priority="1591517">
      <formula>COUNTIF($A394:$A1576,$A394)&gt;1</formula>
    </cfRule>
  </conditionalFormatting>
  <conditionalFormatting sqref="A396">
    <cfRule type="expression" dxfId="358" priority="1589852">
      <formula>COUNTIF($A396:$A1576,$A396)&gt;1</formula>
    </cfRule>
  </conditionalFormatting>
  <conditionalFormatting sqref="A399">
    <cfRule type="expression" dxfId="357" priority="1591514">
      <formula>COUNTIF($A399:$A1439,$A399)&gt;1</formula>
    </cfRule>
  </conditionalFormatting>
  <conditionalFormatting sqref="A399:A400 A439:A442">
    <cfRule type="expression" dxfId="356" priority="1590725">
      <formula>COUNTIF($A$4:$A$10011,$A399)&gt;1</formula>
    </cfRule>
  </conditionalFormatting>
  <conditionalFormatting sqref="A401">
    <cfRule type="expression" dxfId="355" priority="1591737">
      <formula>COUNTIF($A401:$A1555,$A401)&gt;1</formula>
    </cfRule>
    <cfRule type="expression" dxfId="354" priority="1591738">
      <formula>COUNTIF($A$4:$A$10184,$A401)&gt;1</formula>
    </cfRule>
  </conditionalFormatting>
  <conditionalFormatting sqref="A402">
    <cfRule type="expression" dxfId="353" priority="1591739">
      <formula>COUNTIF($A$4:$A$10246,$A402)&gt;1</formula>
    </cfRule>
    <cfRule type="expression" dxfId="352" priority="1591740">
      <formula>COUNTIF($A402:$A1579,$A402)&gt;1</formula>
    </cfRule>
  </conditionalFormatting>
  <conditionalFormatting sqref="A403">
    <cfRule type="expression" dxfId="351" priority="1591741">
      <formula>COUNTIF($A$4:$A$10214,$A403)&gt;1</formula>
    </cfRule>
    <cfRule type="expression" dxfId="350" priority="1591742">
      <formula>COUNTIF($A403:$A1566,$A403)&gt;1</formula>
    </cfRule>
  </conditionalFormatting>
  <conditionalFormatting sqref="A404">
    <cfRule type="expression" dxfId="349" priority="1591743">
      <formula>COUNTIF($A404:$A1545,$A404)&gt;1</formula>
    </cfRule>
    <cfRule type="expression" dxfId="348" priority="1591744">
      <formula>COUNTIF($A$4:$A$10127,$A404)&gt;1</formula>
    </cfRule>
  </conditionalFormatting>
  <conditionalFormatting sqref="A407:A408 A411:A412 A415">
    <cfRule type="expression" dxfId="347" priority="1591527">
      <formula>COUNTIF($A$4:$A$10154,$A407)&gt;1</formula>
    </cfRule>
  </conditionalFormatting>
  <conditionalFormatting sqref="A408">
    <cfRule type="expression" dxfId="346" priority="1574521">
      <formula>COUNTIF($A408:$A1574,$A408)&gt;1</formula>
    </cfRule>
  </conditionalFormatting>
  <conditionalFormatting sqref="A409">
    <cfRule type="expression" dxfId="345" priority="1591745">
      <formula>COUNTIF($A409:$A1424,$A409)&gt;1</formula>
    </cfRule>
    <cfRule type="expression" dxfId="344" priority="1591746">
      <formula>COUNTIF($A$2:$A$9902,$A409)&gt;1</formula>
    </cfRule>
  </conditionalFormatting>
  <conditionalFormatting sqref="A410">
    <cfRule type="expression" dxfId="343" priority="1591747">
      <formula>COUNTIF($A$2:$A$9893,$A410)&gt;1</formula>
    </cfRule>
    <cfRule type="expression" dxfId="342" priority="1591748">
      <formula>COUNTIF($A410:$A1409,$A410)&gt;1</formula>
    </cfRule>
  </conditionalFormatting>
  <conditionalFormatting sqref="A413:A414">
    <cfRule type="expression" dxfId="341" priority="1591750">
      <formula>COUNTIF($A$4:$A$10149,$A413)&gt;1</formula>
    </cfRule>
    <cfRule type="expression" dxfId="340" priority="1591749">
      <formula>COUNTIF($A413:$A1487,$A413)&gt;1</formula>
    </cfRule>
  </conditionalFormatting>
  <conditionalFormatting sqref="A419:A421 A426 A931">
    <cfRule type="expression" dxfId="339" priority="1590249">
      <formula>COUNTIF($A$4:$A$10131,$A419)&gt;1</formula>
    </cfRule>
  </conditionalFormatting>
  <conditionalFormatting sqref="A425">
    <cfRule type="expression" dxfId="338" priority="1591751">
      <formula>COUNTIF($A425:$A1402,$A425)&gt;1</formula>
    </cfRule>
    <cfRule type="expression" dxfId="337" priority="1591752">
      <formula>COUNTIF($A$2:$A$9925,$A425)&gt;1</formula>
    </cfRule>
  </conditionalFormatting>
  <conditionalFormatting sqref="A427">
    <cfRule type="expression" dxfId="336" priority="1591754">
      <formula>COUNTIF($A427:$A1397,$A427)&gt;1</formula>
    </cfRule>
    <cfRule type="expression" dxfId="335" priority="1591753">
      <formula>COUNTIF($A$2:$A$9925,$A427)&gt;1</formula>
    </cfRule>
  </conditionalFormatting>
  <conditionalFormatting sqref="A433:A434 A436:A438">
    <cfRule type="expression" dxfId="334" priority="1591096">
      <formula>COUNTIF($A$2:$A$9924,$A433)&gt;1</formula>
    </cfRule>
  </conditionalFormatting>
  <conditionalFormatting sqref="A433:A434">
    <cfRule type="expression" dxfId="333" priority="1591573">
      <formula>COUNTIF($A433:$A1443,$A433)&gt;1</formula>
    </cfRule>
  </conditionalFormatting>
  <conditionalFormatting sqref="A435">
    <cfRule type="expression" dxfId="332" priority="1591755">
      <formula>COUNTIF($A435:$A1440,$A435)&gt;1</formula>
    </cfRule>
    <cfRule type="expression" dxfId="331" priority="1591756">
      <formula>COUNTIF($A$2:$A$9910,$A435)&gt;1</formula>
    </cfRule>
  </conditionalFormatting>
  <conditionalFormatting sqref="A436">
    <cfRule type="expression" dxfId="330" priority="1591536">
      <formula>COUNTIF($A436:$A1448,$A436)&gt;1</formula>
    </cfRule>
  </conditionalFormatting>
  <conditionalFormatting sqref="A437:A438">
    <cfRule type="expression" dxfId="329" priority="1590675">
      <formula>COUNTIF($A437:$A1450,$A437)&gt;1</formula>
    </cfRule>
  </conditionalFormatting>
  <conditionalFormatting sqref="A439:A440 A737:A738">
    <cfRule type="expression" dxfId="328" priority="1528722">
      <formula>COUNTIF($A439:$A1500,$A439)&gt;1</formula>
    </cfRule>
  </conditionalFormatting>
  <conditionalFormatting sqref="A441 A567 A739">
    <cfRule type="expression" dxfId="327" priority="1514658">
      <formula>COUNTIF($A441:$A1501,$A441)&gt;1</formula>
    </cfRule>
  </conditionalFormatting>
  <conditionalFormatting sqref="A442 A566 A740 A743:A744">
    <cfRule type="expression" dxfId="326" priority="1521929">
      <formula>COUNTIF($A442:$A1501,$A442)&gt;1</formula>
    </cfRule>
  </conditionalFormatting>
  <conditionalFormatting sqref="A443:A444">
    <cfRule type="expression" dxfId="325" priority="1591757">
      <formula>COUNTIF($A443:$A1396,$A443)&gt;1</formula>
    </cfRule>
  </conditionalFormatting>
  <conditionalFormatting sqref="A443:A445">
    <cfRule type="expression" dxfId="324" priority="1591758">
      <formula>COUNTIF($A$2:$A$9854,$A443)&gt;1</formula>
    </cfRule>
  </conditionalFormatting>
  <conditionalFormatting sqref="A445">
    <cfRule type="expression" dxfId="323" priority="1591759">
      <formula>COUNTIF($A445:$A1399,$A445)&gt;1</formula>
    </cfRule>
  </conditionalFormatting>
  <conditionalFormatting sqref="A446:A450">
    <cfRule type="expression" dxfId="322" priority="1591548">
      <formula>COUNTIF($A$4:$A$10114,$A446)&gt;1</formula>
    </cfRule>
  </conditionalFormatting>
  <conditionalFormatting sqref="A447">
    <cfRule type="expression" dxfId="321" priority="1590673">
      <formula>COUNTIF($A447:$A1599,$A447)&gt;1</formula>
    </cfRule>
  </conditionalFormatting>
  <conditionalFormatting sqref="A448:A450 A527">
    <cfRule type="expression" dxfId="320" priority="1591534">
      <formula>COUNTIF($A448:$A1599,$A448)&gt;1</formula>
    </cfRule>
  </conditionalFormatting>
  <conditionalFormatting sqref="A451">
    <cfRule type="expression" dxfId="319" priority="1591762">
      <formula>COUNTIF($A$2:$A$10043,$A451)&gt;1</formula>
    </cfRule>
    <cfRule type="expression" dxfId="318" priority="1591761">
      <formula>COUNTIF($A451:$A1560,$A451)&gt;1</formula>
    </cfRule>
  </conditionalFormatting>
  <conditionalFormatting sqref="A452">
    <cfRule type="expression" dxfId="317" priority="1591763">
      <formula>COUNTIF($A452:$A1514,$A452)&gt;1</formula>
    </cfRule>
    <cfRule type="expression" dxfId="316" priority="1591764">
      <formula>COUNTIF($A$2:$A$9953,$A452)&gt;1</formula>
    </cfRule>
  </conditionalFormatting>
  <conditionalFormatting sqref="A453">
    <cfRule type="expression" dxfId="315" priority="1591765">
      <formula>COUNTIF($A$4:$A$10194,$A453)&gt;1</formula>
    </cfRule>
    <cfRule type="expression" dxfId="314" priority="1591766">
      <formula>COUNTIF($A453:$A1609,$A453)&gt;1</formula>
    </cfRule>
  </conditionalFormatting>
  <conditionalFormatting sqref="A454">
    <cfRule type="expression" dxfId="313" priority="1591768">
      <formula>COUNTIF($A$4:$A$10117,$A454)&gt;1</formula>
    </cfRule>
    <cfRule type="expression" dxfId="312" priority="1591767">
      <formula>COUNTIF($A454:$A1606,$A454)&gt;1</formula>
    </cfRule>
  </conditionalFormatting>
  <conditionalFormatting sqref="A455">
    <cfRule type="expression" dxfId="311" priority="1591769">
      <formula>COUNTIF($A455:$A1505,$A455)&gt;1</formula>
    </cfRule>
    <cfRule type="expression" dxfId="310" priority="1591770">
      <formula>COUNTIF($A$3:$A$9985,$A455)&gt;1</formula>
    </cfRule>
  </conditionalFormatting>
  <conditionalFormatting sqref="A457">
    <cfRule type="expression" dxfId="309" priority="1575565">
      <formula>COUNTIF($A457:$A1625,$A457)&gt;1</formula>
    </cfRule>
  </conditionalFormatting>
  <conditionalFormatting sqref="A458">
    <cfRule type="expression" dxfId="308" priority="1591771">
      <formula>COUNTIF($A458:$A1590,$A458)&gt;1</formula>
    </cfRule>
    <cfRule type="expression" dxfId="307" priority="1591772">
      <formula>COUNTIF($A$4:$A$10087,$A458)&gt;1</formula>
    </cfRule>
  </conditionalFormatting>
  <conditionalFormatting sqref="A459">
    <cfRule type="expression" dxfId="306" priority="1591773">
      <formula>COUNTIF($A459:$A1605,$A459)&gt;1</formula>
    </cfRule>
    <cfRule type="expression" dxfId="305" priority="1591774">
      <formula>COUNTIF($A$4:$A$10101,$A459)&gt;1</formula>
    </cfRule>
  </conditionalFormatting>
  <conditionalFormatting sqref="A460">
    <cfRule type="expression" dxfId="304" priority="1591775">
      <formula>COUNTIF($A460:$A1621,$A460)&gt;1</formula>
    </cfRule>
    <cfRule type="expression" dxfId="303" priority="1591776">
      <formula>COUNTIF($A$4:$A$10203,$A460)&gt;1</formula>
    </cfRule>
  </conditionalFormatting>
  <conditionalFormatting sqref="A461">
    <cfRule type="expression" dxfId="302" priority="1591777">
      <formula>COUNTIF($A461:$A1591,$A461)&gt;1</formula>
    </cfRule>
    <cfRule type="expression" dxfId="301" priority="1591778">
      <formula>COUNTIF($A$4:$A$10087,$A461)&gt;1</formula>
    </cfRule>
  </conditionalFormatting>
  <conditionalFormatting sqref="A462">
    <cfRule type="expression" dxfId="300" priority="1591779">
      <formula>COUNTIF($A462:$A1401,$A462)&gt;1</formula>
    </cfRule>
    <cfRule type="expression" dxfId="299" priority="1591780">
      <formula>COUNTIF($A$2:$A$9800,$A462)&gt;1</formula>
    </cfRule>
  </conditionalFormatting>
  <conditionalFormatting sqref="A463">
    <cfRule type="expression" dxfId="298" priority="1591781">
      <formula>COUNTIF($A463:$A1604,$A463)&gt;1</formula>
    </cfRule>
    <cfRule type="expression" dxfId="297" priority="1591782">
      <formula>COUNTIF($A$4:$A$10133,$A463)&gt;1</formula>
    </cfRule>
  </conditionalFormatting>
  <conditionalFormatting sqref="A464">
    <cfRule type="expression" dxfId="296" priority="1591783">
      <formula>COUNTIF($A464:$A1427,$A464)&gt;1</formula>
    </cfRule>
    <cfRule type="expression" dxfId="295" priority="1591784">
      <formula>COUNTIF($A$2:$A$9931,$A464)&gt;1</formula>
    </cfRule>
  </conditionalFormatting>
  <conditionalFormatting sqref="A465">
    <cfRule type="expression" dxfId="294" priority="1591785">
      <formula>COUNTIF($A$3:$A$9887,$A465)&gt;1</formula>
    </cfRule>
    <cfRule type="expression" dxfId="293" priority="1591786">
      <formula>COUNTIF($A465:$A1409,$A465)&gt;1</formula>
    </cfRule>
  </conditionalFormatting>
  <conditionalFormatting sqref="A466 A533:A534 A543:A545">
    <cfRule type="expression" dxfId="292" priority="1589847">
      <formula>COUNTIF($A466:$A1595,$A466)&gt;1</formula>
    </cfRule>
  </conditionalFormatting>
  <conditionalFormatting sqref="A466">
    <cfRule type="expression" dxfId="291" priority="1590763">
      <formula>COUNTIF($A$5:$A$10133,$A466)&gt;1</formula>
    </cfRule>
  </conditionalFormatting>
  <conditionalFormatting sqref="A467">
    <cfRule type="expression" dxfId="290" priority="1591571">
      <formula>COUNTIF($A467:$A1664,$A467)&gt;1</formula>
    </cfRule>
  </conditionalFormatting>
  <conditionalFormatting sqref="A468">
    <cfRule type="expression" dxfId="289" priority="1591787">
      <formula>COUNTIF($A468:$A1587,$A468)&gt;1</formula>
    </cfRule>
    <cfRule type="expression" dxfId="288" priority="1591788">
      <formula>COUNTIF($A$5:$A$10113,$A468)&gt;1</formula>
    </cfRule>
  </conditionalFormatting>
  <conditionalFormatting sqref="A469">
    <cfRule type="expression" dxfId="287" priority="1591789">
      <formula>COUNTIF($A469:$A1548,$A469)&gt;1</formula>
    </cfRule>
    <cfRule type="expression" dxfId="286" priority="1591790">
      <formula>COUNTIF($A$4:$A$10054,$A469)&gt;1</formula>
    </cfRule>
  </conditionalFormatting>
  <conditionalFormatting sqref="A470">
    <cfRule type="expression" dxfId="285" priority="1591791">
      <formula>COUNTIF($A470:$A1478,$A470)&gt;1</formula>
    </cfRule>
    <cfRule type="expression" dxfId="284" priority="1591792">
      <formula>COUNTIF($A$5:$A$10009,$A470)&gt;1</formula>
    </cfRule>
  </conditionalFormatting>
  <conditionalFormatting sqref="A471">
    <cfRule type="expression" dxfId="283" priority="1591793">
      <formula>COUNTIF($A471:$A1540,$A471)&gt;1</formula>
    </cfRule>
    <cfRule type="expression" dxfId="282" priority="1591794">
      <formula>COUNTIF($A$4:$A$10058,$A471)&gt;1</formula>
    </cfRule>
  </conditionalFormatting>
  <conditionalFormatting sqref="A472 A474:A475">
    <cfRule type="expression" dxfId="281" priority="1591515">
      <formula>COUNTIF($A$4:$A$10035,$A472)&gt;1</formula>
    </cfRule>
  </conditionalFormatting>
  <conditionalFormatting sqref="A472 A795">
    <cfRule type="expression" dxfId="280" priority="1572436">
      <formula>COUNTIF($A472:$A1517,$A472)&gt;1</formula>
    </cfRule>
  </conditionalFormatting>
  <conditionalFormatting sqref="A473 A675">
    <cfRule type="expression" dxfId="279" priority="1591509">
      <formula>COUNTIF($A473:$A1550,$A473)&gt;1</formula>
    </cfRule>
  </conditionalFormatting>
  <conditionalFormatting sqref="A473 A836:A837">
    <cfRule type="expression" dxfId="278" priority="1591566">
      <formula>COUNTIF($A$4:$A$10078,$A473)&gt;1</formula>
    </cfRule>
  </conditionalFormatting>
  <conditionalFormatting sqref="A474:A475 A798:A799">
    <cfRule type="expression" dxfId="277" priority="1590652">
      <formula>COUNTIF($A474:$A1515,$A474)&gt;1</formula>
    </cfRule>
  </conditionalFormatting>
  <conditionalFormatting sqref="A476">
    <cfRule type="expression" dxfId="276" priority="1591796">
      <formula>COUNTIF($A$3:$A$10038,$A476)&gt;1</formula>
    </cfRule>
    <cfRule type="expression" dxfId="275" priority="1591795">
      <formula>COUNTIF($A476:$A1589,$A476)&gt;1</formula>
    </cfRule>
  </conditionalFormatting>
  <conditionalFormatting sqref="A478">
    <cfRule type="expression" dxfId="274" priority="1591798">
      <formula>COUNTIF($A478:$A1603,$A478)&gt;1</formula>
    </cfRule>
    <cfRule type="expression" dxfId="273" priority="1591797">
      <formula>COUNTIF($A$4:$A$10076,$A478)&gt;1</formula>
    </cfRule>
  </conditionalFormatting>
  <conditionalFormatting sqref="A480">
    <cfRule type="expression" dxfId="272" priority="1591799">
      <formula>COUNTIF($A480:$A1601,$A480)&gt;1</formula>
    </cfRule>
    <cfRule type="expression" dxfId="271" priority="1591800">
      <formula>COUNTIF($A$3:$A$10052,$A480)&gt;1</formula>
    </cfRule>
  </conditionalFormatting>
  <conditionalFormatting sqref="A482">
    <cfRule type="expression" dxfId="270" priority="1591802">
      <formula>COUNTIF($A$2:$A$9952,$A482)&gt;1</formula>
    </cfRule>
    <cfRule type="expression" dxfId="269" priority="1591801">
      <formula>COUNTIF($A482:$A1518,$A482)&gt;1</formula>
    </cfRule>
  </conditionalFormatting>
  <conditionalFormatting sqref="A483">
    <cfRule type="expression" dxfId="268" priority="1591803">
      <formula>COUNTIF($A483:$A1569,$A483)&gt;1</formula>
    </cfRule>
    <cfRule type="expression" dxfId="267" priority="1591804">
      <formula>COUNTIF($A$4:$A$10051,$A483)&gt;1</formula>
    </cfRule>
  </conditionalFormatting>
  <conditionalFormatting sqref="A484">
    <cfRule type="expression" dxfId="266" priority="1591805">
      <formula>COUNTIF($A484:$A1637,$A484)&gt;1</formula>
    </cfRule>
    <cfRule type="expression" dxfId="265" priority="1591806">
      <formula>COUNTIF($A$5:$A$10142,$A484)&gt;1</formula>
    </cfRule>
  </conditionalFormatting>
  <conditionalFormatting sqref="A490 A793">
    <cfRule type="expression" dxfId="264" priority="1545256">
      <formula>COUNTIF($A490:$A1538,$A490)&gt;1</formula>
    </cfRule>
  </conditionalFormatting>
  <conditionalFormatting sqref="A490:A492">
    <cfRule type="expression" dxfId="263" priority="1591807">
      <formula>COUNTIF($A$4:$A$10060,$A490)&gt;1</formula>
    </cfRule>
  </conditionalFormatting>
  <conditionalFormatting sqref="A491 A759:A763 A794">
    <cfRule type="expression" dxfId="262" priority="1567182">
      <formula>COUNTIF($A491:$A1538,$A491)&gt;1</formula>
    </cfRule>
  </conditionalFormatting>
  <conditionalFormatting sqref="A493">
    <cfRule type="expression" dxfId="261" priority="1591808">
      <formula>COUNTIF($A493:$A1646,$A493)&gt;1</formula>
    </cfRule>
    <cfRule type="expression" dxfId="260" priority="1591809">
      <formula>COUNTIF($A$4:$A$10164,$A493)&gt;1</formula>
    </cfRule>
  </conditionalFormatting>
  <conditionalFormatting sqref="A495:A496">
    <cfRule type="expression" dxfId="259" priority="1591810">
      <formula>COUNTIF($A495:$A1657,$A495)&gt;1</formula>
    </cfRule>
    <cfRule type="expression" dxfId="258" priority="1591811">
      <formula>COUNTIF($A$4:$A$10163,$A495)&gt;1</formula>
    </cfRule>
  </conditionalFormatting>
  <conditionalFormatting sqref="A497">
    <cfRule type="expression" dxfId="257" priority="1591812">
      <formula>COUNTIF($A$5:$A$9958,$A497)&gt;1</formula>
    </cfRule>
    <cfRule type="expression" dxfId="256" priority="1591813">
      <formula>COUNTIF($A497:$A1470,$A497)&gt;1</formula>
    </cfRule>
  </conditionalFormatting>
  <conditionalFormatting sqref="A498 A752 A754:A757 A782">
    <cfRule type="expression" dxfId="255" priority="1542314">
      <formula>COUNTIF($A498:$A1549,$A498)&gt;1</formula>
    </cfRule>
  </conditionalFormatting>
  <conditionalFormatting sqref="A499">
    <cfRule type="expression" dxfId="254" priority="1591814">
      <formula>COUNTIF($A499:$A1513,$A499)&gt;1</formula>
    </cfRule>
    <cfRule type="expression" dxfId="253" priority="1591815">
      <formula>COUNTIF($A$4:$A$9995,$A499)&gt;1</formula>
    </cfRule>
  </conditionalFormatting>
  <conditionalFormatting sqref="A500 A781">
    <cfRule type="expression" dxfId="252" priority="1572434">
      <formula>COUNTIF($A500:$A1556,$A500)&gt;1</formula>
    </cfRule>
  </conditionalFormatting>
  <conditionalFormatting sqref="A501:A502">
    <cfRule type="expression" dxfId="251" priority="1591816">
      <formula>COUNTIF($A501:$A1592,$A501)&gt;1</formula>
    </cfRule>
    <cfRule type="expression" dxfId="250" priority="1591817">
      <formula>COUNTIF($A$4:$A$10087,$A501)&gt;1</formula>
    </cfRule>
  </conditionalFormatting>
  <conditionalFormatting sqref="A503">
    <cfRule type="expression" dxfId="249" priority="1590637">
      <formula>COUNTIF($A503:$A1649,$A503)&gt;1</formula>
    </cfRule>
  </conditionalFormatting>
  <conditionalFormatting sqref="A504:A506 A598">
    <cfRule type="expression" dxfId="248" priority="1591500">
      <formula>COUNTIF($A504:$A1649,$A504)&gt;1</formula>
    </cfRule>
  </conditionalFormatting>
  <conditionalFormatting sqref="A507:A510 A517:A519 A521 A589:A591">
    <cfRule type="expression" dxfId="247" priority="1574540">
      <formula>COUNTIF($A507:$A1650,$A507)&gt;1</formula>
    </cfRule>
  </conditionalFormatting>
  <conditionalFormatting sqref="A511:A513 A524">
    <cfRule type="expression" dxfId="246" priority="1590639">
      <formula>COUNTIF($A511:$A1652,$A511)&gt;1</formula>
    </cfRule>
  </conditionalFormatting>
  <conditionalFormatting sqref="A515:A516">
    <cfRule type="expression" dxfId="245" priority="1590753">
      <formula>COUNTIF($A$4:$A$10223,$A515)&gt;1</formula>
    </cfRule>
  </conditionalFormatting>
  <conditionalFormatting sqref="A520">
    <cfRule type="expression" dxfId="244" priority="1591818">
      <formula>COUNTIF($A520:$A1575,$A520)&gt;1</formula>
    </cfRule>
    <cfRule type="expression" dxfId="243" priority="1591819">
      <formula>COUNTIF($A$4:$A$10034,$A520)&gt;1</formula>
    </cfRule>
  </conditionalFormatting>
  <conditionalFormatting sqref="A523">
    <cfRule type="expression" dxfId="242" priority="1591821">
      <formula>COUNTIF($A$3:$A$10016,$A523)&gt;1</formula>
    </cfRule>
    <cfRule type="expression" dxfId="241" priority="1591820">
      <formula>COUNTIF($A523:$A1558,$A523)&gt;1</formula>
    </cfRule>
  </conditionalFormatting>
  <conditionalFormatting sqref="A525 A593:A597">
    <cfRule type="expression" dxfId="240" priority="1591502">
      <formula>COUNTIF($A525:$A1665,$A525)&gt;1</formula>
    </cfRule>
  </conditionalFormatting>
  <conditionalFormatting sqref="A526">
    <cfRule type="expression" dxfId="239" priority="1591570">
      <formula>COUNTIF($A526:$A1675,$A526)&gt;1</formula>
    </cfRule>
  </conditionalFormatting>
  <conditionalFormatting sqref="A528 A551">
    <cfRule type="expression" dxfId="238" priority="1588011">
      <formula>COUNTIF($A528:$A1660,$A528)&gt;1</formula>
    </cfRule>
  </conditionalFormatting>
  <conditionalFormatting sqref="A528">
    <cfRule type="expression" dxfId="237" priority="1590703">
      <formula>COUNTIF($A$4:$A$10142,$A528)&gt;1</formula>
    </cfRule>
  </conditionalFormatting>
  <conditionalFormatting sqref="A529:A531">
    <cfRule type="expression" dxfId="236" priority="1590707">
      <formula>COUNTIF($A529:$A1595,$A529)&gt;1</formula>
    </cfRule>
  </conditionalFormatting>
  <conditionalFormatting sqref="A529:A532">
    <cfRule type="expression" dxfId="235" priority="1591822">
      <formula>COUNTIF($A$4:$A$10085,$A529)&gt;1</formula>
    </cfRule>
  </conditionalFormatting>
  <conditionalFormatting sqref="A532">
    <cfRule type="expression" dxfId="234" priority="1591568">
      <formula>COUNTIF($A532:$A1597,$A532)&gt;1</formula>
    </cfRule>
  </conditionalFormatting>
  <conditionalFormatting sqref="A535">
    <cfRule type="expression" dxfId="233" priority="1591824">
      <formula>COUNTIF($A535:$A1595,$A535)&gt;1</formula>
    </cfRule>
    <cfRule type="expression" dxfId="232" priority="1591823">
      <formula>COUNTIF($A$2:$A$9982,$A535)&gt;1</formula>
    </cfRule>
  </conditionalFormatting>
  <conditionalFormatting sqref="A536:A537 A540:A542 A546:A548">
    <cfRule type="expression" dxfId="231" priority="1590708">
      <formula>COUNTIF($A536:$A1664,$A536)&gt;1</formula>
    </cfRule>
  </conditionalFormatting>
  <conditionalFormatting sqref="A538">
    <cfRule type="expression" dxfId="230" priority="1591826">
      <formula>COUNTIF($A538:$A1629,$A538)&gt;1</formula>
    </cfRule>
    <cfRule type="expression" dxfId="229" priority="1591825">
      <formula>COUNTIF($A$4:$A$10028,$A538)&gt;1</formula>
    </cfRule>
  </conditionalFormatting>
  <conditionalFormatting sqref="A539">
    <cfRule type="expression" dxfId="228" priority="1591569">
      <formula>COUNTIF($A539:$A1666,$A539)&gt;1</formula>
    </cfRule>
  </conditionalFormatting>
  <conditionalFormatting sqref="A549">
    <cfRule type="expression" dxfId="227" priority="1591828">
      <formula>COUNTIF($A$2:$A$9880,$A549)&gt;1</formula>
    </cfRule>
    <cfRule type="expression" dxfId="226" priority="1591827">
      <formula>COUNTIF($A549:$A1516,$A549)&gt;1</formula>
    </cfRule>
  </conditionalFormatting>
  <conditionalFormatting sqref="A550">
    <cfRule type="expression" dxfId="225" priority="1591830">
      <formula>COUNTIF($A$3:$A$9941,$A550)&gt;1</formula>
    </cfRule>
    <cfRule type="expression" dxfId="224" priority="1591829">
      <formula>COUNTIF($A550:$A1523,$A550)&gt;1</formula>
    </cfRule>
  </conditionalFormatting>
  <conditionalFormatting sqref="A552">
    <cfRule type="expression" dxfId="223" priority="1591832">
      <formula>COUNTIF($A$4:$A$10075,$A552)&gt;1</formula>
    </cfRule>
    <cfRule type="expression" dxfId="222" priority="1591831">
      <formula>COUNTIF($A552:$A1590,$A552)&gt;1</formula>
    </cfRule>
  </conditionalFormatting>
  <conditionalFormatting sqref="A553">
    <cfRule type="expression" dxfId="221" priority="1591836">
      <formula>COUNTIF($A$4:$A$10061,$A553)&gt;1</formula>
    </cfRule>
    <cfRule type="expression" dxfId="220" priority="1591835">
      <formula>COUNTIF($A553:$A1576,$A553)&gt;1</formula>
    </cfRule>
  </conditionalFormatting>
  <conditionalFormatting sqref="A554:A555 A722">
    <cfRule type="expression" dxfId="219" priority="1588770">
      <formula>COUNTIF($A554:$A1685,$A554)&gt;1</formula>
    </cfRule>
  </conditionalFormatting>
  <conditionalFormatting sqref="A556">
    <cfRule type="expression" dxfId="218" priority="1591838">
      <formula>COUNTIF($A$4:$A$10028,$A556)&gt;1</formula>
    </cfRule>
    <cfRule type="expression" dxfId="217" priority="1591837">
      <formula>COUNTIF($A556:$A1578,$A556)&gt;1</formula>
    </cfRule>
  </conditionalFormatting>
  <conditionalFormatting sqref="A557">
    <cfRule type="expression" dxfId="216" priority="1591839">
      <formula>COUNTIF($A557:$A1612,$A557)&gt;1</formula>
    </cfRule>
    <cfRule type="expression" dxfId="215" priority="1591840">
      <formula>COUNTIF($A$4:$A$10063,$A557)&gt;1</formula>
    </cfRule>
  </conditionalFormatting>
  <conditionalFormatting sqref="A558 A628">
    <cfRule type="expression" dxfId="214" priority="1543560">
      <formula>COUNTIF($A558:$A1649,$A558)&gt;1</formula>
    </cfRule>
  </conditionalFormatting>
  <conditionalFormatting sqref="A559">
    <cfRule type="expression" dxfId="213" priority="1591842">
      <formula>COUNTIF($A$4:$A$9958,$A559)&gt;1</formula>
    </cfRule>
    <cfRule type="expression" dxfId="212" priority="1591841">
      <formula>COUNTIF($A559:$A1602,$A559)&gt;1</formula>
    </cfRule>
  </conditionalFormatting>
  <conditionalFormatting sqref="A560 A564:A565">
    <cfRule type="expression" dxfId="211" priority="1591525">
      <formula>COUNTIF($A$4:$A$10081,$A560)&gt;1</formula>
    </cfRule>
  </conditionalFormatting>
  <conditionalFormatting sqref="A560">
    <cfRule type="expression" dxfId="210" priority="1575336">
      <formula>COUNTIF($A560:$A1665,$A560)&gt;1</formula>
    </cfRule>
  </conditionalFormatting>
  <conditionalFormatting sqref="A561">
    <cfRule type="expression" dxfId="209" priority="1591844">
      <formula>COUNTIF($A$3:$A$9909,$A561)&gt;1</formula>
    </cfRule>
    <cfRule type="expression" dxfId="208" priority="1591843">
      <formula>COUNTIF($A561:$A1613,$A561)&gt;1</formula>
    </cfRule>
  </conditionalFormatting>
  <conditionalFormatting sqref="A562 A657:A660 A672 A680">
    <cfRule type="expression" dxfId="207" priority="1576659">
      <formula>COUNTIF($A562:$A1642,$A562)&gt;1</formula>
    </cfRule>
  </conditionalFormatting>
  <conditionalFormatting sqref="A562:A563">
    <cfRule type="expression" dxfId="206" priority="1591098">
      <formula>COUNTIF($A$5:$A$10050,$A562)&gt;1</formula>
    </cfRule>
  </conditionalFormatting>
  <conditionalFormatting sqref="A563 A667 A677">
    <cfRule type="expression" dxfId="205" priority="1567858">
      <formula>COUNTIF($A563:$A1646,$A563)&gt;1</formula>
    </cfRule>
  </conditionalFormatting>
  <conditionalFormatting sqref="A566:A567">
    <cfRule type="expression" dxfId="204" priority="1591845">
      <formula>COUNTIF($A$4:$A$10051,$A566)&gt;1</formula>
    </cfRule>
  </conditionalFormatting>
  <conditionalFormatting sqref="A568 A573 A632:A633 A650:A652">
    <cfRule type="expression" dxfId="203" priority="1566567">
      <formula>COUNTIF($A568:$A1654,$A568)&gt;1</formula>
    </cfRule>
  </conditionalFormatting>
  <conditionalFormatting sqref="A569">
    <cfRule type="expression" dxfId="202" priority="1591846">
      <formula>COUNTIF($A569:$A1621,$A569)&gt;1</formula>
    </cfRule>
    <cfRule type="expression" dxfId="201" priority="1591847">
      <formula>COUNTIF($A$5:$A$10077,$A569)&gt;1</formula>
    </cfRule>
  </conditionalFormatting>
  <conditionalFormatting sqref="A570 A572 A649">
    <cfRule type="expression" dxfId="200" priority="1560281">
      <formula>COUNTIF($A570:$A1657,$A570)&gt;1</formula>
    </cfRule>
  </conditionalFormatting>
  <conditionalFormatting sqref="A571 A636:A638 A640:A641 A643 A646:A648">
    <cfRule type="expression" dxfId="199" priority="1559192">
      <formula>COUNTIF($A571:$A1659,$A571)&gt;1</formula>
    </cfRule>
  </conditionalFormatting>
  <conditionalFormatting sqref="A574">
    <cfRule type="expression" dxfId="198" priority="1591849">
      <formula>COUNTIF($A$3:$A$10013,$A574)&gt;1</formula>
    </cfRule>
    <cfRule type="expression" dxfId="197" priority="1591848">
      <formula>COUNTIF($A574:$A1636,$A574)&gt;1</formula>
    </cfRule>
  </conditionalFormatting>
  <conditionalFormatting sqref="A575:A576">
    <cfRule type="expression" dxfId="196" priority="1591851">
      <formula>COUNTIF($A$3:$A$10012,$A575)&gt;1</formula>
    </cfRule>
    <cfRule type="expression" dxfId="195" priority="1591850">
      <formula>COUNTIF($A575:$A1638,$A575)&gt;1</formula>
    </cfRule>
  </conditionalFormatting>
  <conditionalFormatting sqref="A577">
    <cfRule type="expression" dxfId="194" priority="1591505">
      <formula>COUNTIF($A572:$A1659,$A577)&gt;1</formula>
    </cfRule>
  </conditionalFormatting>
  <conditionalFormatting sqref="A578:A579 A670:A671 A679">
    <cfRule type="expression" dxfId="193" priority="1572893">
      <formula>COUNTIF($A578:$A1659,$A578)&gt;1</formula>
    </cfRule>
  </conditionalFormatting>
  <conditionalFormatting sqref="A580">
    <cfRule type="expression" dxfId="192" priority="1591852">
      <formula>COUNTIF($A580:$A1659,$A580)&gt;1</formula>
    </cfRule>
    <cfRule type="expression" dxfId="191" priority="1591853">
      <formula>COUNTIF($A$6:$A$10050,$A580)&gt;1</formula>
    </cfRule>
  </conditionalFormatting>
  <conditionalFormatting sqref="A581">
    <cfRule type="expression" dxfId="190" priority="1591854">
      <formula>COUNTIF($A581:$A1638,$A581)&gt;1</formula>
    </cfRule>
    <cfRule type="expression" dxfId="189" priority="1591855">
      <formula>COUNTIF($A$3:$A$9972,$A581)&gt;1</formula>
    </cfRule>
  </conditionalFormatting>
  <conditionalFormatting sqref="A582">
    <cfRule type="expression" dxfId="188" priority="1591857">
      <formula>COUNTIF($A$3:$A$9962,$A582)&gt;1</formula>
    </cfRule>
    <cfRule type="expression" dxfId="187" priority="1591856">
      <formula>COUNTIF($A582:$A1643,$A582)&gt;1</formula>
    </cfRule>
  </conditionalFormatting>
  <conditionalFormatting sqref="A583">
    <cfRule type="expression" dxfId="186" priority="1591859">
      <formula>COUNTIF($A$4:$A$10137,$A583)&gt;1</formula>
    </cfRule>
    <cfRule type="expression" dxfId="185" priority="1591858">
      <formula>COUNTIF($A583:$A1676,$A583)&gt;1</formula>
    </cfRule>
  </conditionalFormatting>
  <conditionalFormatting sqref="A584 A586">
    <cfRule type="expression" dxfId="184" priority="1591861">
      <formula>COUNTIF($A$4:$A$10248,$A584)&gt;1</formula>
    </cfRule>
    <cfRule type="expression" dxfId="183" priority="1591860">
      <formula>COUNTIF($A584:$A1705,$A584)&gt;1</formula>
    </cfRule>
  </conditionalFormatting>
  <conditionalFormatting sqref="A585">
    <cfRule type="expression" dxfId="182" priority="1591864">
      <formula>COUNTIF($A$3:$A$10138,$A585)&gt;1</formula>
    </cfRule>
    <cfRule type="expression" dxfId="181" priority="1591865">
      <formula>COUNTIF($A585:$A1670,$A585)&gt;1</formula>
    </cfRule>
  </conditionalFormatting>
  <conditionalFormatting sqref="A587">
    <cfRule type="expression" dxfId="180" priority="1591504">
      <formula>COUNTIF($A587:$A1605,$A587)&gt;1</formula>
    </cfRule>
  </conditionalFormatting>
  <conditionalFormatting sqref="A587:A588">
    <cfRule type="expression" dxfId="179" priority="1591866">
      <formula>COUNTIF($A$4:$A$10068,$A587)&gt;1</formula>
    </cfRule>
  </conditionalFormatting>
  <conditionalFormatting sqref="A588">
    <cfRule type="expression" dxfId="178" priority="1591506">
      <formula>COUNTIF($A588:$A1608,$A588)&gt;1</formula>
    </cfRule>
  </conditionalFormatting>
  <conditionalFormatting sqref="A589:A591 A602:A604 A606:A607 A609">
    <cfRule type="expression" dxfId="177" priority="1591867">
      <formula>COUNTIF($A$4:$A$10291,$A589)&gt;1</formula>
    </cfRule>
  </conditionalFormatting>
  <conditionalFormatting sqref="A592">
    <cfRule type="expression" dxfId="176" priority="1591871">
      <formula>COUNTIF($A592:$A1489,$A592)&gt;1</formula>
    </cfRule>
    <cfRule type="expression" dxfId="175" priority="1591872">
      <formula>COUNTIF($A$6:$A$9460,$A592)&gt;1</formula>
    </cfRule>
  </conditionalFormatting>
  <conditionalFormatting sqref="A593:A598">
    <cfRule type="expression" dxfId="174" priority="1591873">
      <formula>COUNTIF($A$5:$A$10314,$A593)&gt;1</formula>
    </cfRule>
  </conditionalFormatting>
  <conditionalFormatting sqref="A599">
    <cfRule type="expression" dxfId="173" priority="1591874">
      <formula>COUNTIF($A599:$A1748,$A599)&gt;1</formula>
    </cfRule>
    <cfRule type="expression" dxfId="172" priority="1591875">
      <formula>COUNTIF($A$3:$A$10107,$A599)&gt;1</formula>
    </cfRule>
  </conditionalFormatting>
  <conditionalFormatting sqref="A600">
    <cfRule type="expression" dxfId="171" priority="1591876">
      <formula>COUNTIF($A600:$A1724,$A600)&gt;1</formula>
    </cfRule>
    <cfRule type="expression" dxfId="170" priority="1591877">
      <formula>COUNTIF($A$3:$A$10035,$A600)&gt;1</formula>
    </cfRule>
  </conditionalFormatting>
  <conditionalFormatting sqref="A601">
    <cfRule type="expression" dxfId="169" priority="1591878">
      <formula>COUNTIF($A$4:$A$10288,$A601)&gt;1</formula>
    </cfRule>
    <cfRule type="expression" dxfId="168" priority="1591879">
      <formula>COUNTIF($A601:$A1750,$A601)&gt;1</formula>
    </cfRule>
  </conditionalFormatting>
  <conditionalFormatting sqref="A602:A603">
    <cfRule type="expression" dxfId="167" priority="1567851">
      <formula>COUNTIF($A602:$A1739,$A602)&gt;1</formula>
    </cfRule>
  </conditionalFormatting>
  <conditionalFormatting sqref="A604">
    <cfRule type="expression" dxfId="166" priority="1567864">
      <formula>COUNTIF($A604:$A1740,$A604)&gt;1</formula>
    </cfRule>
  </conditionalFormatting>
  <conditionalFormatting sqref="A605">
    <cfRule type="expression" dxfId="165" priority="1591880">
      <formula>COUNTIF($A605:$A1643,$A605)&gt;1</formula>
    </cfRule>
    <cfRule type="expression" dxfId="164" priority="1591881">
      <formula>COUNTIF($A$4:$A$9953,$A605)&gt;1</formula>
    </cfRule>
  </conditionalFormatting>
  <conditionalFormatting sqref="A607 A723">
    <cfRule type="expression" dxfId="163" priority="1576625">
      <formula>COUNTIF($A607:$A1740,$A607)&gt;1</formula>
    </cfRule>
  </conditionalFormatting>
  <conditionalFormatting sqref="A608">
    <cfRule type="expression" dxfId="162" priority="1591882">
      <formula>COUNTIF($A608:$A1684,$A608)&gt;1</formula>
    </cfRule>
    <cfRule type="expression" dxfId="161" priority="1591883">
      <formula>COUNTIF($A$2:$A$9974,$A608)&gt;1</formula>
    </cfRule>
  </conditionalFormatting>
  <conditionalFormatting sqref="A609">
    <cfRule type="expression" dxfId="160" priority="1588972">
      <formula>COUNTIF($A609:$A1739,$A609)&gt;1</formula>
    </cfRule>
  </conditionalFormatting>
  <conditionalFormatting sqref="A610 A616:A621">
    <cfRule type="expression" dxfId="159" priority="1590644">
      <formula>COUNTIF($A610:$A1709,$A610)&gt;1</formula>
    </cfRule>
  </conditionalFormatting>
  <conditionalFormatting sqref="A611 A705">
    <cfRule type="expression" dxfId="158" priority="1576727">
      <formula>COUNTIF($A611:$A1654,$A611)&gt;1</formula>
    </cfRule>
  </conditionalFormatting>
  <conditionalFormatting sqref="A611">
    <cfRule type="expression" dxfId="157" priority="1591531">
      <formula>COUNTIF($A$4:$A$10020,$A611)&gt;1</formula>
    </cfRule>
  </conditionalFormatting>
  <conditionalFormatting sqref="A612:A614 A729:A730">
    <cfRule type="expression" dxfId="156" priority="1576634">
      <formula>COUNTIF($A612:$A1713,$A612)&gt;1</formula>
    </cfRule>
  </conditionalFormatting>
  <conditionalFormatting sqref="A615">
    <cfRule type="expression" dxfId="155" priority="1589554">
      <formula>COUNTIF($A615:$A1715,$A615)&gt;1</formula>
    </cfRule>
  </conditionalFormatting>
  <conditionalFormatting sqref="A622">
    <cfRule type="expression" dxfId="154" priority="1591507">
      <formula>COUNTIF($A622:$A1720,$A622)&gt;1</formula>
    </cfRule>
  </conditionalFormatting>
  <conditionalFormatting sqref="A623:A624">
    <cfRule type="expression" dxfId="153" priority="1590645">
      <formula>COUNTIF($A623:$A1718,$A623)&gt;1</formula>
    </cfRule>
  </conditionalFormatting>
  <conditionalFormatting sqref="A623:A625 A628:A631">
    <cfRule type="expression" dxfId="152" priority="1591884">
      <formula>COUNTIF($A$4:$A$10237,$A623)&gt;1</formula>
    </cfRule>
  </conditionalFormatting>
  <conditionalFormatting sqref="A625">
    <cfRule type="expression" dxfId="151" priority="1591508">
      <formula>COUNTIF($A625:$A1719,$A625)&gt;1</formula>
    </cfRule>
  </conditionalFormatting>
  <conditionalFormatting sqref="A626">
    <cfRule type="expression" dxfId="150" priority="1591887">
      <formula>COUNTIF($A$3:$A$9990,$A626)&gt;1</formula>
    </cfRule>
    <cfRule type="expression" dxfId="149" priority="1591886">
      <formula>COUNTIF($A626:$A1716,$A626)&gt;1</formula>
    </cfRule>
  </conditionalFormatting>
  <conditionalFormatting sqref="A627">
    <cfRule type="expression" dxfId="148" priority="1591888">
      <formula>COUNTIF($A627:$A1712,$A627)&gt;1</formula>
    </cfRule>
    <cfRule type="expression" dxfId="147" priority="1591889">
      <formula>COUNTIF($A$3:$A$9978,$A627)&gt;1</formula>
    </cfRule>
  </conditionalFormatting>
  <conditionalFormatting sqref="A629:A631">
    <cfRule type="expression" dxfId="146" priority="1544423">
      <formula>COUNTIF($A629:$A1719,$A629)&gt;1</formula>
    </cfRule>
  </conditionalFormatting>
  <conditionalFormatting sqref="A634">
    <cfRule type="expression" dxfId="145" priority="1591890">
      <formula>COUNTIF($A634:$A1671,$A634)&gt;1</formula>
    </cfRule>
    <cfRule type="expression" dxfId="144" priority="1591891">
      <formula>COUNTIF($A$5:$A$10113,$A634)&gt;1</formula>
    </cfRule>
  </conditionalFormatting>
  <conditionalFormatting sqref="A635 A654 A666">
    <cfRule type="expression" dxfId="143" priority="1567856">
      <formula>COUNTIF($A635:$A1719,$A635)&gt;1</formula>
    </cfRule>
  </conditionalFormatting>
  <conditionalFormatting sqref="A639">
    <cfRule type="expression" dxfId="142" priority="1591892">
      <formula>COUNTIF($A639:$A1748,$A639)&gt;1</formula>
    </cfRule>
    <cfRule type="expression" dxfId="141" priority="1591893">
      <formula>COUNTIF($A$4:$A$10245,$A639)&gt;1</formula>
    </cfRule>
  </conditionalFormatting>
  <conditionalFormatting sqref="A642 A644:A645">
    <cfRule type="expression" dxfId="140" priority="1545285">
      <formula>COUNTIF($A642:$A1731,$A642)&gt;1</formula>
    </cfRule>
  </conditionalFormatting>
  <conditionalFormatting sqref="A653">
    <cfRule type="expression" dxfId="139" priority="1566569">
      <formula>COUNTIF($A653:$A1738,$A653)&gt;1</formula>
    </cfRule>
  </conditionalFormatting>
  <conditionalFormatting sqref="A655:A656 A911:A912">
    <cfRule type="expression" dxfId="138" priority="1591894">
      <formula>COUNTIF($A$4:$A$10244,$A655)&gt;1</formula>
    </cfRule>
  </conditionalFormatting>
  <conditionalFormatting sqref="A655:A656">
    <cfRule type="expression" dxfId="137" priority="1588757">
      <formula>COUNTIF($A655:$A1761,$A655)&gt;1</formula>
    </cfRule>
  </conditionalFormatting>
  <conditionalFormatting sqref="A661:A665 A668:A669 A678">
    <cfRule type="expression" dxfId="136" priority="1570645">
      <formula>COUNTIF($A661:$A1743,$A661)&gt;1</formula>
    </cfRule>
  </conditionalFormatting>
  <conditionalFormatting sqref="A673">
    <cfRule type="expression" dxfId="135" priority="1589570">
      <formula>COUNTIF($A673:$A1752,$A673)&gt;1</formula>
    </cfRule>
  </conditionalFormatting>
  <conditionalFormatting sqref="A674 A676">
    <cfRule type="expression" dxfId="134" priority="1590646">
      <formula>COUNTIF($A674:$A1752,$A674)&gt;1</formula>
    </cfRule>
  </conditionalFormatting>
  <conditionalFormatting sqref="A677:A680 A932">
    <cfRule type="expression" dxfId="133" priority="1591896">
      <formula>COUNTIF($A$4:$A$10124,$A677)&gt;1</formula>
    </cfRule>
  </conditionalFormatting>
  <conditionalFormatting sqref="A681:A682">
    <cfRule type="expression" dxfId="132" priority="1590405">
      <formula>COUNTIF($A681:$A1754,$A681)&gt;1</formula>
    </cfRule>
  </conditionalFormatting>
  <conditionalFormatting sqref="A683">
    <cfRule type="expression" dxfId="131" priority="1591898">
      <formula>COUNTIF($A683:$A1700,$A683)&gt;1</formula>
    </cfRule>
    <cfRule type="expression" dxfId="130" priority="1591899">
      <formula>COUNTIF($A$5:$A$10087,$A683)&gt;1</formula>
    </cfRule>
  </conditionalFormatting>
  <conditionalFormatting sqref="A684:A685">
    <cfRule type="expression" dxfId="129" priority="1589575">
      <formula>COUNTIF($A684:$A1614,$A684)&gt;1</formula>
    </cfRule>
  </conditionalFormatting>
  <conditionalFormatting sqref="A684:A687">
    <cfRule type="expression" dxfId="128" priority="1591900">
      <formula>COUNTIF($A$5:$A$9962,$A684)&gt;1</formula>
    </cfRule>
  </conditionalFormatting>
  <conditionalFormatting sqref="A686">
    <cfRule type="expression" dxfId="127" priority="1590649">
      <formula>COUNTIF($A686:$A1615,$A686)&gt;1</formula>
    </cfRule>
  </conditionalFormatting>
  <conditionalFormatting sqref="A687">
    <cfRule type="expression" dxfId="126" priority="1591511">
      <formula>COUNTIF($A687:$A1615,$A687)&gt;1</formula>
    </cfRule>
  </conditionalFormatting>
  <conditionalFormatting sqref="A688:A689">
    <cfRule type="expression" dxfId="125" priority="1591512">
      <formula>COUNTIF($A688:$A1667,$A688)&gt;1</formula>
    </cfRule>
  </conditionalFormatting>
  <conditionalFormatting sqref="A688:A692">
    <cfRule type="expression" dxfId="124" priority="1590743">
      <formula>COUNTIF($A$4:$A$10044,$A688)&gt;1</formula>
    </cfRule>
  </conditionalFormatting>
  <conditionalFormatting sqref="A690">
    <cfRule type="expression" dxfId="123" priority="1589579">
      <formula>COUNTIF($A690:$A1667,$A690)&gt;1</formula>
    </cfRule>
  </conditionalFormatting>
  <conditionalFormatting sqref="A691">
    <cfRule type="expression" dxfId="122" priority="1590651">
      <formula>COUNTIF($A691:$A1667,$A691)&gt;1</formula>
    </cfRule>
  </conditionalFormatting>
  <conditionalFormatting sqref="A692">
    <cfRule type="expression" dxfId="121" priority="1591513">
      <formula>COUNTIF($A692:$A1667,$A692)&gt;1</formula>
    </cfRule>
  </conditionalFormatting>
  <conditionalFormatting sqref="A693">
    <cfRule type="expression" dxfId="120" priority="1591901">
      <formula>COUNTIF($A693:$A1700,$A693)&gt;1</formula>
    </cfRule>
    <cfRule type="expression" dxfId="119" priority="1591902">
      <formula>COUNTIF($A$4:$A$10086,$A693)&gt;1</formula>
    </cfRule>
  </conditionalFormatting>
  <conditionalFormatting sqref="A694">
    <cfRule type="expression" dxfId="118" priority="1591904">
      <formula>COUNTIF($A$5:$A$10073,$A694)&gt;1</formula>
    </cfRule>
    <cfRule type="expression" dxfId="117" priority="1591903">
      <formula>COUNTIF($A694:$A1719,$A694)&gt;1</formula>
    </cfRule>
  </conditionalFormatting>
  <conditionalFormatting sqref="A695:A697">
    <cfRule type="expression" dxfId="116" priority="1589687">
      <formula>COUNTIF($A695:$A1762,$A695)&gt;1</formula>
    </cfRule>
  </conditionalFormatting>
  <conditionalFormatting sqref="A698">
    <cfRule type="expression" dxfId="115" priority="1591906">
      <formula>COUNTIF($A698:$A1689,$A698)&gt;1</formula>
    </cfRule>
    <cfRule type="expression" dxfId="114" priority="1591905">
      <formula>COUNTIF($A$2:$A$9889,$A698)&gt;1</formula>
    </cfRule>
  </conditionalFormatting>
  <conditionalFormatting sqref="A699:A703">
    <cfRule type="expression" dxfId="113" priority="1591907">
      <formula>COUNTIF($A699:$A1727,$A699)&gt;1</formula>
    </cfRule>
    <cfRule type="expression" dxfId="112" priority="1591908">
      <formula>COUNTIF($A$4:$A$10068,$A699)&gt;1</formula>
    </cfRule>
  </conditionalFormatting>
  <conditionalFormatting sqref="A704">
    <cfRule type="expression" dxfId="111" priority="1575328">
      <formula>COUNTIF($A704:$A1778,$A704)&gt;1</formula>
    </cfRule>
  </conditionalFormatting>
  <conditionalFormatting sqref="A705:A706">
    <cfRule type="expression" dxfId="110" priority="1591554">
      <formula>COUNTIF($A$5:$A$10083,$A705)&gt;1</formula>
    </cfRule>
  </conditionalFormatting>
  <conditionalFormatting sqref="A706 A797">
    <cfRule type="expression" dxfId="109" priority="1589584">
      <formula>COUNTIF($A706:$A1748,$A706)&gt;1</formula>
    </cfRule>
  </conditionalFormatting>
  <conditionalFormatting sqref="A707:A708 A712:A713">
    <cfRule type="expression" dxfId="108" priority="1591495">
      <formula>COUNTIF($A707:$A1779,$A707)&gt;1</formula>
    </cfRule>
  </conditionalFormatting>
  <conditionalFormatting sqref="A709">
    <cfRule type="expression" dxfId="107" priority="1591909">
      <formula>COUNTIF($A709:$A1774,$A709)&gt;1</formula>
    </cfRule>
    <cfRule type="expression" dxfId="106" priority="1591910">
      <formula>COUNTIF($A$3:$A$10016,$A709)&gt;1</formula>
    </cfRule>
  </conditionalFormatting>
  <conditionalFormatting sqref="A710">
    <cfRule type="expression" dxfId="105" priority="1591911">
      <formula>COUNTIF($A710:$A1772,$A710)&gt;1</formula>
    </cfRule>
    <cfRule type="expression" dxfId="104" priority="1591912">
      <formula>COUNTIF($A$4:$A$10177,$A710)&gt;1</formula>
    </cfRule>
  </conditionalFormatting>
  <conditionalFormatting sqref="A711">
    <cfRule type="expression" dxfId="103" priority="1591913">
      <formula>COUNTIF($A711:$A1739,$A711)&gt;1</formula>
    </cfRule>
    <cfRule type="expression" dxfId="102" priority="1591914">
      <formula>COUNTIF($A$2:$A$9904,$A711)&gt;1</formula>
    </cfRule>
  </conditionalFormatting>
  <conditionalFormatting sqref="A714:A717">
    <cfRule type="expression" dxfId="101" priority="1591916">
      <formula>COUNTIF($A714:$A1641,$A714)&gt;1</formula>
    </cfRule>
    <cfRule type="expression" dxfId="100" priority="1591915">
      <formula>COUNTIF($A$5:$A$9381,$A714)&gt;1</formula>
    </cfRule>
  </conditionalFormatting>
  <conditionalFormatting sqref="A718">
    <cfRule type="expression" dxfId="99" priority="1588720">
      <formula>COUNTIF($A718:$A1786,$A718)&gt;1</formula>
    </cfRule>
  </conditionalFormatting>
  <conditionalFormatting sqref="A719:A721">
    <cfRule type="expression" dxfId="98" priority="1588776">
      <formula>COUNTIF($A719:$A1788,$A719)&gt;1</formula>
    </cfRule>
  </conditionalFormatting>
  <conditionalFormatting sqref="A722:A723 A973">
    <cfRule type="expression" dxfId="97" priority="1591917">
      <formula>COUNTIF($A$4:$A$10100,$A722)&gt;1</formula>
    </cfRule>
  </conditionalFormatting>
  <conditionalFormatting sqref="A724:A725">
    <cfRule type="expression" dxfId="96" priority="1591919">
      <formula>COUNTIF($A724:$A1805,$A724)&gt;1</formula>
    </cfRule>
    <cfRule type="expression" dxfId="95" priority="1591920">
      <formula>COUNTIF($A$4:$A$10082,$A724)&gt;1</formula>
    </cfRule>
  </conditionalFormatting>
  <conditionalFormatting sqref="A726:A730 A863">
    <cfRule type="expression" dxfId="94" priority="1591921">
      <formula>COUNTIF($A$4:$A$10030,$A726)&gt;1</formula>
    </cfRule>
  </conditionalFormatting>
  <conditionalFormatting sqref="A731:A736">
    <cfRule type="expression" dxfId="93" priority="1569951">
      <formula>COUNTIF($A731:$A1793,$A731)&gt;1</formula>
    </cfRule>
  </conditionalFormatting>
  <conditionalFormatting sqref="A741:A742 A769:A772">
    <cfRule type="expression" dxfId="92" priority="1526153">
      <formula>COUNTIF($A741:$A1799,$A741)&gt;1</formula>
    </cfRule>
  </conditionalFormatting>
  <conditionalFormatting sqref="A745">
    <cfRule type="expression" dxfId="91" priority="1591923">
      <formula>COUNTIF($A745:$A1822,$A745)&gt;1</formula>
    </cfRule>
    <cfRule type="expression" dxfId="90" priority="1591924">
      <formula>COUNTIF($A$4:$A$10123,$A745)&gt;1</formula>
    </cfRule>
  </conditionalFormatting>
  <conditionalFormatting sqref="A746">
    <cfRule type="expression" dxfId="89" priority="1591925">
      <formula>COUNTIF($A$6:$A$9300,$A746)&gt;1</formula>
    </cfRule>
  </conditionalFormatting>
  <conditionalFormatting sqref="A747:A748">
    <cfRule type="expression" dxfId="88" priority="1591926">
      <formula>COUNTIF($A747:$A1825,$A747)&gt;1</formula>
    </cfRule>
    <cfRule type="expression" dxfId="87" priority="1591927">
      <formula>COUNTIF($A$4:$A$10123,$A747)&gt;1</formula>
    </cfRule>
  </conditionalFormatting>
  <conditionalFormatting sqref="A749">
    <cfRule type="expression" dxfId="86" priority="1591928">
      <formula>COUNTIF($A$4:$A$10086,$A749)&gt;1</formula>
    </cfRule>
    <cfRule type="expression" dxfId="85" priority="1591929">
      <formula>COUNTIF($A749:$A1746,$A749)&gt;1</formula>
    </cfRule>
  </conditionalFormatting>
  <conditionalFormatting sqref="A750:A751 A785">
    <cfRule type="expression" dxfId="84" priority="1572203">
      <formula>COUNTIF($A750:$A1803,$A750)&gt;1</formula>
    </cfRule>
  </conditionalFormatting>
  <conditionalFormatting sqref="A753 A758 A788:A789">
    <cfRule type="expression" dxfId="83" priority="1546005">
      <formula>COUNTIF($A753:$A1803,$A753)&gt;1</formula>
    </cfRule>
  </conditionalFormatting>
  <conditionalFormatting sqref="A765:A767">
    <cfRule type="expression" dxfId="82" priority="1591930">
      <formula>COUNTIF($A765:$A1803,$A765)&gt;1</formula>
    </cfRule>
    <cfRule type="expression" dxfId="81" priority="1591931">
      <formula>COUNTIF($A$4:$A$10195,$A765)&gt;1</formula>
    </cfRule>
  </conditionalFormatting>
  <conditionalFormatting sqref="A768">
    <cfRule type="expression" dxfId="80" priority="1590244">
      <formula>COUNTIF($A$2:$A$9909,$A768)&gt;1</formula>
    </cfRule>
  </conditionalFormatting>
  <conditionalFormatting sqref="A773:A774">
    <cfRule type="expression" dxfId="79" priority="1526182">
      <formula>COUNTIF($A773:$A1836,$A773)&gt;1</formula>
    </cfRule>
  </conditionalFormatting>
  <conditionalFormatting sqref="A775:A779">
    <cfRule type="expression" dxfId="78" priority="1591933">
      <formula>COUNTIF($A$3:$A$9999,$A775)&gt;1</formula>
    </cfRule>
    <cfRule type="expression" dxfId="77" priority="1591932">
      <formula>COUNTIF($A775:$A1807,$A775)&gt;1</formula>
    </cfRule>
  </conditionalFormatting>
  <conditionalFormatting sqref="A780">
    <cfRule type="expression" dxfId="76" priority="1514796">
      <formula>COUNTIF($A780:$A1837,$A780)&gt;1</formula>
    </cfRule>
  </conditionalFormatting>
  <conditionalFormatting sqref="A783">
    <cfRule type="expression" dxfId="75" priority="1530863">
      <formula>COUNTIF($A783:$A1838,$A783)&gt;1</formula>
    </cfRule>
  </conditionalFormatting>
  <conditionalFormatting sqref="A784">
    <cfRule type="expression" dxfId="74" priority="1516691">
      <formula>COUNTIF($A784:$A1838,$A784)&gt;1</formula>
    </cfRule>
  </conditionalFormatting>
  <conditionalFormatting sqref="A786:A787">
    <cfRule type="expression" dxfId="73" priority="1546093">
      <formula>COUNTIF($A786:$A1838,$A786)&gt;1</formula>
    </cfRule>
  </conditionalFormatting>
  <conditionalFormatting sqref="A802">
    <cfRule type="expression" dxfId="72" priority="1591934">
      <formula>COUNTIF($A$2:$A$9931,$A802)&gt;1</formula>
    </cfRule>
  </conditionalFormatting>
  <conditionalFormatting sqref="A804:A805 A808">
    <cfRule type="expression" dxfId="71" priority="1591935">
      <formula>COUNTIF($A$4:$A$10139,$A804)&gt;1</formula>
    </cfRule>
  </conditionalFormatting>
  <conditionalFormatting sqref="A806">
    <cfRule type="expression" dxfId="70" priority="1591937">
      <formula>COUNTIF($A$3:$A$10069,$A806)&gt;1</formula>
    </cfRule>
  </conditionalFormatting>
  <conditionalFormatting sqref="A807">
    <cfRule type="expression" dxfId="69" priority="1591938">
      <formula>COUNTIF($A$4:$A$10217,$A807)&gt;1</formula>
    </cfRule>
  </conditionalFormatting>
  <conditionalFormatting sqref="A809">
    <cfRule type="expression" dxfId="68" priority="1591939">
      <formula>COUNTIF($A$2:$A$10032,$A809)&gt;1</formula>
    </cfRule>
  </conditionalFormatting>
  <conditionalFormatting sqref="A810">
    <cfRule type="expression" dxfId="67" priority="1591565">
      <formula>COUNTIF($A$2:$A$9873,$A810)&gt;1</formula>
    </cfRule>
  </conditionalFormatting>
  <conditionalFormatting sqref="A811:A812">
    <cfRule type="expression" dxfId="66" priority="1590729">
      <formula>COUNTIF($A$4:$A$10152,$A811)&gt;1</formula>
    </cfRule>
  </conditionalFormatting>
  <conditionalFormatting sqref="A815:A817">
    <cfRule type="expression" dxfId="65" priority="1591940">
      <formula>COUNTIF($A$4:$A$10146,$A815)&gt;1</formula>
    </cfRule>
  </conditionalFormatting>
  <conditionalFormatting sqref="A819:A820">
    <cfRule type="expression" dxfId="64" priority="1591941">
      <formula>COUNTIF($A$3:$A$10059,$A819)&gt;1</formula>
    </cfRule>
  </conditionalFormatting>
  <conditionalFormatting sqref="A823">
    <cfRule type="expression" dxfId="63" priority="1591943">
      <formula>COUNTIF($A$2:$A$9844,$A823)&gt;1</formula>
    </cfRule>
    <cfRule type="expression" dxfId="62" priority="1591942">
      <formula>COUNTIF($A823:$A1784,$A823)&gt;1</formula>
    </cfRule>
  </conditionalFormatting>
  <conditionalFormatting sqref="A824">
    <cfRule type="expression" dxfId="61" priority="1591945">
      <formula>COUNTIF($A$3:$A$9925,$A824)&gt;1</formula>
    </cfRule>
    <cfRule type="expression" dxfId="60" priority="1591944">
      <formula>COUNTIF($A824:$A1872,$A824)&gt;1</formula>
    </cfRule>
  </conditionalFormatting>
  <conditionalFormatting sqref="A825">
    <cfRule type="expression" dxfId="59" priority="1591946">
      <formula>COUNTIF($A825:$A1852,$A825)&gt;1</formula>
    </cfRule>
    <cfRule type="expression" dxfId="58" priority="1591947">
      <formula>COUNTIF($A$3:$A$9948,$A825)&gt;1</formula>
    </cfRule>
  </conditionalFormatting>
  <conditionalFormatting sqref="A830:A832">
    <cfRule type="expression" dxfId="57" priority="1591948">
      <formula>COUNTIF($A$4:$A$10134,$A830)&gt;1</formula>
    </cfRule>
    <cfRule type="expression" dxfId="56" priority="1591949">
      <formula>COUNTIF($A830:$A1840,$A830)&gt;1</formula>
    </cfRule>
  </conditionalFormatting>
  <conditionalFormatting sqref="A835">
    <cfRule type="expression" dxfId="55" priority="1591950">
      <formula>COUNTIF($A$4:$A$10258,$A835)&gt;1</formula>
    </cfRule>
  </conditionalFormatting>
  <conditionalFormatting sqref="A838:A843">
    <cfRule type="expression" dxfId="54" priority="1591089">
      <formula>COUNTIF($A$4:$A$10259,$A838)&gt;1</formula>
    </cfRule>
  </conditionalFormatting>
  <conditionalFormatting sqref="A845:A847 A849:A850">
    <cfRule type="expression" dxfId="53" priority="1591951">
      <formula>COUNTIF($A$5:$A$10144,$A845)&gt;1</formula>
    </cfRule>
  </conditionalFormatting>
  <conditionalFormatting sqref="A848">
    <cfRule type="expression" dxfId="52" priority="1591953">
      <formula>COUNTIF($A$2:$A$9871,$A848)&gt;1</formula>
    </cfRule>
  </conditionalFormatting>
  <conditionalFormatting sqref="A851:A854">
    <cfRule type="expression" dxfId="51" priority="1591954">
      <formula>COUNTIF($A$2:$A$9898,$A851)&gt;1</formula>
    </cfRule>
  </conditionalFormatting>
  <conditionalFormatting sqref="A855:A857 A861">
    <cfRule type="expression" dxfId="50" priority="1591955">
      <formula>COUNTIF($A$3:$A$9913,$A855)&gt;1</formula>
    </cfRule>
  </conditionalFormatting>
  <conditionalFormatting sqref="A858">
    <cfRule type="expression" dxfId="49" priority="1591957">
      <formula>COUNTIF($A$2:$A$9923,$A858)&gt;1</formula>
    </cfRule>
  </conditionalFormatting>
  <conditionalFormatting sqref="A859">
    <cfRule type="expression" dxfId="48" priority="1591958">
      <formula>COUNTIF($A$2:$A$10039,$A859)&gt;1</formula>
    </cfRule>
  </conditionalFormatting>
  <conditionalFormatting sqref="A862">
    <cfRule type="expression" dxfId="47" priority="1591959">
      <formula>COUNTIF($A$5:$A$10049,$A862)&gt;1</formula>
    </cfRule>
  </conditionalFormatting>
  <conditionalFormatting sqref="A864:A865">
    <cfRule type="expression" dxfId="46" priority="1591960">
      <formula>COUNTIF($A$4:$A$10076,$A864)&gt;1</formula>
    </cfRule>
  </conditionalFormatting>
  <conditionalFormatting sqref="A872:A874">
    <cfRule type="expression" dxfId="45" priority="1591961">
      <formula>COUNTIF($A$3:$A$9979,$A872)&gt;1</formula>
    </cfRule>
  </conditionalFormatting>
  <conditionalFormatting sqref="A877:A884">
    <cfRule type="expression" dxfId="44" priority="1591530">
      <formula>COUNTIF($A$2:$A$9998,$A877)&gt;1</formula>
    </cfRule>
  </conditionalFormatting>
  <conditionalFormatting sqref="A885:A896">
    <cfRule type="expression" dxfId="43" priority="1591962">
      <formula>COUNTIF($A$2:$A$9978,$A885)&gt;1</formula>
    </cfRule>
  </conditionalFormatting>
  <conditionalFormatting sqref="A918:A920">
    <cfRule type="expression" dxfId="42" priority="1591557">
      <formula>COUNTIF($A$4:$A$10070,$A918)&gt;1</formula>
    </cfRule>
  </conditionalFormatting>
  <conditionalFormatting sqref="A922">
    <cfRule type="expression" dxfId="41" priority="1589619">
      <formula>COUNTIF($A$4:$A$10156,$A922)&gt;1</formula>
    </cfRule>
  </conditionalFormatting>
  <conditionalFormatting sqref="A923">
    <cfRule type="expression" dxfId="40" priority="1591518">
      <formula>COUNTIF($A$4:$A$10162,$A923)&gt;1</formula>
    </cfRule>
  </conditionalFormatting>
  <conditionalFormatting sqref="A925:A926">
    <cfRule type="expression" dxfId="39" priority="1588265">
      <formula>COUNTIF($A$4:$A$10121,$A925)&gt;1</formula>
    </cfRule>
  </conditionalFormatting>
  <conditionalFormatting sqref="A927">
    <cfRule type="expression" dxfId="38" priority="1591963">
      <formula>COUNTIF($A$4:$A$10252,$A927)&gt;1</formula>
    </cfRule>
  </conditionalFormatting>
  <conditionalFormatting sqref="A934">
    <cfRule type="expression" dxfId="37" priority="1591964">
      <formula>COUNTIF($A$5:$A$10088,$A934)&gt;1</formula>
    </cfRule>
  </conditionalFormatting>
  <conditionalFormatting sqref="A946 A950">
    <cfRule type="expression" dxfId="36" priority="1591833">
      <formula>COUNTIF($A$4:$A$10065,$A946)&gt;1</formula>
    </cfRule>
  </conditionalFormatting>
  <conditionalFormatting sqref="A947:A949">
    <cfRule type="expression" dxfId="35" priority="1591965">
      <formula>COUNTIF($A$5:$A$10042,$A947)&gt;1</formula>
    </cfRule>
  </conditionalFormatting>
  <conditionalFormatting sqref="A953">
    <cfRule type="expression" dxfId="34" priority="1590686">
      <formula>COUNTIF($A$4:$A$10167,$A953)&gt;1</formula>
    </cfRule>
  </conditionalFormatting>
  <conditionalFormatting sqref="A954">
    <cfRule type="expression" dxfId="33" priority="1591546">
      <formula>COUNTIF($A$4:$A$10118,$A954)&gt;1</formula>
    </cfRule>
  </conditionalFormatting>
  <conditionalFormatting sqref="A956">
    <cfRule type="expression" dxfId="32" priority="1591966">
      <formula>COUNTIF($A$2:$A$9907,$A956)&gt;1</formula>
    </cfRule>
  </conditionalFormatting>
  <conditionalFormatting sqref="A957">
    <cfRule type="expression" dxfId="31" priority="1591967">
      <formula>COUNTIF($A$2:$A$9959,$A957)&gt;1</formula>
    </cfRule>
  </conditionalFormatting>
  <conditionalFormatting sqref="A958 A961 A963">
    <cfRule type="expression" dxfId="30" priority="1591968">
      <formula>COUNTIF($A$2:$A$9868,$A958)&gt;1</formula>
    </cfRule>
  </conditionalFormatting>
  <conditionalFormatting sqref="A960">
    <cfRule type="expression" dxfId="29" priority="1591105">
      <formula>COUNTIF($A$2:$A$9908,$A960)&gt;1</formula>
    </cfRule>
  </conditionalFormatting>
  <conditionalFormatting sqref="A964">
    <cfRule type="expression" dxfId="28" priority="1591106">
      <formula>COUNTIF($A$2:$A$9960,$A964)&gt;1</formula>
    </cfRule>
  </conditionalFormatting>
  <conditionalFormatting sqref="A965">
    <cfRule type="expression" dxfId="27" priority="1591553">
      <formula>COUNTIF($A$3:$A$9962,$A965)&gt;1</formula>
    </cfRule>
  </conditionalFormatting>
  <conditionalFormatting sqref="A968">
    <cfRule type="expression" dxfId="26" priority="1589679">
      <formula>COUNTIF($A$4:$A$10143,$A968)&gt;1</formula>
    </cfRule>
  </conditionalFormatting>
  <conditionalFormatting sqref="A974">
    <cfRule type="expression" dxfId="25" priority="1591971">
      <formula>COUNTIF($A$4:$A$10129,$A974)&gt;1</formula>
    </cfRule>
  </conditionalFormatting>
  <conditionalFormatting sqref="A976:A977">
    <cfRule type="expression" dxfId="24" priority="1591972">
      <formula>COUNTIF($A$2:$A$9858,$A976)&gt;1</formula>
    </cfRule>
  </conditionalFormatting>
  <conditionalFormatting sqref="A978">
    <cfRule type="expression" dxfId="23" priority="1591973">
      <formula>COUNTIF($A$4:$A$10023,$A978)&gt;1</formula>
    </cfRule>
  </conditionalFormatting>
  <conditionalFormatting sqref="A980">
    <cfRule type="expression" dxfId="22" priority="1590705">
      <formula>COUNTIF($A$4:$A$10079,$A980)&gt;1</formula>
    </cfRule>
  </conditionalFormatting>
  <conditionalFormatting sqref="A985">
    <cfRule type="expression" dxfId="21" priority="1591974">
      <formula>COUNTIF($A$4:$A$10109,$A985)&gt;1</formula>
    </cfRule>
  </conditionalFormatting>
  <conditionalFormatting sqref="A986:A987">
    <cfRule type="expression" dxfId="20" priority="1591975">
      <formula>COUNTIF($A$5:$A$10076,$A986)&gt;1</formula>
    </cfRule>
  </conditionalFormatting>
  <conditionalFormatting sqref="A989">
    <cfRule type="expression" dxfId="19" priority="700605">
      <formula>COUNTIF($A989:$A1974,$A989)&gt;1</formula>
    </cfRule>
  </conditionalFormatting>
  <conditionalFormatting sqref="A990">
    <cfRule type="expression" dxfId="18" priority="906119">
      <formula>COUNTIF($A990:$A1974,$A990)&gt;1</formula>
    </cfRule>
  </conditionalFormatting>
  <conditionalFormatting sqref="A991:A993">
    <cfRule type="expression" dxfId="17" priority="1591976">
      <formula>COUNTIF($A991:$A1548,$A991)&gt;1</formula>
    </cfRule>
    <cfRule type="expression" dxfId="16" priority="1591977">
      <formula>COUNTIF($A$8:$A$9529,$A991)&gt;1</formula>
    </cfRule>
  </conditionalFormatting>
  <conditionalFormatting sqref="A997">
    <cfRule type="expression" dxfId="15" priority="1591978">
      <formula>COUNTIF($A$4:$A$10207,$A997)&gt;1</formula>
    </cfRule>
  </conditionalFormatting>
  <conditionalFormatting sqref="E2:E82 E97:E127 E130:E177 E180:E204 E206:E224 E226:E247 E262:E285 E308:E334 E349:E351 E357:E412 E415:E424 E426 E428:E492 E494:E528 E533:E558 E560:E583 E587:E591 E593:E622 E632:E713 E718:E767 E769:E801 E803:E835 E861:E926 E965:E972">
    <cfRule type="expression" dxfId="14" priority="177">
      <formula>$E2&gt;$B2</formula>
    </cfRule>
  </conditionalFormatting>
  <conditionalFormatting sqref="E85:E90">
    <cfRule type="expression" dxfId="13" priority="245">
      <formula>$E85&gt;$B85</formula>
    </cfRule>
  </conditionalFormatting>
  <conditionalFormatting sqref="E92:E93">
    <cfRule type="expression" dxfId="12" priority="170">
      <formula>$E92&gt;$B92</formula>
    </cfRule>
  </conditionalFormatting>
  <conditionalFormatting sqref="E95">
    <cfRule type="expression" dxfId="11" priority="235">
      <formula>$E95&gt;$B95</formula>
    </cfRule>
  </conditionalFormatting>
  <conditionalFormatting sqref="E294:E306">
    <cfRule type="expression" dxfId="10" priority="39">
      <formula>$E294&gt;$B294</formula>
    </cfRule>
  </conditionalFormatting>
  <conditionalFormatting sqref="E335:E336">
    <cfRule type="expression" dxfId="9" priority="444">
      <formula>$E335&gt;#REF!</formula>
    </cfRule>
  </conditionalFormatting>
  <conditionalFormatting sqref="E337:E347">
    <cfRule type="expression" dxfId="8" priority="542">
      <formula>$E337&gt;$B337</formula>
    </cfRule>
  </conditionalFormatting>
  <conditionalFormatting sqref="E353:E355">
    <cfRule type="expression" dxfId="7" priority="1222">
      <formula>$E353&gt;$B353</formula>
    </cfRule>
  </conditionalFormatting>
  <conditionalFormatting sqref="E559">
    <cfRule type="expression" dxfId="6" priority="1250655">
      <formula>$E559&gt;$C559</formula>
    </cfRule>
  </conditionalFormatting>
  <conditionalFormatting sqref="E626:E627">
    <cfRule type="expression" dxfId="5" priority="288">
      <formula>$E626&gt;$B626</formula>
    </cfRule>
  </conditionalFormatting>
  <conditionalFormatting sqref="E838:E859">
    <cfRule type="expression" dxfId="4" priority="9">
      <formula>$E838&gt;$B838</formula>
    </cfRule>
  </conditionalFormatting>
  <conditionalFormatting sqref="E928:E956">
    <cfRule type="expression" dxfId="3" priority="179">
      <formula>$E928&gt;$B928</formula>
    </cfRule>
  </conditionalFormatting>
  <conditionalFormatting sqref="E958:E963">
    <cfRule type="expression" dxfId="2" priority="337">
      <formula>$E958&gt;$B958</formula>
    </cfRule>
  </conditionalFormatting>
  <conditionalFormatting sqref="E974:E990">
    <cfRule type="expression" dxfId="1" priority="1">
      <formula>$E974&gt;$B974</formula>
    </cfRule>
  </conditionalFormatting>
  <conditionalFormatting sqref="E994:E10217">
    <cfRule type="expression" dxfId="0" priority="638">
      <formula>$E994&gt;$B994</formula>
    </cfRule>
  </conditionalFormatting>
  <dataValidations xWindow="1174" yWindow="716" count="6">
    <dataValidation type="decimal" allowBlank="1" showInputMessage="1" showErrorMessage="1" errorTitle="Invalid Number" error="Must be a whole number  between 0 &amp; 1000" sqref="F935:F936 F2:F3 F480 F574:F576 F214 F861 F851:F859 F20:F49 F243:F244 F51:F74 F584:F647 F225:F228 F580 F526:F534 F863:F870 F466:F467 F180:F200 F205 F523 F768:F806 F230:F240 F808:F843 F940:F1125 F76:F82 F85:F125 F127:F177 F247:F331 F335:F462 F483:F518 F536:F557 F650:F764 F872:F931" xr:uid="{A02A8340-9A58-4398-A20E-E32213DC2E3E}">
      <formula1>0</formula1>
      <formula2>1000</formula2>
    </dataValidation>
    <dataValidation allowBlank="1" showInputMessage="1" showErrorMessage="1" promptTitle="Enter PACK Quantity" prompt="Not Pieces" sqref="E924 E353:E355 E428:E432 E927:E931 E955 E551 E41:E48 E589:E591 E135:E142 E994:E1048576 E411:E412 E8:E12 E583:E586 E453:E454 E1:E3 E476:E481 E718:E745 E554 E446:E451 E959 E962 E439:E442 E556:E557 E574:E576 E294 E712:E713 E933:E934 E866:E870 E95 E580 E815:E822 E937:E953 E85:E92 E965:E975 E861:E863 E855:E859 E493:E496 E20:E37 E349:E351 E51:E63 E807 E144:E151 E97:E112 E593:E682 E503:E527 E357:E361 E809 E300:E306 E849:E850 E118:E119 E463 E130 E457:E459 E461 E180:E191 E483:E489 E824:E829 E215:E224 E267:E285 E194:E213 E239:E248 E364:E398 E747 E749:E799 E838:E847 E308:E324 E466:E468 E229:E237 E833:E836 E978:E990 E73:E82 E121:E126 E153:E171 E174 E252:E262 E326:E347 E401:E408 E415:E424 E693:E710 E872:E921" xr:uid="{B9FC35B7-FED7-4AFB-A92A-991A84738226}"/>
    <dataValidation type="whole" allowBlank="1" showInputMessage="1" showErrorMessage="1" errorTitle="Invalid Number" error="Must be a whole number  between 0 &amp; 1000" sqref="E932 E925:E926 E38:E40 E954 E143 E830:E834 E352 E991:E993 E413:E414 E935 E225 E356 E399:E400 E592 E238 E362:E363 E249:E251 E922:E923 E348 E746 E452 E836:E837 E474:E475 E714:E717 E956:E958 E555 E711 E214 E976:E977 E800:E802 E748 E963:E964 E588 E960:E961 E93:E94 E96 E810:E814 E120 E64:E72 E469:E470 E851:E854 E409 E425:E427 E307 E192:E193 E286:E293 E804:E806 E808 E871 E131:E134 E455 E684:E692 E768 E128:E129 E577:E579 E581:E582 E462 E863:E865 E465 E472 E313:E325 E175:E179 E443:E445 E497:E502 E528:E549 E558:E573" xr:uid="{8449F8DD-2F45-4C69-AAD4-54571209317F}">
      <formula1>0</formula1>
      <formula2>1000</formula2>
    </dataValidation>
    <dataValidation type="whole" allowBlank="1" showInputMessage="1" showErrorMessage="1" errorTitle="Quantity out of range" error="Whole number up to 2000" sqref="E936 E50 E471 E127 E553 E152 E410 E803 E464 E473 E587 E172:E173 E550 E683 E482 E823 E552 E13:E19 E263:E266 E490:E492 E226:E228 E433:E438 E295:E299 E113:E117 E848" xr:uid="{654F9B8A-9925-4A70-925E-C7C8E596BFDB}">
      <formula1>0</formula1>
      <formula2>2000</formula2>
    </dataValidation>
    <dataValidation type="textLength" operator="greaterThanOrEqual" allowBlank="1" showInputMessage="1" showErrorMessage="1" promptTitle="Country of Origin" prompt="Enter 2 digit code for Country" sqref="K243 K357 K239:K240 K388 K126 K972:K973 K121:K122 K726:K730 K247:K248 K124 K135 K451 K3 K877:K878 K458 K409 K978 K372 K153 K146:K147 K78 K824 K855:K859 K879:K896 K419:K421 K768 K461 K463 K267:K269 K913:K916 K205 K608 K745:K747 K118:K119 K325 K234 K698:K703" xr:uid="{ED2436F2-CB66-4F9A-913A-FBFC997F132B}">
      <formula1>2</formula1>
    </dataValidation>
    <dataValidation allowBlank="1" showInputMessage="1" showErrorMessage="1" errorTitle="Invalid Number" error="Must be between 0 &amp; 1000" sqref="E83:E84" xr:uid="{9B2EB63B-9095-45AD-B87C-1DDFEF0837B9}"/>
  </dataValidations>
  <pageMargins left="0.23622047244094491" right="0.23622047244094491" top="0.74803149606299213" bottom="0.74803149606299213" header="0.31496062992125984" footer="0.31496062992125984"/>
  <pageSetup paperSize="9" scale="48" fitToHeight="10" orientation="portrait" r:id="rId1"/>
  <headerFooter>
    <oddHeader>&amp;L&amp;D&amp;R&amp;D</oddHeader>
    <oddFooter>&amp;LPage &amp;P of &amp;N           &amp;D&amp;R&amp;D&amp;C11-09-2026 15:15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Kalms</dc:creator>
  <cp:lastModifiedBy>Jonathan Kalms</cp:lastModifiedBy>
  <cp:lastPrinted>2024-02-06T16:55:28Z</cp:lastPrinted>
  <dcterms:created xsi:type="dcterms:W3CDTF">2011-06-13T10:16:14Z</dcterms:created>
  <dcterms:modified xsi:type="dcterms:W3CDTF">2026-09-14T07:42:17Z</dcterms:modified>
</cp:coreProperties>
</file>