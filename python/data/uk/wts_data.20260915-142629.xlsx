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660" windowHeight="11900"/>
  </bookViews>
  <sheets>
    <sheet name="Sheet1" sheetId="1" r:id="rId1"/>
  </sheets>
  <definedNames>
    <definedName name="_xlnm._FilterDatabase" localSheetId="0" hidden="1">Sheet1!$A$1:$O$1029</definedName>
    <definedName name="_xlnm.Print_Area" localSheetId="0">Sheet1!$A:$M</definedName>
    <definedName name="_xlnm.Print_Titles" localSheetId="0">Sheet1!$1:$1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<sst xmlns="http://schemas.openxmlformats.org/spreadsheetml/2006/main" count="4085" uniqueCount="4068">
  <si>
    <t>ProdCode</t>
  </si>
  <si>
    <t>Available</t>
  </si>
  <si>
    <t>Pack</t>
  </si>
  <si>
    <t>Product Description</t>
  </si>
  <si>
    <t>Qty Req</t>
  </si>
  <si>
    <t>Price</t>
  </si>
  <si>
    <t>Each</t>
  </si>
  <si>
    <t>Barcode</t>
  </si>
  <si>
    <t>Outer Barcode</t>
  </si>
  <si>
    <t>Pallet Qty</t>
  </si>
  <si>
    <t>Layer Qty</t>
  </si>
  <si>
    <t>Ord Value</t>
  </si>
  <si>
    <t>v202608141510</t>
  </si>
  <si>
    <t>ADDISSTB</t>
  </si>
  <si>
    <t>addis smokers toothbrush now called wisdom smokers</t>
  </si>
  <si>
    <t>5028763004429</t>
  </si>
  <si>
    <t>05028763004436</t>
  </si>
  <si>
    <t>ADDISDUAL</t>
  </si>
  <si>
    <t>addis dual toothbrush now called wisdom</t>
  </si>
  <si>
    <t>5028763004467</t>
  </si>
  <si>
    <t>05028763004474</t>
  </si>
  <si>
    <t>AQU50MT</t>
  </si>
  <si>
    <t>aquafresh kids milk teeth 50ml</t>
  </si>
  <si>
    <t>5000347090967</t>
  </si>
  <si>
    <t>05000469090968</t>
  </si>
  <si>
    <t>AQU50LT</t>
  </si>
  <si>
    <t>aquafresh kids little teeth 50ml</t>
  </si>
  <si>
    <t xml:space="preserve">5000347090943 </t>
  </si>
  <si>
    <t>05000469090944</t>
  </si>
  <si>
    <t>AQU50BT</t>
  </si>
  <si>
    <t>aquafresh kids big teeth 50ml</t>
  </si>
  <si>
    <t xml:space="preserve">5000347090936 </t>
  </si>
  <si>
    <t>05000469090937</t>
  </si>
  <si>
    <t>AQUAKSTRAW</t>
  </si>
  <si>
    <t>aquafresh kids splash strawberry 50ml 3-8 years</t>
  </si>
  <si>
    <t>5054563087546</t>
  </si>
  <si>
    <t>05054563087560</t>
  </si>
  <si>
    <t>ALBC400A</t>
  </si>
  <si>
    <t>alberto balsam conditioner green apple 350ml</t>
  </si>
  <si>
    <t>8710908181719</t>
  </si>
  <si>
    <t>8710908182846</t>
  </si>
  <si>
    <t>AMPA</t>
  </si>
  <si>
    <t>amplex roll on active 50ml</t>
  </si>
  <si>
    <t>5014697055934</t>
  </si>
  <si>
    <t>15014697055931</t>
  </si>
  <si>
    <t>AMPF</t>
  </si>
  <si>
    <t>amplex roll on fresh 50ml</t>
  </si>
  <si>
    <t>5026445002459</t>
  </si>
  <si>
    <t>05026445002466</t>
  </si>
  <si>
    <t>AMPM</t>
  </si>
  <si>
    <t>amplex roll on mens black 50ml</t>
  </si>
  <si>
    <t>5026445008473</t>
  </si>
  <si>
    <t>05026445002480</t>
  </si>
  <si>
    <t>AMPN</t>
  </si>
  <si>
    <t>amplex roll on natural 50ml</t>
  </si>
  <si>
    <t>5026445002336</t>
  </si>
  <si>
    <t>05026445002343</t>
  </si>
  <si>
    <t>AMPO</t>
  </si>
  <si>
    <t xml:space="preserve">amplex roll on ocean 50ml </t>
  </si>
  <si>
    <t>5026445002435</t>
  </si>
  <si>
    <t>05026445002442</t>
  </si>
  <si>
    <t>AVEENOML2</t>
  </si>
  <si>
    <t xml:space="preserve">aveeno daily moisturising lotion 200ml </t>
  </si>
  <si>
    <t>3574660123425</t>
  </si>
  <si>
    <t>03574660533620</t>
  </si>
  <si>
    <t>AVEENOML</t>
  </si>
  <si>
    <t>aveeno skin relief moisturising lotion 200ml</t>
  </si>
  <si>
    <t xml:space="preserve">3574660325492 </t>
  </si>
  <si>
    <t>03574661495927</t>
  </si>
  <si>
    <t>AVEENOBWVO</t>
  </si>
  <si>
    <t>aveeno daily moisturising body wash 300ml vanilla &amp; oat</t>
  </si>
  <si>
    <t>3574661321554</t>
  </si>
  <si>
    <t>03574661323459</t>
  </si>
  <si>
    <t>AVEENODMBL</t>
  </si>
  <si>
    <t>aveeno daily moisturising body lotion 300ml</t>
  </si>
  <si>
    <t>3574661285894</t>
  </si>
  <si>
    <t>03574661286198</t>
  </si>
  <si>
    <t>AVEENOVBL3</t>
  </si>
  <si>
    <t>aveeno daily moisturising body lotion 300ml vanilla &amp; oat</t>
  </si>
  <si>
    <t>3574661697338</t>
  </si>
  <si>
    <t>03574661715278</t>
  </si>
  <si>
    <t>AVEENODMCO</t>
  </si>
  <si>
    <t>aveeno daily moisturising creamy oil body lotion moisturiser 300ml</t>
  </si>
  <si>
    <t>3574660541298</t>
  </si>
  <si>
    <t>03574660541304</t>
  </si>
  <si>
    <t>AVEENOML30P</t>
  </si>
  <si>
    <t>aveeno skin relief lotion 300ml</t>
  </si>
  <si>
    <t>3574660536737</t>
  </si>
  <si>
    <t>03574660696172</t>
  </si>
  <si>
    <t>AVEENOBML5</t>
  </si>
  <si>
    <t>aveeno moisturising lotion 500ml</t>
  </si>
  <si>
    <t>3574661604732</t>
  </si>
  <si>
    <t>03574661607467</t>
  </si>
  <si>
    <t>AVEENOC5</t>
  </si>
  <si>
    <t>aveeno cream 500ml pump</t>
  </si>
  <si>
    <t>3574661156392</t>
  </si>
  <si>
    <t>03574661183626</t>
  </si>
  <si>
    <t>AVEENOBOS2</t>
  </si>
  <si>
    <t>aveeno skin relief body oil spray 200ml</t>
  </si>
  <si>
    <t>3574661646992</t>
  </si>
  <si>
    <t>03574661651609</t>
  </si>
  <si>
    <t>AE100AS</t>
  </si>
  <si>
    <t>a &amp; e plasters 100's assorted</t>
  </si>
  <si>
    <t>5029115011140</t>
  </si>
  <si>
    <t>05029115011157</t>
  </si>
  <si>
    <t>AE20CLE</t>
  </si>
  <si>
    <t>a &amp; e plasters 20's clear</t>
  </si>
  <si>
    <t>5029115011126</t>
  </si>
  <si>
    <t>05029115011133</t>
  </si>
  <si>
    <t>AE20FAB</t>
  </si>
  <si>
    <t>a &amp; e plasters 20's fabric</t>
  </si>
  <si>
    <t>5029115011089</t>
  </si>
  <si>
    <t>05029115011096</t>
  </si>
  <si>
    <t>AEFABSTRETCH</t>
  </si>
  <si>
    <t>a &amp; e fabric stretch plaster</t>
  </si>
  <si>
    <t>5029115011164</t>
  </si>
  <si>
    <t>05029115011171</t>
  </si>
  <si>
    <t>AE20WASH</t>
  </si>
  <si>
    <t>a &amp; e plasters 20's wash proof</t>
  </si>
  <si>
    <t>5029115011102</t>
  </si>
  <si>
    <t>05029115011119</t>
  </si>
  <si>
    <t>AEDINO</t>
  </si>
  <si>
    <t>a &amp; e platers dinosaour &amp; pirates 20's</t>
  </si>
  <si>
    <t>5029115828106</t>
  </si>
  <si>
    <t>15029115828103</t>
  </si>
  <si>
    <t>AEFIRSTAID</t>
  </si>
  <si>
    <t>a &amp; e first aid travel kit</t>
  </si>
  <si>
    <t>5029115011638</t>
  </si>
  <si>
    <t>15029115011635</t>
  </si>
  <si>
    <t>AST50PM</t>
  </si>
  <si>
    <t>astral cream 50ml</t>
  </si>
  <si>
    <t>50007820</t>
  </si>
  <si>
    <t>05011784080695</t>
  </si>
  <si>
    <t>AST200</t>
  </si>
  <si>
    <t>astral cream 200ml</t>
  </si>
  <si>
    <t>5011784080701</t>
  </si>
  <si>
    <t>05011784004271</t>
  </si>
  <si>
    <t>AST500PM</t>
  </si>
  <si>
    <t>astral cream 500ml</t>
  </si>
  <si>
    <t>5011784080114</t>
  </si>
  <si>
    <t>05011784004295</t>
  </si>
  <si>
    <t>ALCN8</t>
  </si>
  <si>
    <t>always classic night 8's</t>
  </si>
  <si>
    <t>8006530317504</t>
  </si>
  <si>
    <t>08006530317542</t>
  </si>
  <si>
    <t>ALCM9</t>
  </si>
  <si>
    <t>always classic super 9's</t>
  </si>
  <si>
    <t>8006530317559</t>
  </si>
  <si>
    <t>08006530317511</t>
  </si>
  <si>
    <t>ALWULP12</t>
  </si>
  <si>
    <t>always ultra day long wings 12's</t>
  </si>
  <si>
    <t>8006540822463</t>
  </si>
  <si>
    <t>08006540822456</t>
  </si>
  <si>
    <t>ALWUN16</t>
  </si>
  <si>
    <t>always ultra normal 16's</t>
  </si>
  <si>
    <t xml:space="preserve">8001841971049 </t>
  </si>
  <si>
    <t>08001841971032</t>
  </si>
  <si>
    <t>ALWUNP14</t>
  </si>
  <si>
    <t>always ultra day normal wings 14's</t>
  </si>
  <si>
    <t>8006540822340</t>
  </si>
  <si>
    <t>08006540822333</t>
  </si>
  <si>
    <t>ALWUNT10</t>
  </si>
  <si>
    <t>always ultra day &amp; night 10's</t>
  </si>
  <si>
    <t>8006540822647</t>
  </si>
  <si>
    <t>08006540822630</t>
  </si>
  <si>
    <t>ARGANBB</t>
  </si>
  <si>
    <t>argan oil body butter 250ml</t>
  </si>
  <si>
    <t>5060120165022</t>
  </si>
  <si>
    <t>05060120165039</t>
  </si>
  <si>
    <t>ARGANC</t>
  </si>
  <si>
    <t>argan oil conditioner 300ml</t>
  </si>
  <si>
    <t>5060120164087</t>
  </si>
  <si>
    <t>05060120164094</t>
  </si>
  <si>
    <t>ARGANHB</t>
  </si>
  <si>
    <t>argan oil hand &amp; body wash 300ml</t>
  </si>
  <si>
    <t>5060120164919</t>
  </si>
  <si>
    <t>05060120164940</t>
  </si>
  <si>
    <t>ARGANHN</t>
  </si>
  <si>
    <t>argan oil hand &amp; nail cream 100ml</t>
  </si>
  <si>
    <t>5060120165176</t>
  </si>
  <si>
    <t>05060120165183</t>
  </si>
  <si>
    <t>ARGANHD</t>
  </si>
  <si>
    <t>argan oil heat defence leave in spray 150ml</t>
  </si>
  <si>
    <t>5060120164346</t>
  </si>
  <si>
    <t>05060120164353</t>
  </si>
  <si>
    <t>ARGANHM</t>
  </si>
  <si>
    <t>argan oil hydrating hair mask deep conditioner 220ml</t>
  </si>
  <si>
    <t>5060120164131</t>
  </si>
  <si>
    <t>05060120164148</t>
  </si>
  <si>
    <t>ARGANNR</t>
  </si>
  <si>
    <t>argan oil night repair serum 30ml</t>
  </si>
  <si>
    <t>5060120164551</t>
  </si>
  <si>
    <t>05060120164575</t>
  </si>
  <si>
    <t>ARGANS</t>
  </si>
  <si>
    <t>argan oil shampoo 300ml</t>
  </si>
  <si>
    <t>5060120164063</t>
  </si>
  <si>
    <t>05060120164070</t>
  </si>
  <si>
    <t>BADEDASS</t>
  </si>
  <si>
    <t>badedas shower gel 200ml</t>
  </si>
  <si>
    <t xml:space="preserve">0787211000295 </t>
  </si>
  <si>
    <t>05000231072505</t>
  </si>
  <si>
    <t>BELALMO70</t>
  </si>
  <si>
    <t>bells almond oil 70ml</t>
  </si>
  <si>
    <t xml:space="preserve">5017848249237 </t>
  </si>
  <si>
    <t>05017848900329</t>
  </si>
  <si>
    <t>BELALM0200</t>
  </si>
  <si>
    <t>bells almond oil 200ml</t>
  </si>
  <si>
    <t>5017848249244</t>
  </si>
  <si>
    <t>05017848905478</t>
  </si>
  <si>
    <t>BELVAP50C</t>
  </si>
  <si>
    <t>bells children's vapour rub 50g</t>
  </si>
  <si>
    <t>5017848253531</t>
  </si>
  <si>
    <t>05017848903467</t>
  </si>
  <si>
    <t>BELEUC25</t>
  </si>
  <si>
    <t>bells eucalyptus oil 25g</t>
  </si>
  <si>
    <t>50612710</t>
  </si>
  <si>
    <t>05017848900923</t>
  </si>
  <si>
    <t>BELCO10</t>
  </si>
  <si>
    <t>bells clove oil 10ml</t>
  </si>
  <si>
    <t xml:space="preserve">50621903 </t>
  </si>
  <si>
    <t>05017848902569</t>
  </si>
  <si>
    <t>BELOL70</t>
  </si>
  <si>
    <t>6</t>
  </si>
  <si>
    <t>bells olive oil 70ml</t>
  </si>
  <si>
    <t>5017848249213</t>
  </si>
  <si>
    <t>05017848902545</t>
  </si>
  <si>
    <t>BELOL200</t>
  </si>
  <si>
    <t>bells olive oil 200ml</t>
  </si>
  <si>
    <t>5017848249220</t>
  </si>
  <si>
    <t>05017848902538</t>
  </si>
  <si>
    <t>BELPAR500</t>
  </si>
  <si>
    <t>bells paracetamol 500mg tablets 16s</t>
  </si>
  <si>
    <t>5017848251872</t>
  </si>
  <si>
    <t>05017848902101</t>
  </si>
  <si>
    <t>BELIBU200</t>
  </si>
  <si>
    <t>bells ibuprofen 200mg tablets 16s</t>
  </si>
  <si>
    <t>5107848251612</t>
  </si>
  <si>
    <t>05017848902064</t>
  </si>
  <si>
    <t>BELTT10</t>
  </si>
  <si>
    <t>bells tea tree oil (pure) 10ml</t>
  </si>
  <si>
    <t>50612727</t>
  </si>
  <si>
    <t>05017848902552</t>
  </si>
  <si>
    <t>BELVAP50</t>
  </si>
  <si>
    <t>bells vapour rub 50g</t>
  </si>
  <si>
    <t>96049938</t>
  </si>
  <si>
    <t>05017848902590</t>
  </si>
  <si>
    <t>BELWH200</t>
  </si>
  <si>
    <t>bells witch hazel (distilled) 200ml</t>
  </si>
  <si>
    <t xml:space="preserve">5017848249336 </t>
  </si>
  <si>
    <t>05017848902408</t>
  </si>
  <si>
    <t>BELMS</t>
  </si>
  <si>
    <t>bells magnesium sulphate 50g</t>
  </si>
  <si>
    <t>50620814</t>
  </si>
  <si>
    <t>05017848900763</t>
  </si>
  <si>
    <t>BELG200</t>
  </si>
  <si>
    <t>bells glycerin 200</t>
  </si>
  <si>
    <t xml:space="preserve">5017848249411 </t>
  </si>
  <si>
    <t>05017848900282</t>
  </si>
  <si>
    <t>BELLOR14</t>
  </si>
  <si>
    <t>bells loratadine allergy 10mg tablets 14's</t>
  </si>
  <si>
    <t xml:space="preserve">5017848252428 </t>
  </si>
  <si>
    <t>05017848903597</t>
  </si>
  <si>
    <t>BELCET14</t>
  </si>
  <si>
    <t>bells cetirizine allergy 10mg tablets 14's</t>
  </si>
  <si>
    <t xml:space="preserve">5017848252442 </t>
  </si>
  <si>
    <t>05017848406664</t>
  </si>
  <si>
    <t>BELIBUCAP16</t>
  </si>
  <si>
    <t>bells ibrprofen 200mg liquid capsules 16's</t>
  </si>
  <si>
    <t xml:space="preserve">5017848252367 </t>
  </si>
  <si>
    <t>05017848903184</t>
  </si>
  <si>
    <t>BELKDTC</t>
  </si>
  <si>
    <t>bells children dry tickly cough 200ml</t>
  </si>
  <si>
    <t>5017848255191</t>
  </si>
  <si>
    <t>05017848255191</t>
  </si>
  <si>
    <t>BELKCR</t>
  </si>
  <si>
    <t>bells childrens cough relief 200ml</t>
  </si>
  <si>
    <t>5017848254507</t>
  </si>
  <si>
    <t>05017848905140</t>
  </si>
  <si>
    <t>BELDTC</t>
  </si>
  <si>
    <t>bells dry tickly cough 200ml</t>
  </si>
  <si>
    <t>5017848251957</t>
  </si>
  <si>
    <t>05017848902583</t>
  </si>
  <si>
    <t>BELSIMLIN2</t>
  </si>
  <si>
    <t>bells cough linctus 200ml</t>
  </si>
  <si>
    <t>5017848250295</t>
  </si>
  <si>
    <t>05017848902088</t>
  </si>
  <si>
    <t>BELKILKOF100</t>
  </si>
  <si>
    <t>bells kilkof cough 100ml</t>
  </si>
  <si>
    <t>5017848249060</t>
  </si>
  <si>
    <t>05017848902682</t>
  </si>
  <si>
    <t>BELDIAR</t>
  </si>
  <si>
    <t>bells diarrhoea relief 2mg capsules 6's</t>
  </si>
  <si>
    <t>5017848254675</t>
  </si>
  <si>
    <t>05017848905355</t>
  </si>
  <si>
    <t>BIC5N</t>
  </si>
  <si>
    <t>bic 5's normal</t>
  </si>
  <si>
    <t>3086125705027</t>
  </si>
  <si>
    <t>03086128385172</t>
  </si>
  <si>
    <t>BIC5S40</t>
  </si>
  <si>
    <t>bic 5's sensitive</t>
  </si>
  <si>
    <t>3086123364226</t>
  </si>
  <si>
    <t>03086129230877</t>
  </si>
  <si>
    <t>BIC10S</t>
  </si>
  <si>
    <t>bic 1 10's sensitive</t>
  </si>
  <si>
    <t>3086125705119</t>
  </si>
  <si>
    <t>03086128385233</t>
  </si>
  <si>
    <t>BICTWL5</t>
  </si>
  <si>
    <t xml:space="preserve">bic twin lady 5's </t>
  </si>
  <si>
    <t>3086127500934</t>
  </si>
  <si>
    <t>03086128221135</t>
  </si>
  <si>
    <t>BRAP200O</t>
  </si>
  <si>
    <t>brut anti p 200ml</t>
  </si>
  <si>
    <t>5010612808838</t>
  </si>
  <si>
    <t>05000228991338</t>
  </si>
  <si>
    <t>BRUTDSI</t>
  </si>
  <si>
    <t>brut deo spray 200ml identity</t>
  </si>
  <si>
    <t>8720181072833</t>
  </si>
  <si>
    <t>08720181072901</t>
  </si>
  <si>
    <t>BRUTDSM</t>
  </si>
  <si>
    <t xml:space="preserve">brut deo spray 200ml musk </t>
  </si>
  <si>
    <t>3014230022401</t>
  </si>
  <si>
    <t>08717163084243</t>
  </si>
  <si>
    <t>BRUTDSO</t>
  </si>
  <si>
    <t xml:space="preserve">brut deo spray 200ml original </t>
  </si>
  <si>
    <t>3014230021404</t>
  </si>
  <si>
    <t>08717163084267</t>
  </si>
  <si>
    <t>BRUTDSSS</t>
  </si>
  <si>
    <t>brut deo spray 200ml sports style</t>
  </si>
  <si>
    <t>8711700634342</t>
  </si>
  <si>
    <t>08711700634359</t>
  </si>
  <si>
    <t>BRUTGIFT</t>
  </si>
  <si>
    <t>brut gift set original 200ml deo spray &amp; 100ml aftershave</t>
  </si>
  <si>
    <t>8710522646854</t>
  </si>
  <si>
    <t>08710522646861</t>
  </si>
  <si>
    <t>BRUTAFAT</t>
  </si>
  <si>
    <t>brut aftershave 100ml attraction - unboxed</t>
  </si>
  <si>
    <t>8712561803847</t>
  </si>
  <si>
    <t>08712561803267</t>
  </si>
  <si>
    <t>BRUTAFM</t>
  </si>
  <si>
    <t>brut aftershave 100ml musk - unboxed</t>
  </si>
  <si>
    <t>3014230022234</t>
  </si>
  <si>
    <t>25410373000023</t>
  </si>
  <si>
    <t>BRUTAFOC</t>
  </si>
  <si>
    <t>brut aftershave 100ml ocean - unboxed</t>
  </si>
  <si>
    <t>8717163962039</t>
  </si>
  <si>
    <t>08717163962008</t>
  </si>
  <si>
    <t>BRSG5A</t>
  </si>
  <si>
    <t>brut shower gel 500ml attraction</t>
  </si>
  <si>
    <t xml:space="preserve">8886467049477 </t>
  </si>
  <si>
    <t>18886467049474</t>
  </si>
  <si>
    <t>BRSG5S</t>
  </si>
  <si>
    <t>brut shower gel 500ml sports style</t>
  </si>
  <si>
    <t>8886467049460</t>
  </si>
  <si>
    <t>18886467049467</t>
  </si>
  <si>
    <t>BLACKORIG</t>
  </si>
  <si>
    <t>black and white hairdressing 7oz 200ml original</t>
  </si>
  <si>
    <t>075610948103</t>
  </si>
  <si>
    <t>10075610948100</t>
  </si>
  <si>
    <t>BATIO</t>
  </si>
  <si>
    <t>batiste dry shampoo 200ml original</t>
  </si>
  <si>
    <t>05010724827482</t>
  </si>
  <si>
    <t>BATIF</t>
  </si>
  <si>
    <t>batiste dry shampoo 200ml fresh</t>
  </si>
  <si>
    <t>BATIB350</t>
  </si>
  <si>
    <t>batiste dry shampoo 350ml blush</t>
  </si>
  <si>
    <t>5010724535936</t>
  </si>
  <si>
    <t>05010724835937</t>
  </si>
  <si>
    <t>BATIC350</t>
  </si>
  <si>
    <t>batiste dry shampoo 350ml tropical coconut</t>
  </si>
  <si>
    <t>5010724535967</t>
  </si>
  <si>
    <t>05010724835968</t>
  </si>
  <si>
    <t>CAMAYCL3</t>
  </si>
  <si>
    <t>camay classic soap 3 pack</t>
  </si>
  <si>
    <t>8999999058401</t>
  </si>
  <si>
    <t>18886467237185</t>
  </si>
  <si>
    <t>CIDALTWI</t>
  </si>
  <si>
    <t>cidal soap twin pack 100g</t>
  </si>
  <si>
    <t>5054805039753</t>
  </si>
  <si>
    <t>05054805039760</t>
  </si>
  <si>
    <t>CIDALPUMP</t>
  </si>
  <si>
    <t>cidal pump soap 250ml grapefruit extract</t>
  </si>
  <si>
    <t>5054805042456</t>
  </si>
  <si>
    <t>05054805042463</t>
  </si>
  <si>
    <t>CALIN</t>
  </si>
  <si>
    <t xml:space="preserve">calpol infant suspension 100ml </t>
  </si>
  <si>
    <t>5010123722630</t>
  </si>
  <si>
    <t>03574661143347</t>
  </si>
  <si>
    <t>CALINSF</t>
  </si>
  <si>
    <t>calpol infant suspension 100ml sugar free</t>
  </si>
  <si>
    <t>5010123722708</t>
  </si>
  <si>
    <t>03574661143330</t>
  </si>
  <si>
    <t>CALINSFCF</t>
  </si>
  <si>
    <t xml:space="preserve">calpol infant sugar free colour free suspension 100ml </t>
  </si>
  <si>
    <t>3574660418439</t>
  </si>
  <si>
    <t>03574661143668</t>
  </si>
  <si>
    <t>CALSPSF</t>
  </si>
  <si>
    <t xml:space="preserve">calpol six plus suspension sugar free 80ml </t>
  </si>
  <si>
    <t>3574660435221</t>
  </si>
  <si>
    <t>03574661075792</t>
  </si>
  <si>
    <t>CARLIPCL</t>
  </si>
  <si>
    <t xml:space="preserve">carmex lip balm tube classic </t>
  </si>
  <si>
    <t>0083078421144</t>
  </si>
  <si>
    <t>0083078400118</t>
  </si>
  <si>
    <t>CARLIPCH</t>
  </si>
  <si>
    <t xml:space="preserve">carmex lip balm tube cherry </t>
  </si>
  <si>
    <t>0083078001445</t>
  </si>
  <si>
    <t>0083078400132</t>
  </si>
  <si>
    <t>CARLIPPAS</t>
  </si>
  <si>
    <t>carmex lip balm tube passion fruit</t>
  </si>
  <si>
    <t>0083078018870</t>
  </si>
  <si>
    <t>0083078018887</t>
  </si>
  <si>
    <t>CARLIPPM</t>
  </si>
  <si>
    <t>carmex lip balm tube peach and mango</t>
  </si>
  <si>
    <t>0083078007133</t>
  </si>
  <si>
    <t>0083078007140</t>
  </si>
  <si>
    <t>CARLIPPINE</t>
  </si>
  <si>
    <t>carmex lip balm tube pineapple and mint</t>
  </si>
  <si>
    <t>0083078010881</t>
  </si>
  <si>
    <t>0083078010898</t>
  </si>
  <si>
    <t>CARLIPS</t>
  </si>
  <si>
    <t>carmex lip balm tube strawberry</t>
  </si>
  <si>
    <t>0083078001902</t>
  </si>
  <si>
    <t>0083078400156</t>
  </si>
  <si>
    <t>CARLIPW</t>
  </si>
  <si>
    <t>carmex lip balm tube wild berry</t>
  </si>
  <si>
    <t>0083078018139</t>
  </si>
  <si>
    <t>0083078018146</t>
  </si>
  <si>
    <t>CARLIPCLST</t>
  </si>
  <si>
    <t>carmex lip balm stick classic</t>
  </si>
  <si>
    <t>0083078911171</t>
  </si>
  <si>
    <t>0083078005580</t>
  </si>
  <si>
    <t>CARLIPSTL</t>
  </si>
  <si>
    <t>carmex lip balm stick lime</t>
  </si>
  <si>
    <t>0083078402181</t>
  </si>
  <si>
    <t>0083078422189</t>
  </si>
  <si>
    <t>CARLIPSTV</t>
  </si>
  <si>
    <t>carmex lip balm stick vanilla</t>
  </si>
  <si>
    <t>0083078402242</t>
  </si>
  <si>
    <t>0083078422240</t>
  </si>
  <si>
    <t>CARLIPSTS</t>
  </si>
  <si>
    <t>carmex lip balm stick strawberry</t>
  </si>
  <si>
    <t>0083078009076</t>
  </si>
  <si>
    <t>0083078009097</t>
  </si>
  <si>
    <t>CARLIP2CH</t>
  </si>
  <si>
    <t>carmex lip balm 2 pack cherry stick</t>
  </si>
  <si>
    <t>0083078019273</t>
  </si>
  <si>
    <t>0083078019280</t>
  </si>
  <si>
    <t>CARLIP2CL</t>
  </si>
  <si>
    <t>carmex lip balm 2 pack classic tube</t>
  </si>
  <si>
    <t>0083078004897</t>
  </si>
  <si>
    <t>0083078004903</t>
  </si>
  <si>
    <t>CARLIP2SC</t>
  </si>
  <si>
    <t>carmex lip balm 2 pack strawberry &amp; cherry tube</t>
  </si>
  <si>
    <t>0083078019242</t>
  </si>
  <si>
    <t>0083078019259</t>
  </si>
  <si>
    <t>CARLIPJC12</t>
  </si>
  <si>
    <t>carmex lip balm cherry pot (12 pack)</t>
  </si>
  <si>
    <t>0083078012700</t>
  </si>
  <si>
    <t>0083078012717</t>
  </si>
  <si>
    <t>CARLIPJC</t>
  </si>
  <si>
    <t>carmex lip balm classic pot (12 pack)</t>
  </si>
  <si>
    <t>0083078411213</t>
  </si>
  <si>
    <t>0083078400057</t>
  </si>
  <si>
    <t>CARLIPJW</t>
  </si>
  <si>
    <t>carmex lip balm watermelon pot (12 pack)</t>
  </si>
  <si>
    <t>CAREXPO</t>
  </si>
  <si>
    <t>carex pump soap 250ml original</t>
  </si>
  <si>
    <t>5900998000332</t>
  </si>
  <si>
    <t>05900998056025</t>
  </si>
  <si>
    <t>CARPAV</t>
  </si>
  <si>
    <t>carex pump soap 250ml aloe vera</t>
  </si>
  <si>
    <t>5900998000325</t>
  </si>
  <si>
    <t>05900998056018</t>
  </si>
  <si>
    <t>CAREXPOEX</t>
  </si>
  <si>
    <t>carex pump soap 250ml + 33% extra free</t>
  </si>
  <si>
    <t>5000101512896</t>
  </si>
  <si>
    <t>05000101512889</t>
  </si>
  <si>
    <t>CAREXSHM</t>
  </si>
  <si>
    <t>carex shower gel 500ml moisture</t>
  </si>
  <si>
    <t xml:space="preserve">5000101968211 </t>
  </si>
  <si>
    <t>05000101968228</t>
  </si>
  <si>
    <t>CAREXSHO</t>
  </si>
  <si>
    <t>carex shower gel 500ml original</t>
  </si>
  <si>
    <t xml:space="preserve">5000101968051 </t>
  </si>
  <si>
    <t>05000101968068</t>
  </si>
  <si>
    <t>CAREXSHLH</t>
  </si>
  <si>
    <t>carex shower gel 500ml love hearts</t>
  </si>
  <si>
    <t>5000101505737</t>
  </si>
  <si>
    <t>05000101505720</t>
  </si>
  <si>
    <t>CAREXSHSE</t>
  </si>
  <si>
    <t>carex bath 500ml sensitive</t>
  </si>
  <si>
    <t>5000101968136</t>
  </si>
  <si>
    <t>05000101968143</t>
  </si>
  <si>
    <t>CAREXSHP</t>
  </si>
  <si>
    <t>carex bath 500ml peony &amp;  blossom</t>
  </si>
  <si>
    <t>5000101514265</t>
  </si>
  <si>
    <t>05000101514258</t>
  </si>
  <si>
    <t>CHABSB</t>
  </si>
  <si>
    <t>charlie body spray 75ml black</t>
  </si>
  <si>
    <t>5000386296412</t>
  </si>
  <si>
    <t>05000386296429</t>
  </si>
  <si>
    <t>CHABSP</t>
  </si>
  <si>
    <t>charlie body spray 75ml pink</t>
  </si>
  <si>
    <t>5000386292872</t>
  </si>
  <si>
    <t>05000386292889</t>
  </si>
  <si>
    <t>CHABSR</t>
  </si>
  <si>
    <t>charlie body spray 75ml red</t>
  </si>
  <si>
    <t>5000386018366</t>
  </si>
  <si>
    <t>05000386113122</t>
  </si>
  <si>
    <t>CCBCB75</t>
  </si>
  <si>
    <t>clean and clear facial cleansing bar 75g</t>
  </si>
  <si>
    <t>6001012500094</t>
  </si>
  <si>
    <t>6001013500093</t>
  </si>
  <si>
    <t>CCCLS</t>
  </si>
  <si>
    <t>clean and clear cleansing lotion 200ml sensitive</t>
  </si>
  <si>
    <t>5000207004981</t>
  </si>
  <si>
    <t>5013826010547</t>
  </si>
  <si>
    <t>CCDAMC</t>
  </si>
  <si>
    <t>clean and clear dual action moisturising cream 100ml</t>
  </si>
  <si>
    <t>5000207007159</t>
  </si>
  <si>
    <t>05013826017348</t>
  </si>
  <si>
    <t>CCEDW</t>
  </si>
  <si>
    <t>clean and clear exfoliating daily wash 150ml</t>
  </si>
  <si>
    <t>5000207007425</t>
  </si>
  <si>
    <t>05013826017904</t>
  </si>
  <si>
    <t>CCDAW</t>
  </si>
  <si>
    <t>clean and clear deep action cream wash 150ml oil free</t>
  </si>
  <si>
    <t>3574661245409</t>
  </si>
  <si>
    <t>03574661247144</t>
  </si>
  <si>
    <t>CCBHS</t>
  </si>
  <si>
    <t>clean and clear blackhead scrub 150ml</t>
  </si>
  <si>
    <t>3574660149807</t>
  </si>
  <si>
    <t>03574660162684</t>
  </si>
  <si>
    <t>CCBHC</t>
  </si>
  <si>
    <t>clean and clear blackhead cleanser 200ml</t>
  </si>
  <si>
    <t>3574660123906</t>
  </si>
  <si>
    <t>3574660123890</t>
  </si>
  <si>
    <t>CCMES</t>
  </si>
  <si>
    <t>clean &amp; clear morning energy skin energising scrub 150ml</t>
  </si>
  <si>
    <t>3574660658606</t>
  </si>
  <si>
    <t>03574660658613</t>
  </si>
  <si>
    <t>CLEARRAGW</t>
  </si>
  <si>
    <t xml:space="preserve">clearasil rapid action gel wash 150ml </t>
  </si>
  <si>
    <t>5000158100633</t>
  </si>
  <si>
    <t>05011417753798</t>
  </si>
  <si>
    <t>CLEARURAP</t>
  </si>
  <si>
    <t xml:space="preserve">clearasil ultra rapid action pads 65’s </t>
  </si>
  <si>
    <t>5000158100657</t>
  </si>
  <si>
    <t>05011417759165</t>
  </si>
  <si>
    <t>CLEARURC</t>
  </si>
  <si>
    <t xml:space="preserve">clearasil ultra rapid cream 25ml </t>
  </si>
  <si>
    <t>5011417544846</t>
  </si>
  <si>
    <t>05011417761960</t>
  </si>
  <si>
    <t>CLINOMYN</t>
  </si>
  <si>
    <t>clinomyn smokers toothpaste 75ml</t>
  </si>
  <si>
    <t>5011111073000</t>
  </si>
  <si>
    <t>17350068606653</t>
  </si>
  <si>
    <t>COLDAT</t>
  </si>
  <si>
    <t>colgate double action toothbrush medium</t>
  </si>
  <si>
    <t>6001067007289</t>
  </si>
  <si>
    <t>6001067502005</t>
  </si>
  <si>
    <t>COLDACT</t>
  </si>
  <si>
    <t>colgate double action toothbrush charcoal medium</t>
  </si>
  <si>
    <t>8718951412057</t>
  </si>
  <si>
    <t>8718951412620</t>
  </si>
  <si>
    <t>COLCDCT</t>
  </si>
  <si>
    <t>colgate classic deep clean toothbrush</t>
  </si>
  <si>
    <t xml:space="preserve">8714789823775 </t>
  </si>
  <si>
    <t>8714789823782</t>
  </si>
  <si>
    <t>COLEXCT</t>
  </si>
  <si>
    <t>colgate extra clean toothbrush</t>
  </si>
  <si>
    <t>6001067022558</t>
  </si>
  <si>
    <t>6001067522553</t>
  </si>
  <si>
    <t>COLZZT</t>
  </si>
  <si>
    <t>colgate zig zag toothbrush</t>
  </si>
  <si>
    <t>6001067004943</t>
  </si>
  <si>
    <t>6001067504948</t>
  </si>
  <si>
    <t>COLZCT</t>
  </si>
  <si>
    <t>colgate zig zag charcoal toothbrush</t>
  </si>
  <si>
    <t>6001067157182</t>
  </si>
  <si>
    <t>6001067657187</t>
  </si>
  <si>
    <t>COLDATBT</t>
  </si>
  <si>
    <t>colgate double action twin toothbrush</t>
  </si>
  <si>
    <t>6001067001485</t>
  </si>
  <si>
    <t>6001067501480</t>
  </si>
  <si>
    <t>COLMFTB</t>
  </si>
  <si>
    <t>colgate max fresh toothbrush</t>
  </si>
  <si>
    <t>058000004481</t>
  </si>
  <si>
    <t>6001067524304</t>
  </si>
  <si>
    <t>COLMWT</t>
  </si>
  <si>
    <t>colgate max white toothbrush</t>
  </si>
  <si>
    <t>6001067025931</t>
  </si>
  <si>
    <t>6001067525936</t>
  </si>
  <si>
    <t>COLTAT</t>
  </si>
  <si>
    <t>colgate triple action twin toothbrush</t>
  </si>
  <si>
    <t>8714789682655</t>
  </si>
  <si>
    <t>08714789682631</t>
  </si>
  <si>
    <t>COLTWTB</t>
  </si>
  <si>
    <t>colgate twister toothbrush</t>
  </si>
  <si>
    <t>6001067024262</t>
  </si>
  <si>
    <t>6001067524267</t>
  </si>
  <si>
    <t>COLJS</t>
  </si>
  <si>
    <t>colgate 50ml kids 0-2 years toothpaste strawberry import</t>
  </si>
  <si>
    <t>6920354812859</t>
  </si>
  <si>
    <t>16920354880527</t>
  </si>
  <si>
    <t>COLKIDBF</t>
  </si>
  <si>
    <t>colgate 50ml kids 2-5 years toothpaste bubble fruit</t>
  </si>
  <si>
    <t>6920654812866</t>
  </si>
  <si>
    <t>16920354880534</t>
  </si>
  <si>
    <t>COLFCG75</t>
  </si>
  <si>
    <t>colgate 75ml fresh confidence toothpaste green</t>
  </si>
  <si>
    <t>6281001101246</t>
  </si>
  <si>
    <t>06281001632245</t>
  </si>
  <si>
    <t>COLFCR75</t>
  </si>
  <si>
    <t>colgate 75ml fresh confidence toothpaste red</t>
  </si>
  <si>
    <t>6281001101253</t>
  </si>
  <si>
    <t>06281001632252</t>
  </si>
  <si>
    <t>COL75FG</t>
  </si>
  <si>
    <t>colgate 75ml fresh gel toothpaste</t>
  </si>
  <si>
    <t>8718951576193</t>
  </si>
  <si>
    <t>08718951576186</t>
  </si>
  <si>
    <t>COLTA100</t>
  </si>
  <si>
    <t>colgate 100ml triple action toothpaste import</t>
  </si>
  <si>
    <t>6920354812521</t>
  </si>
  <si>
    <t>16920354812528</t>
  </si>
  <si>
    <t>COL100</t>
  </si>
  <si>
    <t>colgate 100ml maximum cavity import</t>
  </si>
  <si>
    <t>6920354826191</t>
  </si>
  <si>
    <t>6920354837005</t>
  </si>
  <si>
    <t>COLH100</t>
  </si>
  <si>
    <t>colgate 100ml herbal import</t>
  </si>
  <si>
    <t>6001067021452</t>
  </si>
  <si>
    <t>36001067521458</t>
  </si>
  <si>
    <t>COLMFCLM</t>
  </si>
  <si>
    <t>colgate 100ml max fresh clean mint import green</t>
  </si>
  <si>
    <t>8718951288881</t>
  </si>
  <si>
    <t>08718951288874</t>
  </si>
  <si>
    <t>COLMFCM</t>
  </si>
  <si>
    <t>colgate 100ml max fresh coolmint import blue</t>
  </si>
  <si>
    <t>8718951291010</t>
  </si>
  <si>
    <t>08718951291003</t>
  </si>
  <si>
    <t>COLMWCM</t>
  </si>
  <si>
    <t>colgate 100ml max fresh white crystal mint import</t>
  </si>
  <si>
    <t>6920354824845</t>
  </si>
  <si>
    <t>16920354824842</t>
  </si>
  <si>
    <t>COLMFS</t>
  </si>
  <si>
    <t>colgate 100ml max fresh spicy import</t>
  </si>
  <si>
    <t>8718951289987</t>
  </si>
  <si>
    <t>87189512899704</t>
  </si>
  <si>
    <t>COLW100</t>
  </si>
  <si>
    <t>colgate 100ml advanced whitening toothpaste import</t>
  </si>
  <si>
    <t>6281001101192</t>
  </si>
  <si>
    <t>06281001613886</t>
  </si>
  <si>
    <t>COLPUMPC</t>
  </si>
  <si>
    <t xml:space="preserve">colgate 100ml pump max cavity </t>
  </si>
  <si>
    <t>5000209100513</t>
  </si>
  <si>
    <t>08714789299426</t>
  </si>
  <si>
    <t>COLPUMPT</t>
  </si>
  <si>
    <t xml:space="preserve">colgate 100ml pump cool stripe </t>
  </si>
  <si>
    <t>5000209101527</t>
  </si>
  <si>
    <t>08714789329390</t>
  </si>
  <si>
    <t>COLPUMPM</t>
  </si>
  <si>
    <t>colgate 100ml pump max white luminous</t>
  </si>
  <si>
    <t>8718951095182</t>
  </si>
  <si>
    <t>08718951095175</t>
  </si>
  <si>
    <t>CURGLTWIN</t>
  </si>
  <si>
    <t>clean up rubber gloves twin large</t>
  </si>
  <si>
    <t xml:space="preserve">5011597092892 </t>
  </si>
  <si>
    <t>5011597302052</t>
  </si>
  <si>
    <t>CORBABYS</t>
  </si>
  <si>
    <t>coral baby sponge</t>
  </si>
  <si>
    <t xml:space="preserve">5011597001634 </t>
  </si>
  <si>
    <t>5011597021632</t>
  </si>
  <si>
    <t>CORALBS</t>
  </si>
  <si>
    <t>coral bath sponge</t>
  </si>
  <si>
    <t xml:space="preserve">5011597001627 </t>
  </si>
  <si>
    <t>5011597011626</t>
  </si>
  <si>
    <t>CORBODY3</t>
  </si>
  <si>
    <t>coral bath sponge 3 pack</t>
  </si>
  <si>
    <t>5011597092779</t>
  </si>
  <si>
    <t>5011597312778</t>
  </si>
  <si>
    <t>CORALMS</t>
  </si>
  <si>
    <t>coral massage sponge</t>
  </si>
  <si>
    <t xml:space="preserve">5011597002228 </t>
  </si>
  <si>
    <t>5011597022226</t>
  </si>
  <si>
    <t>COR500C</t>
  </si>
  <si>
    <t>corsodyl alcohol free cool mint mouthwash 500ml</t>
  </si>
  <si>
    <t>5000347054242</t>
  </si>
  <si>
    <t>5054563006356</t>
  </si>
  <si>
    <t>COR500F</t>
  </si>
  <si>
    <t>corsodyl alcohol free fresh mint mouthwash 500ml</t>
  </si>
  <si>
    <t>5000347054235</t>
  </si>
  <si>
    <t>5054563006363</t>
  </si>
  <si>
    <t>CURAHT200</t>
  </si>
  <si>
    <t>curalene hair tonic 200ml</t>
  </si>
  <si>
    <t>8908016224422</t>
  </si>
  <si>
    <t>8904442800674</t>
  </si>
  <si>
    <t>CURAC500</t>
  </si>
  <si>
    <t>curalene aqueous original 500ml</t>
  </si>
  <si>
    <t>8908016224132</t>
  </si>
  <si>
    <t>8908016224859</t>
  </si>
  <si>
    <t>CURACOC500</t>
  </si>
  <si>
    <t>curalene aqueous cocoa cream 500ml</t>
  </si>
  <si>
    <t>8908016224354</t>
  </si>
  <si>
    <t>8908016224866</t>
  </si>
  <si>
    <t>CURAPG</t>
  </si>
  <si>
    <t>curalene pure glycerine 100ml</t>
  </si>
  <si>
    <t xml:space="preserve">8908016224736 </t>
  </si>
  <si>
    <t>8908016224606</t>
  </si>
  <si>
    <t>CUSSSGMB</t>
  </si>
  <si>
    <t>cussons shower gel 250ml moon and back</t>
  </si>
  <si>
    <t>5000101510779</t>
  </si>
  <si>
    <t>05000101510762</t>
  </si>
  <si>
    <t>CUTICURAT15</t>
  </si>
  <si>
    <t>cuticura medicated talc 150ml</t>
  </si>
  <si>
    <t>5012008771009</t>
  </si>
  <si>
    <t>05012008771016</t>
  </si>
  <si>
    <t>CUTICURAT25</t>
  </si>
  <si>
    <t>cuticura medicated talc 250ml</t>
  </si>
  <si>
    <t>5012008117708</t>
  </si>
  <si>
    <t>05012008771115</t>
  </si>
  <si>
    <t>CIF500L</t>
  </si>
  <si>
    <t>cif cream 500ml lemon</t>
  </si>
  <si>
    <t>8720181425806</t>
  </si>
  <si>
    <t>08720181425813</t>
  </si>
  <si>
    <t>CIF500O</t>
  </si>
  <si>
    <t>cif cream 500ml original</t>
  </si>
  <si>
    <t>5000186735036</t>
  </si>
  <si>
    <t>08712561241762</t>
  </si>
  <si>
    <t>CYCLAXJS2</t>
  </si>
  <si>
    <t>cyclax just soap twin pack 100g</t>
  </si>
  <si>
    <t>5026445004460</t>
  </si>
  <si>
    <t>05026445004477</t>
  </si>
  <si>
    <t>DOMBCI</t>
  </si>
  <si>
    <t>domestos bleach 750ml citrus</t>
  </si>
  <si>
    <t xml:space="preserve">5000186811112 </t>
  </si>
  <si>
    <t>08717644196212</t>
  </si>
  <si>
    <t>DOMBORI</t>
  </si>
  <si>
    <t>domestos bleach 750ml original</t>
  </si>
  <si>
    <t>5000186481001</t>
  </si>
  <si>
    <t>08717644196236</t>
  </si>
  <si>
    <t>DOMBPIN</t>
  </si>
  <si>
    <t>domestos bleach 750ml pink</t>
  </si>
  <si>
    <t>8717163540213</t>
  </si>
  <si>
    <t>08717644196250</t>
  </si>
  <si>
    <t>DOMBM</t>
  </si>
  <si>
    <t>domestos bleach 750ml mountain</t>
  </si>
  <si>
    <t>5000186481018</t>
  </si>
  <si>
    <t>08717644196274</t>
  </si>
  <si>
    <t>DAXSN</t>
  </si>
  <si>
    <t>dax short n neat blue tin</t>
  </si>
  <si>
    <t>077315009059</t>
  </si>
  <si>
    <t>10077315009056</t>
  </si>
  <si>
    <t>DAXWG</t>
  </si>
  <si>
    <t>dax wave n groom red tin</t>
  </si>
  <si>
    <t>077315009042</t>
  </si>
  <si>
    <t>10077315009049</t>
  </si>
  <si>
    <t>DENTUC75</t>
  </si>
  <si>
    <t>dentu-crème 75ml toothpaste</t>
  </si>
  <si>
    <t>5012616291746</t>
  </si>
  <si>
    <t>05012616113895</t>
  </si>
  <si>
    <t>DEEPFR35</t>
  </si>
  <si>
    <t>deep freeze cold gel 35ml</t>
  </si>
  <si>
    <t xml:space="preserve">5011501016105 </t>
  </si>
  <si>
    <t>05011501016112</t>
  </si>
  <si>
    <t>DEEPFRP</t>
  </si>
  <si>
    <t>deep freeze pain relief gel 100g</t>
  </si>
  <si>
    <t xml:space="preserve">5011501016136 </t>
  </si>
  <si>
    <t>05011501016143</t>
  </si>
  <si>
    <t>DEEPFRS</t>
  </si>
  <si>
    <t>deep freeze spray 72.5g</t>
  </si>
  <si>
    <t>5011501000388</t>
  </si>
  <si>
    <t>05011501000395</t>
  </si>
  <si>
    <t>DEEPSPR</t>
  </si>
  <si>
    <t>deep heat spray 72.5g</t>
  </si>
  <si>
    <t>5011501000005</t>
  </si>
  <si>
    <t>05011501000012</t>
  </si>
  <si>
    <t>DEEPHE35</t>
  </si>
  <si>
    <t>deep heat rub 35g</t>
  </si>
  <si>
    <t>DEEPHE67</t>
  </si>
  <si>
    <t>deep heat rub 67g</t>
  </si>
  <si>
    <t>5011501040094</t>
  </si>
  <si>
    <t>05011501003860</t>
  </si>
  <si>
    <t>DEEPHEAT</t>
  </si>
  <si>
    <t>deep heat rub 100g</t>
  </si>
  <si>
    <t>5011501040100</t>
  </si>
  <si>
    <t>05011501003907</t>
  </si>
  <si>
    <t>DENBSR</t>
  </si>
  <si>
    <t>denim body spray 150ml raw passion</t>
  </si>
  <si>
    <t>7640129895106</t>
  </si>
  <si>
    <t>27640142778459</t>
  </si>
  <si>
    <t>DENBS1976</t>
  </si>
  <si>
    <t>denim body spray 150ml 1976</t>
  </si>
  <si>
    <t>7640142779469</t>
  </si>
  <si>
    <t>27640142779470</t>
  </si>
  <si>
    <t>DENBSAZURE</t>
  </si>
  <si>
    <t>denim body spray 150ml azure</t>
  </si>
  <si>
    <t>7640142779445</t>
  </si>
  <si>
    <t>27640142779456</t>
  </si>
  <si>
    <t>DENBSB</t>
  </si>
  <si>
    <t>denim body spray 150ml black</t>
  </si>
  <si>
    <t>7640129895083</t>
  </si>
  <si>
    <t>27640129895452</t>
  </si>
  <si>
    <t>DENBSD</t>
  </si>
  <si>
    <t>denim body spray 150ml desire</t>
  </si>
  <si>
    <t>7640142779230</t>
  </si>
  <si>
    <t>27640142779241</t>
  </si>
  <si>
    <t>DENBSM</t>
  </si>
  <si>
    <t>denim body spray 150ml musk</t>
  </si>
  <si>
    <t>7640129895076</t>
  </si>
  <si>
    <t>27640129895438</t>
  </si>
  <si>
    <t>DENBSO</t>
  </si>
  <si>
    <t>denim body spray 150ml original</t>
  </si>
  <si>
    <t>7640129895069</t>
  </si>
  <si>
    <t>27640129895414</t>
  </si>
  <si>
    <t>DURAA2P</t>
  </si>
  <si>
    <t>duracell batteries aa mn1500 2 pack</t>
  </si>
  <si>
    <t>5000394126091</t>
  </si>
  <si>
    <t>05000394127036</t>
  </si>
  <si>
    <t>DET250</t>
  </si>
  <si>
    <t>dettol liquid 250ml</t>
  </si>
  <si>
    <t>50158072</t>
  </si>
  <si>
    <t xml:space="preserve">05000158407589 </t>
  </si>
  <si>
    <t>DET50012</t>
  </si>
  <si>
    <t>dettol liquid 500ml</t>
  </si>
  <si>
    <t>50158089</t>
  </si>
  <si>
    <t>05000158407572</t>
  </si>
  <si>
    <t>DET750</t>
  </si>
  <si>
    <t>dettol liquid 750ml</t>
  </si>
  <si>
    <t>50158225</t>
  </si>
  <si>
    <t>05000158407633</t>
  </si>
  <si>
    <t>DETSOAPO</t>
  </si>
  <si>
    <t>dettol soap twin pack</t>
  </si>
  <si>
    <t>5011417554876</t>
  </si>
  <si>
    <t>05011417763872</t>
  </si>
  <si>
    <t>DOVESSC2</t>
  </si>
  <si>
    <t>dove soap 2 pack summer care</t>
  </si>
  <si>
    <t>8720181673788</t>
  </si>
  <si>
    <t>08720181673795</t>
  </si>
  <si>
    <t>DOVESO</t>
  </si>
  <si>
    <t>dove soap 4 pack original</t>
  </si>
  <si>
    <t>8720181218286</t>
  </si>
  <si>
    <t>08720181218422</t>
  </si>
  <si>
    <t>DOVES06</t>
  </si>
  <si>
    <t>dove soap 6 pack original</t>
  </si>
  <si>
    <t>8720181218293</t>
  </si>
  <si>
    <t>08720181218446</t>
  </si>
  <si>
    <t>DOVES06P</t>
  </si>
  <si>
    <t>dove soap 6 pack pink</t>
  </si>
  <si>
    <t>8720181319464</t>
  </si>
  <si>
    <t>08720181319501</t>
  </si>
  <si>
    <t>DOVESJAR</t>
  </si>
  <si>
    <t>dove silk jar 300ml</t>
  </si>
  <si>
    <t>40883007</t>
  </si>
  <si>
    <t>4000388170063</t>
  </si>
  <si>
    <t>DOVEKHRM</t>
  </si>
  <si>
    <t>dove baby head to toe wash rich moisture 200ml</t>
  </si>
  <si>
    <t>8710908657122</t>
  </si>
  <si>
    <t>08710908655944</t>
  </si>
  <si>
    <t>DOVEKHSM</t>
  </si>
  <si>
    <t>dove baby head to toe wash sensitive moisture fragrance200ml</t>
  </si>
  <si>
    <t>8710908657399</t>
  </si>
  <si>
    <t>08710908655968</t>
  </si>
  <si>
    <t>DOVEKLSM</t>
  </si>
  <si>
    <t>dove baby lotion 200ml sensitive fragrance free moisture</t>
  </si>
  <si>
    <t>8710908658006</t>
  </si>
  <si>
    <t>08710908656316</t>
  </si>
  <si>
    <t>DOVEK4HC</t>
  </si>
  <si>
    <t>dove baby head to toe wash 400ml calming</t>
  </si>
  <si>
    <t xml:space="preserve">8717163858226 </t>
  </si>
  <si>
    <t>08717163858257</t>
  </si>
  <si>
    <t>DOVEK4HS</t>
  </si>
  <si>
    <t>dove baby head to toe body wash 400ml sensitive fragrance free</t>
  </si>
  <si>
    <t>8710908657535</t>
  </si>
  <si>
    <t>08710908656200</t>
  </si>
  <si>
    <t>DOVEK4BR</t>
  </si>
  <si>
    <t>dove baby head to toe body wash 400ml rich moisture</t>
  </si>
  <si>
    <t>8710908657467</t>
  </si>
  <si>
    <t>08710908656187</t>
  </si>
  <si>
    <t>DOVEK4RM</t>
  </si>
  <si>
    <t>dove baby lotion rich moisture 400ml</t>
  </si>
  <si>
    <t>8710447362945</t>
  </si>
  <si>
    <t>08710447362976</t>
  </si>
  <si>
    <t>DOVEK4SS</t>
  </si>
  <si>
    <t>dove baby shampoo rich moisture 400ml</t>
  </si>
  <si>
    <t>8710908657979</t>
  </si>
  <si>
    <t>08710908656293</t>
  </si>
  <si>
    <t>DOVBWRM</t>
  </si>
  <si>
    <t>dove baby wipes 50's rich moisture</t>
  </si>
  <si>
    <t>8886467061738</t>
  </si>
  <si>
    <t>18886467061735</t>
  </si>
  <si>
    <t>DOVBWS</t>
  </si>
  <si>
    <t xml:space="preserve">dove baby wipes 50's sensitive </t>
  </si>
  <si>
    <t>8886467061745</t>
  </si>
  <si>
    <t>18886467061742</t>
  </si>
  <si>
    <t>DOVEBWAS</t>
  </si>
  <si>
    <t>dove body wash 225ml anti stress</t>
  </si>
  <si>
    <t>8720181459955</t>
  </si>
  <si>
    <t>08720181460203</t>
  </si>
  <si>
    <t>DOVE250EX</t>
  </si>
  <si>
    <t>dove body wash 225ml gentle scrub</t>
  </si>
  <si>
    <t>8720181462863</t>
  </si>
  <si>
    <t>08720181463297</t>
  </si>
  <si>
    <t>DOVEBWH</t>
  </si>
  <si>
    <t>dove body wash 225ml nourishing hydrate</t>
  </si>
  <si>
    <t>8720181466434</t>
  </si>
  <si>
    <t>08720181468605</t>
  </si>
  <si>
    <t>DOVEBWNO</t>
  </si>
  <si>
    <t>dove body wash 225ml nourishing silk</t>
  </si>
  <si>
    <t>8720181457388</t>
  </si>
  <si>
    <t>08720181457715</t>
  </si>
  <si>
    <t>DOVE225R</t>
  </si>
  <si>
    <t xml:space="preserve">dove body wash 225ml reviving </t>
  </si>
  <si>
    <t>8720181460111</t>
  </si>
  <si>
    <t>08720181460524</t>
  </si>
  <si>
    <t>DOVEBWVG</t>
  </si>
  <si>
    <t>dove body wash 225ml velvet glow</t>
  </si>
  <si>
    <t>8720181468537</t>
  </si>
  <si>
    <t>08720181469107</t>
  </si>
  <si>
    <t>DOVEBWFN</t>
  </si>
  <si>
    <t>dove body wash 225ml fruity nourish</t>
  </si>
  <si>
    <t>8720181468445</t>
  </si>
  <si>
    <t>08720181469084</t>
  </si>
  <si>
    <t>DOVEBWMEM</t>
  </si>
  <si>
    <t>dove body wash 250ml mens eucalyptus &amp; mint</t>
  </si>
  <si>
    <t>8720181586255</t>
  </si>
  <si>
    <t>08720181586262</t>
  </si>
  <si>
    <t>DOVEBWMEF</t>
  </si>
  <si>
    <t>dove body wash 250ml mens extra fresh</t>
  </si>
  <si>
    <t>8717644598849</t>
  </si>
  <si>
    <t>08717644598924</t>
  </si>
  <si>
    <t>DOVEBW45CI</t>
  </si>
  <si>
    <t>dove body wash 450ml creamy induldge</t>
  </si>
  <si>
    <t>8720181608407</t>
  </si>
  <si>
    <t>08720181608810</t>
  </si>
  <si>
    <t>DOVEBW45FN</t>
  </si>
  <si>
    <t>dove body wash 450ml fruity nourish</t>
  </si>
  <si>
    <t>8720181468391</t>
  </si>
  <si>
    <t>08720181469022</t>
  </si>
  <si>
    <t>DOVEBW45N</t>
  </si>
  <si>
    <t>dove body wash 450ml nourishing</t>
  </si>
  <si>
    <t>8720181466427</t>
  </si>
  <si>
    <t>08720181468155</t>
  </si>
  <si>
    <t>DOVEBW72CI</t>
  </si>
  <si>
    <t>dove body wash 720ml creamy induldge</t>
  </si>
  <si>
    <t>8720181750861</t>
  </si>
  <si>
    <t>08720181750878</t>
  </si>
  <si>
    <t>DOVECBA450</t>
  </si>
  <si>
    <t>dove cream bath 450ml soothing almond</t>
  </si>
  <si>
    <t>8717163762202</t>
  </si>
  <si>
    <t>08717163762929</t>
  </si>
  <si>
    <t>DOVECBSB</t>
  </si>
  <si>
    <t>dove cream bath 450ml shea butter</t>
  </si>
  <si>
    <t>8717163762233</t>
  </si>
  <si>
    <t>08717163762981</t>
  </si>
  <si>
    <t>DOVECBI450</t>
  </si>
  <si>
    <t>dove cream bath 450ml indulging</t>
  </si>
  <si>
    <t>8717163762226</t>
  </si>
  <si>
    <t>08717163762967</t>
  </si>
  <si>
    <t>DOVECB72W</t>
  </si>
  <si>
    <t>dove cream bath 720ml winter care</t>
  </si>
  <si>
    <t>8720181558740</t>
  </si>
  <si>
    <t>08720181558771</t>
  </si>
  <si>
    <t>DOVEBW72DN</t>
  </si>
  <si>
    <t xml:space="preserve">dove body wash 720ml nourishing </t>
  </si>
  <si>
    <t>8720181466403</t>
  </si>
  <si>
    <t>08720181468582</t>
  </si>
  <si>
    <t>DOVEHCA</t>
  </si>
  <si>
    <t>dove hand cream 75ml avocado invigorating</t>
  </si>
  <si>
    <t>8710447275306</t>
  </si>
  <si>
    <t>08710447275320</t>
  </si>
  <si>
    <t>DOVEHCAW</t>
  </si>
  <si>
    <t>dove hand cream 75ml awakening ritual green tea</t>
  </si>
  <si>
    <t>8710522386491</t>
  </si>
  <si>
    <t>08710522386576</t>
  </si>
  <si>
    <t>DOVEHCC</t>
  </si>
  <si>
    <t>dove hand cream 75ml coconut and almond restoring ritual</t>
  </si>
  <si>
    <t>08710447275405</t>
  </si>
  <si>
    <t>DOVEHCP</t>
  </si>
  <si>
    <t xml:space="preserve">dove hand cream 75ml pro age </t>
  </si>
  <si>
    <t>DOVEBSM</t>
  </si>
  <si>
    <t>dove body scrub jar 225ml macadamia</t>
  </si>
  <si>
    <t>8710447217054</t>
  </si>
  <si>
    <t>08710447217108</t>
  </si>
  <si>
    <t>DOVEBSP</t>
  </si>
  <si>
    <t>dove body scrub jar 225ml pomegrante</t>
  </si>
  <si>
    <t>8710447257265</t>
  </si>
  <si>
    <t>08710447257401</t>
  </si>
  <si>
    <t>DOVL250W</t>
  </si>
  <si>
    <t xml:space="preserve">dove lotion 250ml winter care </t>
  </si>
  <si>
    <t>8720181022548</t>
  </si>
  <si>
    <t>08720181022586</t>
  </si>
  <si>
    <t>DOVL250N</t>
  </si>
  <si>
    <t>dove lotion 250ml essential care</t>
  </si>
  <si>
    <t>4000388563209</t>
  </si>
  <si>
    <t>04000388563261</t>
  </si>
  <si>
    <t>DOVL250GR</t>
  </si>
  <si>
    <t>dove lotion 250ml glowing ritual</t>
  </si>
  <si>
    <t>8710908777004</t>
  </si>
  <si>
    <t>08710908777011</t>
  </si>
  <si>
    <t>DOVL250E</t>
  </si>
  <si>
    <t>dove lotion 250ml intensive nourishment extra dry</t>
  </si>
  <si>
    <t>8711700807258</t>
  </si>
  <si>
    <t>08710908116094</t>
  </si>
  <si>
    <t>DOVL250RR</t>
  </si>
  <si>
    <t>dove lotion 250ml smoothing  care coconut (restoring )</t>
  </si>
  <si>
    <t>8710908778322</t>
  </si>
  <si>
    <t>08710908863011</t>
  </si>
  <si>
    <t>DOVL25IN</t>
  </si>
  <si>
    <t xml:space="preserve">dove lotion 250ml indulgent nourishment with shea butter </t>
  </si>
  <si>
    <t>8711700887922</t>
  </si>
  <si>
    <t>08710447328132</t>
  </si>
  <si>
    <t>DOVL400E</t>
  </si>
  <si>
    <t xml:space="preserve">dove lotion 400ml essential </t>
  </si>
  <si>
    <t>4000388563803</t>
  </si>
  <si>
    <t>08710908414701</t>
  </si>
  <si>
    <t>DOVL400H</t>
  </si>
  <si>
    <t>dove lotion 400ml hydro light care with ceramide restoring serum</t>
  </si>
  <si>
    <t>4000388563902</t>
  </si>
  <si>
    <t>04000388563964</t>
  </si>
  <si>
    <t>DOVL400GR</t>
  </si>
  <si>
    <t xml:space="preserve">dove lotion 400ml glowing ritual </t>
  </si>
  <si>
    <t>8710908777769</t>
  </si>
  <si>
    <t>08710908862915</t>
  </si>
  <si>
    <t>DOVL400I</t>
  </si>
  <si>
    <t>dove lotion 400ml intensive nourishment extra dry</t>
  </si>
  <si>
    <t>8711600453975</t>
  </si>
  <si>
    <t>08711600454071</t>
  </si>
  <si>
    <t>DOVL400C</t>
  </si>
  <si>
    <t>dove lotion 400ml restoring care with coconut</t>
  </si>
  <si>
    <t>8710908778230</t>
  </si>
  <si>
    <t>08710908778247</t>
  </si>
  <si>
    <t>DOVL400S</t>
  </si>
  <si>
    <t>dove lotion 400ml purely pampering with shea butter</t>
  </si>
  <si>
    <t>8711700841252</t>
  </si>
  <si>
    <t>08711700841269</t>
  </si>
  <si>
    <t>DOVL400PR</t>
  </si>
  <si>
    <t>dove lotion 400ml pro age</t>
  </si>
  <si>
    <t>8717163673065</t>
  </si>
  <si>
    <t>08717163673102</t>
  </si>
  <si>
    <t>DOVECRNB</t>
  </si>
  <si>
    <t>dove cream 75ml beauty jar pink</t>
  </si>
  <si>
    <t>8886467020094</t>
  </si>
  <si>
    <t>10859581006539</t>
  </si>
  <si>
    <t>DOVECRMH</t>
  </si>
  <si>
    <t>dove cream 75ml mens hydra jar grey</t>
  </si>
  <si>
    <t xml:space="preserve">8901030755392 </t>
  </si>
  <si>
    <t>10859581006997</t>
  </si>
  <si>
    <t>DOVECRRN</t>
  </si>
  <si>
    <t>dove cream 75ml rich nourishment jar blue</t>
  </si>
  <si>
    <t>8886467020124</t>
  </si>
  <si>
    <t>10859581006546</t>
  </si>
  <si>
    <t>DOVECR250IN</t>
  </si>
  <si>
    <t>dove cream 250ml rich nourishment jar blue</t>
  </si>
  <si>
    <t>8886467049484</t>
  </si>
  <si>
    <t>20859581006765</t>
  </si>
  <si>
    <t>DOVECR25N</t>
  </si>
  <si>
    <t>dove cream 250ml nourishing jar pink</t>
  </si>
  <si>
    <t>8886467016514</t>
  </si>
  <si>
    <t>20859581006741</t>
  </si>
  <si>
    <t>DOVECR25MH</t>
  </si>
  <si>
    <t>dove cream 250ml mens hydra jar grey</t>
  </si>
  <si>
    <t>8886467049613</t>
  </si>
  <si>
    <t>28886467049617</t>
  </si>
  <si>
    <t>DOVEROCL</t>
  </si>
  <si>
    <t>dove roll-on 50ml classic</t>
  </si>
  <si>
    <t>08720181272202</t>
  </si>
  <si>
    <t>DOVEROC</t>
  </si>
  <si>
    <t>dove roll-on 50ml cucumber</t>
  </si>
  <si>
    <t>59092704</t>
  </si>
  <si>
    <t>08720181269097</t>
  </si>
  <si>
    <t>DOVEROFR</t>
  </si>
  <si>
    <t>dove roll-on 50ml fresh</t>
  </si>
  <si>
    <t>08720181272288</t>
  </si>
  <si>
    <t>DOVEROPO</t>
  </si>
  <si>
    <t>dove roll-on 50ml powder</t>
  </si>
  <si>
    <t>59095408</t>
  </si>
  <si>
    <t>08720181272363</t>
  </si>
  <si>
    <t>DOVEROSC</t>
  </si>
  <si>
    <t>dove roll-on 50ml summer care</t>
  </si>
  <si>
    <t>59098751</t>
  </si>
  <si>
    <t>08720181520440</t>
  </si>
  <si>
    <t>DOVEROT</t>
  </si>
  <si>
    <t>dove roll-on 50ml talco</t>
  </si>
  <si>
    <t>08717644397763</t>
  </si>
  <si>
    <t>DOVEROMCL</t>
  </si>
  <si>
    <t>dove roll-on 50ml men's classic</t>
  </si>
  <si>
    <t>59092643</t>
  </si>
  <si>
    <t>08720181267086</t>
  </si>
  <si>
    <t>DOVEROMF</t>
  </si>
  <si>
    <t>dove roll-on 50ml men's fresh</t>
  </si>
  <si>
    <t>08720181533556</t>
  </si>
  <si>
    <t>DOVECON35PA</t>
  </si>
  <si>
    <t>dove conditioner 350ml pro age</t>
  </si>
  <si>
    <t>08714100185063</t>
  </si>
  <si>
    <t>DOVECOND35GU</t>
  </si>
  <si>
    <t>dove conditioner 350ml glow up</t>
  </si>
  <si>
    <t>8720181678196</t>
  </si>
  <si>
    <t>8720181678271</t>
  </si>
  <si>
    <t>DOVECOND35IR</t>
  </si>
  <si>
    <t>dove conditioner 350ml intense repair</t>
  </si>
  <si>
    <t>8712561571333</t>
  </si>
  <si>
    <t>8712561530897</t>
  </si>
  <si>
    <t>DOVECOND35WB</t>
  </si>
  <si>
    <t>dove conditioner 350ml winter bloom</t>
  </si>
  <si>
    <t>8720181794865</t>
  </si>
  <si>
    <t>8720181794896</t>
  </si>
  <si>
    <t>DOVSHDM</t>
  </si>
  <si>
    <t>dove shampoo 250ml daily moisture</t>
  </si>
  <si>
    <t>8718114561660</t>
  </si>
  <si>
    <t>08712561858199</t>
  </si>
  <si>
    <t>DOV4SHM</t>
  </si>
  <si>
    <t xml:space="preserve">dove shampoo 400ml daily moisture </t>
  </si>
  <si>
    <t>8712561384841</t>
  </si>
  <si>
    <t>08712561538411</t>
  </si>
  <si>
    <t>DOV4SHIR</t>
  </si>
  <si>
    <t>dove shampoo 400ml intensive repair</t>
  </si>
  <si>
    <t>8712561488280</t>
  </si>
  <si>
    <t>08712561531306</t>
  </si>
  <si>
    <t>DOV4SHLDM</t>
  </si>
  <si>
    <t>dove shampoo 400ml light daily moisture</t>
  </si>
  <si>
    <t>8720181205668</t>
  </si>
  <si>
    <t>08720181205750</t>
  </si>
  <si>
    <t>DOV4SHC</t>
  </si>
  <si>
    <t>dove shampoo 400ml colour care</t>
  </si>
  <si>
    <t>8712561488297</t>
  </si>
  <si>
    <t>08710908015502</t>
  </si>
  <si>
    <t>DOVESTIC</t>
  </si>
  <si>
    <t>dove stick 50ml classic fresh</t>
  </si>
  <si>
    <t>59099659</t>
  </si>
  <si>
    <t>08720181575488</t>
  </si>
  <si>
    <t>DOVESTMC</t>
  </si>
  <si>
    <t>dove stick 50ml mens clean</t>
  </si>
  <si>
    <t>50220221</t>
  </si>
  <si>
    <t>08717644590713</t>
  </si>
  <si>
    <t>DOVESTMP</t>
  </si>
  <si>
    <t>dove stick 45ml max protection</t>
  </si>
  <si>
    <t>8717644566237</t>
  </si>
  <si>
    <t>08717644566268</t>
  </si>
  <si>
    <t>DOVESPBF</t>
  </si>
  <si>
    <t>dove spray 150ml beauty finish</t>
  </si>
  <si>
    <t>8711600322080</t>
  </si>
  <si>
    <t>08711600322097</t>
  </si>
  <si>
    <t>DOVESPRF</t>
  </si>
  <si>
    <t>dove spray 150ml fresh</t>
  </si>
  <si>
    <t>8720181287589</t>
  </si>
  <si>
    <t>08720181294518</t>
  </si>
  <si>
    <t>DOVESPPO</t>
  </si>
  <si>
    <t>dove spray 150ml powder</t>
  </si>
  <si>
    <t>8720181287626</t>
  </si>
  <si>
    <t>08720181294594</t>
  </si>
  <si>
    <t>DOVESPMF</t>
  </si>
  <si>
    <t>dove spray 150ml mens fresh</t>
  </si>
  <si>
    <t>8720181533198</t>
  </si>
  <si>
    <t>08720181533211</t>
  </si>
  <si>
    <t>DOVESPMS</t>
  </si>
  <si>
    <t>dove spray 150ml mens sport</t>
  </si>
  <si>
    <t>8720181533204</t>
  </si>
  <si>
    <t>08720181533235</t>
  </si>
  <si>
    <t>DOVESPRCL</t>
  </si>
  <si>
    <t>dove spray 150ml classic</t>
  </si>
  <si>
    <t>8720181286902</t>
  </si>
  <si>
    <t>08720181294426</t>
  </si>
  <si>
    <t>DOVESPRC</t>
  </si>
  <si>
    <t>dove spray 150ml cucumber</t>
  </si>
  <si>
    <t>8717163964965</t>
  </si>
  <si>
    <t>08720181126123</t>
  </si>
  <si>
    <t>DOVESPP</t>
  </si>
  <si>
    <t>dove spray 150ml pomegranate</t>
  </si>
  <si>
    <t>8711600786226</t>
  </si>
  <si>
    <t>08720181126161</t>
  </si>
  <si>
    <t>DOVESPCJ</t>
  </si>
  <si>
    <t>dove spray 150ml coconut &amp; jasmine</t>
  </si>
  <si>
    <t>8717163714843</t>
  </si>
  <si>
    <t>08720181126208</t>
  </si>
  <si>
    <t>DOVESPPA</t>
  </si>
  <si>
    <t>dove spray 150ml pear &amp; aloe</t>
  </si>
  <si>
    <t>8710908559235</t>
  </si>
  <si>
    <t>08710908558986</t>
  </si>
  <si>
    <t>DOVESPAW</t>
  </si>
  <si>
    <t>dove spray 150ml apple &amp;white tea</t>
  </si>
  <si>
    <t>8717163676714</t>
  </si>
  <si>
    <t>08720181126185</t>
  </si>
  <si>
    <t>DOVESPRI</t>
  </si>
  <si>
    <t>dove spray 150ml invisible dry</t>
  </si>
  <si>
    <t>8717163994252</t>
  </si>
  <si>
    <t>08717163994481</t>
  </si>
  <si>
    <t>DOVESPRO</t>
  </si>
  <si>
    <t>dove spray 150ml original</t>
  </si>
  <si>
    <t>8717163965030</t>
  </si>
  <si>
    <t>08717163965023</t>
  </si>
  <si>
    <t>DOVESPMCL</t>
  </si>
  <si>
    <t>dove spray 150ml mens classic</t>
  </si>
  <si>
    <t>8720181295546</t>
  </si>
  <si>
    <t>08720181295638</t>
  </si>
  <si>
    <t>DOVESPMCO</t>
  </si>
  <si>
    <t xml:space="preserve">dove spray 150ml mens cool fresh </t>
  </si>
  <si>
    <t>8710908325731</t>
  </si>
  <si>
    <t>08720181126000</t>
  </si>
  <si>
    <t>DOVESPMCF</t>
  </si>
  <si>
    <t>dove spray 150ml mens extra fresh</t>
  </si>
  <si>
    <t>8717644579886</t>
  </si>
  <si>
    <t>08710908790133</t>
  </si>
  <si>
    <t>DOV200INV</t>
  </si>
  <si>
    <t>dove spray 200ml invisible dry</t>
  </si>
  <si>
    <t>8720181292088</t>
  </si>
  <si>
    <t>08720181292408</t>
  </si>
  <si>
    <t>DOV200MS</t>
  </si>
  <si>
    <t>dove spray 200ml mens sport</t>
  </si>
  <si>
    <t>8720181474217</t>
  </si>
  <si>
    <t>08720181474248</t>
  </si>
  <si>
    <t>DOV25O</t>
  </si>
  <si>
    <t>dove spray 250ml original not for sale in usa canada and gcc countries</t>
  </si>
  <si>
    <t>8717163997345</t>
  </si>
  <si>
    <t>08717163007426</t>
  </si>
  <si>
    <t>DOV25A</t>
  </si>
  <si>
    <t>dove spray 250ml apple &amp; white not for sale in usa canada and gcc countries</t>
  </si>
  <si>
    <t>8717163676721</t>
  </si>
  <si>
    <t>08717163676813</t>
  </si>
  <si>
    <t>DOV25AW</t>
  </si>
  <si>
    <t>dove spray 250ml apple &amp; white tea not for sale in usa canada and gcc countries</t>
  </si>
  <si>
    <t>8720181625381</t>
  </si>
  <si>
    <t>08720181625466</t>
  </si>
  <si>
    <t>DOV25COC</t>
  </si>
  <si>
    <t>dove spray 250ml coconut &amp; jasmine not for sale in usa canada and gcc countries</t>
  </si>
  <si>
    <t>8717163714942</t>
  </si>
  <si>
    <t>08717163715178</t>
  </si>
  <si>
    <t>DOV25I</t>
  </si>
  <si>
    <t>dove spray 250ml invisible dry not for sale in usa canada and gcc countries</t>
  </si>
  <si>
    <t>8717163997383</t>
  </si>
  <si>
    <t>08717163007761</t>
  </si>
  <si>
    <t>DOV25PF</t>
  </si>
  <si>
    <t>dove spray 250ml passion fruit not for sale in usa canada and gcc countries</t>
  </si>
  <si>
    <t>8720181624568</t>
  </si>
  <si>
    <t>08720181624650</t>
  </si>
  <si>
    <t>DOV25PEAR</t>
  </si>
  <si>
    <t>dove spray 250ml pear &amp; aloe not for sale in usa canada and gcc countries</t>
  </si>
  <si>
    <t>8710908559204</t>
  </si>
  <si>
    <t>08710908558863</t>
  </si>
  <si>
    <t>DOV25POM</t>
  </si>
  <si>
    <t>dove spray 250ml pomegranate not for sale in usa canada and gcc countries</t>
  </si>
  <si>
    <t>8711600786257</t>
  </si>
  <si>
    <t>08711600797185</t>
  </si>
  <si>
    <t>DUREXFEEL3</t>
  </si>
  <si>
    <t>durex feels 3's</t>
  </si>
  <si>
    <t>6001106226602</t>
  </si>
  <si>
    <t>16001106226609</t>
  </si>
  <si>
    <t>DUREXES3</t>
  </si>
  <si>
    <t>durex extra safe 3's</t>
  </si>
  <si>
    <t>8850163000131</t>
  </si>
  <si>
    <t>05038483130872</t>
  </si>
  <si>
    <t>DUREXCF3</t>
  </si>
  <si>
    <t>durex close fit 3's</t>
  </si>
  <si>
    <t>5010232955196</t>
  </si>
  <si>
    <t>05010232098503</t>
  </si>
  <si>
    <t>DUREXFE3</t>
  </si>
  <si>
    <t>durex featherlite thins 3's</t>
  </si>
  <si>
    <t>8850163000100</t>
  </si>
  <si>
    <t>05038483130933</t>
  </si>
  <si>
    <t>DUREXF3</t>
  </si>
  <si>
    <t>durex featherlite ultima  3's</t>
  </si>
  <si>
    <t>5038483492901</t>
  </si>
  <si>
    <t>05038483492918</t>
  </si>
  <si>
    <t>DUREXI3</t>
  </si>
  <si>
    <t>durex invisible 3's</t>
  </si>
  <si>
    <t>5052197050233</t>
  </si>
  <si>
    <t>05052197050240</t>
  </si>
  <si>
    <t>DUREXL3</t>
  </si>
  <si>
    <t>durex love 3's</t>
  </si>
  <si>
    <t>5038483189177</t>
  </si>
  <si>
    <t>05038483189184</t>
  </si>
  <si>
    <t>DUREXP3</t>
  </si>
  <si>
    <t>durex pleauremax 3's</t>
  </si>
  <si>
    <t>5038483234198</t>
  </si>
  <si>
    <t>05038483234204</t>
  </si>
  <si>
    <t>DUREXRF</t>
  </si>
  <si>
    <t>durex real feel 3's</t>
  </si>
  <si>
    <t>5052197025699</t>
  </si>
  <si>
    <t>05052197025705</t>
  </si>
  <si>
    <t>DUOCLOTH</t>
  </si>
  <si>
    <t>duo cloths 10's</t>
  </si>
  <si>
    <t xml:space="preserve">5011597002129  </t>
  </si>
  <si>
    <t>5011597012128</t>
  </si>
  <si>
    <t>EUCRYLF</t>
  </si>
  <si>
    <t>eucryl toothpowder freshmint</t>
  </si>
  <si>
    <t>5011309895612</t>
  </si>
  <si>
    <t>05011309895728</t>
  </si>
  <si>
    <t>EUCRYLO</t>
  </si>
  <si>
    <t>eucryl toothpowder original</t>
  </si>
  <si>
    <t>5011309895810</t>
  </si>
  <si>
    <t>05011309895926</t>
  </si>
  <si>
    <t>EUCRYLTP</t>
  </si>
  <si>
    <t>eucryl toothpaste</t>
  </si>
  <si>
    <t>5011309895513</t>
  </si>
  <si>
    <t>05011309895520</t>
  </si>
  <si>
    <t>EUTH75</t>
  </si>
  <si>
    <t>euthymol 75ml</t>
  </si>
  <si>
    <t>5010123715175</t>
  </si>
  <si>
    <t>03574661128795</t>
  </si>
  <si>
    <t>E4550</t>
  </si>
  <si>
    <t>e45 cream tube 50g</t>
  </si>
  <si>
    <t>7350087736679</t>
  </si>
  <si>
    <t>17350087736676</t>
  </si>
  <si>
    <t>E45125</t>
  </si>
  <si>
    <t>e45 cream 125g</t>
  </si>
  <si>
    <t>7350087736655</t>
  </si>
  <si>
    <t>17350087736652</t>
  </si>
  <si>
    <t>E453506</t>
  </si>
  <si>
    <t>e45 cream 350g</t>
  </si>
  <si>
    <t>7350087736662</t>
  </si>
  <si>
    <t>17350087736669</t>
  </si>
  <si>
    <t>E45LP6</t>
  </si>
  <si>
    <t>e45 moisturising lotion pump 500ml</t>
  </si>
  <si>
    <t>7350087736617</t>
  </si>
  <si>
    <t>17350087736614</t>
  </si>
  <si>
    <t>ERASSFA</t>
  </si>
  <si>
    <t>erasmic shave foam 250ml aloe</t>
  </si>
  <si>
    <t>5060128983536</t>
  </si>
  <si>
    <t>15060128983533</t>
  </si>
  <si>
    <t>FIXOFS</t>
  </si>
  <si>
    <t>fixodent food seal plus food barrier 40g all day hold flavour free</t>
  </si>
  <si>
    <t>5000174718058</t>
  </si>
  <si>
    <t>4084500143739</t>
  </si>
  <si>
    <t>FIXOPUB40</t>
  </si>
  <si>
    <t>fixodent plus unbeatable bite 40g flavour free</t>
  </si>
  <si>
    <t>8700216594981</t>
  </si>
  <si>
    <t>8700216594974</t>
  </si>
  <si>
    <t>FIXOUFF40</t>
  </si>
  <si>
    <t>fixodent ultimate 40g flavour free</t>
  </si>
  <si>
    <t>8700216597005</t>
  </si>
  <si>
    <t>8700216596978</t>
  </si>
  <si>
    <t>FIXOCF47</t>
  </si>
  <si>
    <t>fixodent complete fresh strong hold fresh flavour 47g</t>
  </si>
  <si>
    <t>8700216596893</t>
  </si>
  <si>
    <t>8700216596916</t>
  </si>
  <si>
    <t>FACEBLACK</t>
  </si>
  <si>
    <t>face cloths bodycare black</t>
  </si>
  <si>
    <t>5011597091444</t>
  </si>
  <si>
    <t>5011597081445</t>
  </si>
  <si>
    <t>FACECERISE</t>
  </si>
  <si>
    <t>face cloths bodycare cerise</t>
  </si>
  <si>
    <t>5011597009098</t>
  </si>
  <si>
    <t>5011597019097</t>
  </si>
  <si>
    <t>FACECREAM</t>
  </si>
  <si>
    <t>face cloths bodycare cream</t>
  </si>
  <si>
    <t>5011597009111</t>
  </si>
  <si>
    <t>5011597019110</t>
  </si>
  <si>
    <t>FACEGREEN</t>
  </si>
  <si>
    <t>face cloths bodycare green</t>
  </si>
  <si>
    <t>5011597008916</t>
  </si>
  <si>
    <t>5011597018915</t>
  </si>
  <si>
    <t>FACELILAC</t>
  </si>
  <si>
    <t>face cloths bodycare lilac</t>
  </si>
  <si>
    <t>5011597009104</t>
  </si>
  <si>
    <t>5011597019103</t>
  </si>
  <si>
    <t>FACENAVY</t>
  </si>
  <si>
    <t>face cloths bodycare navy</t>
  </si>
  <si>
    <t>5011597008947</t>
  </si>
  <si>
    <t>5011597018946</t>
  </si>
  <si>
    <t>FACEOCEANB</t>
  </si>
  <si>
    <t>face cloths bodycare ocean blue</t>
  </si>
  <si>
    <t>5011597008909</t>
  </si>
  <si>
    <t>5011597018908</t>
  </si>
  <si>
    <t>FACEPEACH</t>
  </si>
  <si>
    <t>face cloths bodycacre peach</t>
  </si>
  <si>
    <t>5011597008923</t>
  </si>
  <si>
    <t>5011597018922</t>
  </si>
  <si>
    <t>FACEPINK</t>
  </si>
  <si>
    <t>face cloths bodycare pink</t>
  </si>
  <si>
    <t>5011597008930</t>
  </si>
  <si>
    <t>5011597018939</t>
  </si>
  <si>
    <t>FACEWHITE</t>
  </si>
  <si>
    <t>face cloths body care white</t>
  </si>
  <si>
    <t>5011597008893</t>
  </si>
  <si>
    <t>5011597018892</t>
  </si>
  <si>
    <t>GALPPARACAP</t>
  </si>
  <si>
    <t>galpharm paracetamol caplets 500mg 16's</t>
  </si>
  <si>
    <t>5017353500809</t>
  </si>
  <si>
    <t>05017353111937</t>
  </si>
  <si>
    <t>GALPPARTAB</t>
  </si>
  <si>
    <t>galpharm paracetamol tablets 500mg 16's</t>
  </si>
  <si>
    <t>5017353504760</t>
  </si>
  <si>
    <t>05017353107909</t>
  </si>
  <si>
    <t>GILCLEARGAL</t>
  </si>
  <si>
    <t>gillette clear gel 70ml aloe</t>
  </si>
  <si>
    <t>8001841587684</t>
  </si>
  <si>
    <t>8001841587677</t>
  </si>
  <si>
    <t>GILCLEARGAI</t>
  </si>
  <si>
    <t>gillette clear gel 70ml arctic ice</t>
  </si>
  <si>
    <t>7702018978106</t>
  </si>
  <si>
    <t>7702018978113</t>
  </si>
  <si>
    <t>GILCLEARGCH</t>
  </si>
  <si>
    <t>gillette clear gel 70ml champion gold</t>
  </si>
  <si>
    <t>8700216380775</t>
  </si>
  <si>
    <t>8700216380782</t>
  </si>
  <si>
    <t>GILCLEARGCW</t>
  </si>
  <si>
    <t xml:space="preserve">gillette clear gel 70ml cool wave </t>
  </si>
  <si>
    <t>7702018978120</t>
  </si>
  <si>
    <t>7702018978137</t>
  </si>
  <si>
    <t>GILCLEARGPR</t>
  </si>
  <si>
    <t>gillette clear gel 70ml power rush</t>
  </si>
  <si>
    <t>4015600810849</t>
  </si>
  <si>
    <t>4015600810825</t>
  </si>
  <si>
    <t>GILCLEARGT</t>
  </si>
  <si>
    <t xml:space="preserve">gillette clear gel 70ml sport triumph </t>
  </si>
  <si>
    <t>7702018271788</t>
  </si>
  <si>
    <t>8006540064108</t>
  </si>
  <si>
    <t>GIL2R5</t>
  </si>
  <si>
    <t>gillette 2 razor 5's</t>
  </si>
  <si>
    <t>3014260287030</t>
  </si>
  <si>
    <t>07702018382514</t>
  </si>
  <si>
    <t>GILBIIF5</t>
  </si>
  <si>
    <t>gillette bll fixed 5's carded</t>
  </si>
  <si>
    <t>3014260201753</t>
  </si>
  <si>
    <t>3014260211332</t>
  </si>
  <si>
    <t>GILM3B4</t>
  </si>
  <si>
    <t>gillette mach 3 blades 4's</t>
  </si>
  <si>
    <t>7702018264230</t>
  </si>
  <si>
    <t>07702018264247</t>
  </si>
  <si>
    <t>GILM3T4</t>
  </si>
  <si>
    <t>gillette mach 3 turbo blades 4's</t>
  </si>
  <si>
    <t>7702018263813</t>
  </si>
  <si>
    <t>08001090426918</t>
  </si>
  <si>
    <t>GILM3B8</t>
  </si>
  <si>
    <t>gillette mach 3 blades 8's</t>
  </si>
  <si>
    <t>7702018263783</t>
  </si>
  <si>
    <t>07702018263790</t>
  </si>
  <si>
    <t>GILFB4</t>
  </si>
  <si>
    <t>gillette fusion blades 4's</t>
  </si>
  <si>
    <t xml:space="preserve">7702018851294 </t>
  </si>
  <si>
    <t>07702018851300</t>
  </si>
  <si>
    <t>GILMACR1</t>
  </si>
  <si>
    <t>gillette mach 3 razor 1 up</t>
  </si>
  <si>
    <t>4987176077776</t>
  </si>
  <si>
    <t>80753939</t>
  </si>
  <si>
    <t>GSFR</t>
  </si>
  <si>
    <t>gillette shave foam original 200ml</t>
  </si>
  <si>
    <t>7702018980925</t>
  </si>
  <si>
    <t>07702018980208</t>
  </si>
  <si>
    <t>GSFS</t>
  </si>
  <si>
    <t>gillette shave foam sensitive 200ml</t>
  </si>
  <si>
    <t>7702018980932</t>
  </si>
  <si>
    <t>07702018980222</t>
  </si>
  <si>
    <t>GSF400S</t>
  </si>
  <si>
    <t>gillette shave foam sensitive 400ml</t>
  </si>
  <si>
    <t>8700216497084</t>
  </si>
  <si>
    <t>8700216497077</t>
  </si>
  <si>
    <t>GSGR</t>
  </si>
  <si>
    <t>gillette shave gel regular 200ml</t>
  </si>
  <si>
    <t>7702018980901</t>
  </si>
  <si>
    <t>07702018980154</t>
  </si>
  <si>
    <t>GSGS</t>
  </si>
  <si>
    <t xml:space="preserve">gillette shave gel sensitive 200ml </t>
  </si>
  <si>
    <t>7702018980918</t>
  </si>
  <si>
    <t>07702018980178</t>
  </si>
  <si>
    <t>GSGC</t>
  </si>
  <si>
    <t>gillette shave gel extra comfort mach 3 200ml</t>
  </si>
  <si>
    <t>7702018308309</t>
  </si>
  <si>
    <t>07702018308293</t>
  </si>
  <si>
    <t>GSSGCOND</t>
  </si>
  <si>
    <t>gillette series shave gel moisturising 200ml</t>
  </si>
  <si>
    <t>7702018980833</t>
  </si>
  <si>
    <t>07702018979165</t>
  </si>
  <si>
    <t>GSSGS</t>
  </si>
  <si>
    <t>gillette series shave gel sensitive 200ml</t>
  </si>
  <si>
    <t>7702018980819</t>
  </si>
  <si>
    <t>07702018979103</t>
  </si>
  <si>
    <t>GSSGCC</t>
  </si>
  <si>
    <t>gillette series shave gel cleansing with charcoal 200ml</t>
  </si>
  <si>
    <t>7702018619696</t>
  </si>
  <si>
    <t>07702018619689</t>
  </si>
  <si>
    <t>GOT2BSSGU</t>
  </si>
  <si>
    <t>got2b styling glue ultra 150ml</t>
  </si>
  <si>
    <t xml:space="preserve">5012583206682 </t>
  </si>
  <si>
    <t>05012583508120</t>
  </si>
  <si>
    <t>GOT2BBFS</t>
  </si>
  <si>
    <t>got2b blasting freeze spray 300ml</t>
  </si>
  <si>
    <t>5012583105091</t>
  </si>
  <si>
    <t>05012583502135</t>
  </si>
  <si>
    <t>HUMBCBV100</t>
  </si>
  <si>
    <t>humble bamboo cottonbuds 100's</t>
  </si>
  <si>
    <t>7350075692574</t>
  </si>
  <si>
    <t>17350075692571</t>
  </si>
  <si>
    <t>HALLSMCH</t>
  </si>
  <si>
    <t>halls mentholyptus cherry sf</t>
  </si>
  <si>
    <t>50658053</t>
  </si>
  <si>
    <t>0501455037389</t>
  </si>
  <si>
    <t>HALLSMES</t>
  </si>
  <si>
    <t xml:space="preserve">halls mentholyptus extra strong </t>
  </si>
  <si>
    <t>50985098</t>
  </si>
  <si>
    <t>05034660016182</t>
  </si>
  <si>
    <t>HALLSOSF</t>
  </si>
  <si>
    <t>halls mentholyptus original sugar free</t>
  </si>
  <si>
    <t>50696925</t>
  </si>
  <si>
    <t>05010455064378</t>
  </si>
  <si>
    <t>HALLSDOP</t>
  </si>
  <si>
    <t>halls soothers peach and raspberry</t>
  </si>
  <si>
    <t>5034660508021</t>
  </si>
  <si>
    <t>05034660011842</t>
  </si>
  <si>
    <t>HALLSSOBLK</t>
  </si>
  <si>
    <t xml:space="preserve">halls soothers blackcurrant </t>
  </si>
  <si>
    <t>5010455063142</t>
  </si>
  <si>
    <t>05010455064149</t>
  </si>
  <si>
    <t>HALLSSSOC</t>
  </si>
  <si>
    <t>halls soothers cherry</t>
  </si>
  <si>
    <t>5010455063135</t>
  </si>
  <si>
    <t>05010455064132</t>
  </si>
  <si>
    <t>HALLSSHL</t>
  </si>
  <si>
    <t>halls soothers honey and lemon</t>
  </si>
  <si>
    <t>7622210412539</t>
  </si>
  <si>
    <t>07622210413260</t>
  </si>
  <si>
    <t>HALLSSOOST</t>
  </si>
  <si>
    <t xml:space="preserve">halls soothers strawberry </t>
  </si>
  <si>
    <t>5034660508038</t>
  </si>
  <si>
    <t>05034660011859</t>
  </si>
  <si>
    <t>HAS2502I1</t>
  </si>
  <si>
    <t>head and shoulders 225ml classic clean 2 in 1 pm£2.99</t>
  </si>
  <si>
    <t>4084500663565</t>
  </si>
  <si>
    <t>4084500663572</t>
  </si>
  <si>
    <t>HAS250AF</t>
  </si>
  <si>
    <t>head and shoulders 250ml apple fresh</t>
  </si>
  <si>
    <t>5410076230181</t>
  </si>
  <si>
    <t>05410076230198</t>
  </si>
  <si>
    <t>HAS250C</t>
  </si>
  <si>
    <t>head and shoulders 250ml citrus</t>
  </si>
  <si>
    <t>5410076229468</t>
  </si>
  <si>
    <t>5410076229475</t>
  </si>
  <si>
    <t>HAS250CC</t>
  </si>
  <si>
    <t>head and shoulders 250ml classic clean</t>
  </si>
  <si>
    <t>5410076229994</t>
  </si>
  <si>
    <t>5410076230006</t>
  </si>
  <si>
    <t>HAS250CS</t>
  </si>
  <si>
    <t>head and shoulders 250ml clarify and shine</t>
  </si>
  <si>
    <t>8700216653848</t>
  </si>
  <si>
    <t>8700216653824</t>
  </si>
  <si>
    <t>HAS250DHC</t>
  </si>
  <si>
    <t>head and shoulders 250ml deep hydration coconut 250ml</t>
  </si>
  <si>
    <t>8001841413532</t>
  </si>
  <si>
    <t>08001841413549</t>
  </si>
  <si>
    <t>HAS250IS</t>
  </si>
  <si>
    <t>head and shoulders 250ml itchy scalp</t>
  </si>
  <si>
    <t>5410076498758</t>
  </si>
  <si>
    <t>5410076498772</t>
  </si>
  <si>
    <t>HAS250SS</t>
  </si>
  <si>
    <t>head and shoulders 250ml smooth and silky</t>
  </si>
  <si>
    <t>5410076498642</t>
  </si>
  <si>
    <t>5410076498666</t>
  </si>
  <si>
    <t>HAS250SR</t>
  </si>
  <si>
    <t>head and shoulders 250ml supreme repair</t>
  </si>
  <si>
    <t>8700216031257</t>
  </si>
  <si>
    <t>8700216031202</t>
  </si>
  <si>
    <t>HAS330C2IN1</t>
  </si>
  <si>
    <t>head and shoulders 330ml classic clean 2 in 1</t>
  </si>
  <si>
    <t>8700216214247</t>
  </si>
  <si>
    <t>8700216214230</t>
  </si>
  <si>
    <t>HAS330S2IN1</t>
  </si>
  <si>
    <t>head and shoulders 330ml smooth &amp; silky 2 in 1</t>
  </si>
  <si>
    <t>8700216213370</t>
  </si>
  <si>
    <t>8700216213356</t>
  </si>
  <si>
    <t>HAS330A2IN1</t>
  </si>
  <si>
    <t>head and shoulders 330ml apple fresh 2 in 1</t>
  </si>
  <si>
    <t>8700216214193</t>
  </si>
  <si>
    <t>8700216214186</t>
  </si>
  <si>
    <t>HAS330CF2IN1</t>
  </si>
  <si>
    <t>head and shoulders 330ml citrus fresh 2 in 1</t>
  </si>
  <si>
    <t>8700216214223</t>
  </si>
  <si>
    <t>8700216214209</t>
  </si>
  <si>
    <t>HAS330T2IN1</t>
  </si>
  <si>
    <t>head and shoulders 330ml men's total care 2 in 1</t>
  </si>
  <si>
    <t>8700216158602</t>
  </si>
  <si>
    <t>8700216158572</t>
  </si>
  <si>
    <t>HAS330ANTI</t>
  </si>
  <si>
    <t>head and shoulders 330ml men's anti hairfall</t>
  </si>
  <si>
    <t>HAS400AP</t>
  </si>
  <si>
    <t>head and shoulders 400ml apple</t>
  </si>
  <si>
    <t>8006540810637</t>
  </si>
  <si>
    <t>8006440810651</t>
  </si>
  <si>
    <t>HAS400CC</t>
  </si>
  <si>
    <t>head and shoulders 400ml classic clean</t>
  </si>
  <si>
    <t>5000174990164</t>
  </si>
  <si>
    <t>5000174990171</t>
  </si>
  <si>
    <t>HAS400M</t>
  </si>
  <si>
    <t>head and shoulders 400ml menthol</t>
  </si>
  <si>
    <t>5000174990287</t>
  </si>
  <si>
    <t>5000174990294</t>
  </si>
  <si>
    <t>HAS400SS</t>
  </si>
  <si>
    <t>head and shoulders 400ml smooth &amp; silky</t>
  </si>
  <si>
    <t>8006540811009</t>
  </si>
  <si>
    <t>8006540810996</t>
  </si>
  <si>
    <t>HENARAALOE</t>
  </si>
  <si>
    <t>henna classic aloe vera 480ml</t>
  </si>
  <si>
    <t xml:space="preserve">5026445001179 </t>
  </si>
  <si>
    <t>05000444104321</t>
  </si>
  <si>
    <t>HUGPW6</t>
  </si>
  <si>
    <t>huggies wipes 48's pure</t>
  </si>
  <si>
    <t>5029053582528</t>
  </si>
  <si>
    <t>05029054253373</t>
  </si>
  <si>
    <t>HUGNW64</t>
  </si>
  <si>
    <t>huggies wipes 48's natural</t>
  </si>
  <si>
    <t>5029053584447</t>
  </si>
  <si>
    <t>05029054253434</t>
  </si>
  <si>
    <t>IMPBWI</t>
  </si>
  <si>
    <t>imperial leather body wash 250ml invigorating pm£1.49</t>
  </si>
  <si>
    <t>5000101510991</t>
  </si>
  <si>
    <t>05000101510984</t>
  </si>
  <si>
    <t>IMPBWBS</t>
  </si>
  <si>
    <t>imperial leather body wash 250ml bergamot &amp; sea salt</t>
  </si>
  <si>
    <t>5000101513930</t>
  </si>
  <si>
    <t>05000101513923</t>
  </si>
  <si>
    <t>IMPBWCV</t>
  </si>
  <si>
    <t>imperial leather body wash 250ml cotton &amp; vanilla</t>
  </si>
  <si>
    <t>5000101513978</t>
  </si>
  <si>
    <t>05000101513961</t>
  </si>
  <si>
    <t>IMPBWCE</t>
  </si>
  <si>
    <t xml:space="preserve">imperial leather body wash 250ml cypress &amp; eucalyptus </t>
  </si>
  <si>
    <t>5000101513954</t>
  </si>
  <si>
    <t>05000101513947</t>
  </si>
  <si>
    <t>IMPBWFL</t>
  </si>
  <si>
    <t>imperial leather body wash 250ml floral &amp; nectar</t>
  </si>
  <si>
    <t>5000101513916</t>
  </si>
  <si>
    <t>05000101513909</t>
  </si>
  <si>
    <t>IMPBWMR</t>
  </si>
  <si>
    <t>imperial leather body wash 250ml mallow &amp; rose milk</t>
  </si>
  <si>
    <t>5000101513992</t>
  </si>
  <si>
    <t>05000101513985</t>
  </si>
  <si>
    <t>IMPBWMN</t>
  </si>
  <si>
    <t>imperial leather body wash 250ml mandarin &amp; neroli</t>
  </si>
  <si>
    <t>5000101514012</t>
  </si>
  <si>
    <t>05000101514005</t>
  </si>
  <si>
    <t>IMPBWRF</t>
  </si>
  <si>
    <t>imperial leather body wash 250ml rose &amp; frankincense</t>
  </si>
  <si>
    <t>5000101514487</t>
  </si>
  <si>
    <t>05000101514470</t>
  </si>
  <si>
    <t>IMPS100</t>
  </si>
  <si>
    <t>imperial leather soap 90g original twin pack</t>
  </si>
  <si>
    <t>5000101513848</t>
  </si>
  <si>
    <t>05000101513831</t>
  </si>
  <si>
    <t>IMPS100G</t>
  </si>
  <si>
    <t>imperial leather soap 90g gentle twin pack</t>
  </si>
  <si>
    <t>5000101513862</t>
  </si>
  <si>
    <t>05000101513855</t>
  </si>
  <si>
    <t>IMPS4GEN</t>
  </si>
  <si>
    <t>imperial leather soap 90g gentle 4 pack</t>
  </si>
  <si>
    <t>IMPS4ORIG</t>
  </si>
  <si>
    <t>imperial leather soap 110g classic original 4 pack</t>
  </si>
  <si>
    <t>6297000323060</t>
  </si>
  <si>
    <t>-</t>
  </si>
  <si>
    <t>IMPS190F</t>
  </si>
  <si>
    <t>imperial leather soap 190g classic original 6 pack large family bar</t>
  </si>
  <si>
    <t>8850169047024</t>
  </si>
  <si>
    <t>18850169047021</t>
  </si>
  <si>
    <t>IMPPSGEN</t>
  </si>
  <si>
    <t>imperial leather pump soap 300ml gentle</t>
  </si>
  <si>
    <t>5000101514661</t>
  </si>
  <si>
    <t>05000101514654</t>
  </si>
  <si>
    <t>IMPPSORIG</t>
  </si>
  <si>
    <t>imperial leather pump soap 300ml original</t>
  </si>
  <si>
    <t>5000101514685</t>
  </si>
  <si>
    <t>05000101514678</t>
  </si>
  <si>
    <t>IMPFE</t>
  </si>
  <si>
    <t xml:space="preserve">imperial leather foamburst 200ml bergamot &amp; sea mineral </t>
  </si>
  <si>
    <t>5000101510212</t>
  </si>
  <si>
    <t>05000101510205</t>
  </si>
  <si>
    <t>IMPFC</t>
  </si>
  <si>
    <t xml:space="preserve">imperial leather foamburst 200ml cotton flower &amp; vanilla </t>
  </si>
  <si>
    <t>5000101510236</t>
  </si>
  <si>
    <t>05000101510229</t>
  </si>
  <si>
    <t>IMPFVCS</t>
  </si>
  <si>
    <t>imperial leather foamburst 200ml cherry &amp; snow blossom</t>
  </si>
  <si>
    <t>5000101517983</t>
  </si>
  <si>
    <t>05000101517976</t>
  </si>
  <si>
    <t>IMPFN</t>
  </si>
  <si>
    <t xml:space="preserve">imperial leather foamburst 200ml nourishing lychee &amp; lotus flower </t>
  </si>
  <si>
    <t>5000101510199</t>
  </si>
  <si>
    <t>05000101510182</t>
  </si>
  <si>
    <t>IMPFP</t>
  </si>
  <si>
    <t>imperial leather foamburst 200ml mallow &amp; rose milk</t>
  </si>
  <si>
    <t>5000101510250</t>
  </si>
  <si>
    <t>05000101510243</t>
  </si>
  <si>
    <t>IMPFR</t>
  </si>
  <si>
    <t>imperial leather foamburst 200ml blackcurrant &amp; passion fruit</t>
  </si>
  <si>
    <t>5000101510175</t>
  </si>
  <si>
    <t>05000101510168</t>
  </si>
  <si>
    <t>IMPBSBS</t>
  </si>
  <si>
    <t xml:space="preserve">impulse body spray 75ml be surprised </t>
  </si>
  <si>
    <t>8712561228985</t>
  </si>
  <si>
    <t>08712561229135</t>
  </si>
  <si>
    <t>IMPBSGL</t>
  </si>
  <si>
    <t>impulse body spray 75ml glamour</t>
  </si>
  <si>
    <t xml:space="preserve">8718114233000 </t>
  </si>
  <si>
    <t>08718114233017</t>
  </si>
  <si>
    <t>IMPBSIC</t>
  </si>
  <si>
    <t>impulse body spray 75ml instant crush</t>
  </si>
  <si>
    <t>8710908678615</t>
  </si>
  <si>
    <t>08710908678639</t>
  </si>
  <si>
    <t>IMPBSM</t>
  </si>
  <si>
    <t>impulse body spray 75ml musk</t>
  </si>
  <si>
    <t>8717163058015</t>
  </si>
  <si>
    <t>08717163057995</t>
  </si>
  <si>
    <t>IMPBST</t>
  </si>
  <si>
    <t>impulse body spray 75ml tease</t>
  </si>
  <si>
    <t xml:space="preserve">8717163020524 </t>
  </si>
  <si>
    <t>08717163020500</t>
  </si>
  <si>
    <t>IMPBSTL</t>
  </si>
  <si>
    <t>impulse body spray 75ml true love</t>
  </si>
  <si>
    <t>8717644367209</t>
  </si>
  <si>
    <t>08717644367513</t>
  </si>
  <si>
    <t>IMPBSVP</t>
  </si>
  <si>
    <t>impulse body spray 75ml very pink</t>
  </si>
  <si>
    <t>8711600323520</t>
  </si>
  <si>
    <t>08711600323544</t>
  </si>
  <si>
    <t>INECTBL5A</t>
  </si>
  <si>
    <t>inecto naturals body lotion 500ml aloe vera</t>
  </si>
  <si>
    <t>5012008740005</t>
  </si>
  <si>
    <t>05012008740012</t>
  </si>
  <si>
    <t>JAKESC73</t>
  </si>
  <si>
    <t>jakemans spiced cola soothing menthol sweet 73g</t>
  </si>
  <si>
    <t>5030104005453</t>
  </si>
  <si>
    <t>05030104005460</t>
  </si>
  <si>
    <t>JJTBCM</t>
  </si>
  <si>
    <t>j &amp; j reach listerine toothbrush control medium</t>
  </si>
  <si>
    <t>8801051127218</t>
  </si>
  <si>
    <t>38801051127219</t>
  </si>
  <si>
    <t>JJTBITM</t>
  </si>
  <si>
    <t>j &amp; j reach listerine toothbrush interdental twin medium</t>
  </si>
  <si>
    <t>8801051111859</t>
  </si>
  <si>
    <t>38801051111850</t>
  </si>
  <si>
    <t>JJBW4SN</t>
  </si>
  <si>
    <t>j &amp; j bodywash 400ml soft &amp; nourish</t>
  </si>
  <si>
    <t>3574661384627</t>
  </si>
  <si>
    <t>JJBW4SE</t>
  </si>
  <si>
    <t>j &amp; j bodywash 400ml soft &amp; energise</t>
  </si>
  <si>
    <t>3574661384580</t>
  </si>
  <si>
    <t>3574661384603</t>
  </si>
  <si>
    <t>JJBW4SP</t>
  </si>
  <si>
    <t>j &amp; j bodywash 400ml soft &amp; pamper</t>
  </si>
  <si>
    <t>3574661384665</t>
  </si>
  <si>
    <t>3574661384689</t>
  </si>
  <si>
    <t>JJSH</t>
  </si>
  <si>
    <t>j &amp; j baby honey soap 2's</t>
  </si>
  <si>
    <t>3574661867991</t>
  </si>
  <si>
    <t>03574661868806</t>
  </si>
  <si>
    <t>JJB100</t>
  </si>
  <si>
    <t>j &amp; j buds 100's</t>
  </si>
  <si>
    <t>3574661626857</t>
  </si>
  <si>
    <t>3574661626864</t>
  </si>
  <si>
    <t>JJB200</t>
  </si>
  <si>
    <t>j &amp; j buds 200's</t>
  </si>
  <si>
    <t>3574661440477</t>
  </si>
  <si>
    <t>03574661464923</t>
  </si>
  <si>
    <t>JJBO200</t>
  </si>
  <si>
    <t xml:space="preserve">j &amp; j oil 200ml </t>
  </si>
  <si>
    <t>3574669909594</t>
  </si>
  <si>
    <t>3574661463834</t>
  </si>
  <si>
    <t>JJBO300</t>
  </si>
  <si>
    <t xml:space="preserve">j &amp; j oil 300ml </t>
  </si>
  <si>
    <t>3574669909143</t>
  </si>
  <si>
    <t>3574661463865</t>
  </si>
  <si>
    <t>JJBO300CT</t>
  </si>
  <si>
    <t>j &amp; j oil 300ml cotton touch</t>
  </si>
  <si>
    <t>3574669909891</t>
  </si>
  <si>
    <t>3574661464800</t>
  </si>
  <si>
    <t>JJBOE500</t>
  </si>
  <si>
    <t>j &amp; j oil 500ml essential</t>
  </si>
  <si>
    <t>3574661724218</t>
  </si>
  <si>
    <t>3574661724249</t>
  </si>
  <si>
    <t>JJBO500</t>
  </si>
  <si>
    <t xml:space="preserve">j &amp; j oil 500ml </t>
  </si>
  <si>
    <t>3574669909105</t>
  </si>
  <si>
    <t>3574661463971</t>
  </si>
  <si>
    <t>JJBB300150</t>
  </si>
  <si>
    <t>j &amp; j bath 300ml pm£1.50</t>
  </si>
  <si>
    <t>3574661730783</t>
  </si>
  <si>
    <t>3574661730844</t>
  </si>
  <si>
    <t>JJBB500</t>
  </si>
  <si>
    <t xml:space="preserve">j &amp; j bath 500ml </t>
  </si>
  <si>
    <t>3574669908528</t>
  </si>
  <si>
    <t>3574661449166</t>
  </si>
  <si>
    <t>JJBB750</t>
  </si>
  <si>
    <t>j &amp; j bath 750ml</t>
  </si>
  <si>
    <t>3574669908511</t>
  </si>
  <si>
    <t>3574661449401</t>
  </si>
  <si>
    <t>JJBP200</t>
  </si>
  <si>
    <t>j &amp; j natural baby powder 200g</t>
  </si>
  <si>
    <t>3574661728131</t>
  </si>
  <si>
    <t>03574661728148</t>
  </si>
  <si>
    <t>JJBP400</t>
  </si>
  <si>
    <t>j &amp; j natural baby powder 400g</t>
  </si>
  <si>
    <t>3574661728216</t>
  </si>
  <si>
    <t>03574661728223</t>
  </si>
  <si>
    <t>JJBL300</t>
  </si>
  <si>
    <t xml:space="preserve">j &amp; j baby lotion 300ml </t>
  </si>
  <si>
    <t>3574669908085</t>
  </si>
  <si>
    <t>3574661494425</t>
  </si>
  <si>
    <t>JJBL500</t>
  </si>
  <si>
    <t xml:space="preserve">j &amp; j baby lotion 500ml </t>
  </si>
  <si>
    <t>3574669908108</t>
  </si>
  <si>
    <t>3574661448916</t>
  </si>
  <si>
    <t>JJBSO300</t>
  </si>
  <si>
    <t xml:space="preserve">j &amp; j shampoo 300ml </t>
  </si>
  <si>
    <t>3574669907873</t>
  </si>
  <si>
    <t>3574661443287</t>
  </si>
  <si>
    <t>JJBSO500</t>
  </si>
  <si>
    <t xml:space="preserve">j &amp; j shampoo 500ml </t>
  </si>
  <si>
    <t xml:space="preserve">3574669907903 </t>
  </si>
  <si>
    <t>3574661442815</t>
  </si>
  <si>
    <t>JJBSO750</t>
  </si>
  <si>
    <t xml:space="preserve">j &amp; j shampoo 750ml </t>
  </si>
  <si>
    <t>3574669907927</t>
  </si>
  <si>
    <t>3574661443119</t>
  </si>
  <si>
    <t>JJBTTW500</t>
  </si>
  <si>
    <t xml:space="preserve">j &amp; j baby top to toe wash 500ml pump </t>
  </si>
  <si>
    <t>3574669909945</t>
  </si>
  <si>
    <t>3574661448763</t>
  </si>
  <si>
    <t>JOLFHRK</t>
  </si>
  <si>
    <t>jolen facial hair remover kit</t>
  </si>
  <si>
    <t>5060128985646</t>
  </si>
  <si>
    <t>15060128985643</t>
  </si>
  <si>
    <t>JOLFSW16</t>
  </si>
  <si>
    <t>jolen facial wax strips 16's</t>
  </si>
  <si>
    <t>5060128980566</t>
  </si>
  <si>
    <t>15060128980563</t>
  </si>
  <si>
    <t>JOLM30</t>
  </si>
  <si>
    <t>jolen cream bleach 30ml mild</t>
  </si>
  <si>
    <t xml:space="preserve">5060128982737 </t>
  </si>
  <si>
    <t>15060128982611</t>
  </si>
  <si>
    <t>JOLR30</t>
  </si>
  <si>
    <t>jolen cream bleach 30ml regular</t>
  </si>
  <si>
    <t xml:space="preserve">5060128982751 </t>
  </si>
  <si>
    <t>15060128982390</t>
  </si>
  <si>
    <t>JOLM125</t>
  </si>
  <si>
    <t>jolen cream bleach 125ml mild</t>
  </si>
  <si>
    <t xml:space="preserve">5060128982720 </t>
  </si>
  <si>
    <t>15060128982727</t>
  </si>
  <si>
    <t>JOLR125</t>
  </si>
  <si>
    <t>jolen cream bleach 125ml regular</t>
  </si>
  <si>
    <t xml:space="preserve">5060128982744 </t>
  </si>
  <si>
    <t>15060128982741</t>
  </si>
  <si>
    <t>JFMBMB</t>
  </si>
  <si>
    <t>just for men beard medium brown m35</t>
  </si>
  <si>
    <t>5010934002730</t>
  </si>
  <si>
    <t>05010934700759</t>
  </si>
  <si>
    <t>JFMBRB</t>
  </si>
  <si>
    <t>just for men beard dark brown m45</t>
  </si>
  <si>
    <t>5010934002747</t>
  </si>
  <si>
    <t>05010934700766</t>
  </si>
  <si>
    <t>JFMBB</t>
  </si>
  <si>
    <t>just for men beard real black m55</t>
  </si>
  <si>
    <t>5010934002754</t>
  </si>
  <si>
    <t>05010934700773</t>
  </si>
  <si>
    <t>JFMLB</t>
  </si>
  <si>
    <t>just for men light brown h25</t>
  </si>
  <si>
    <t>5010934001795</t>
  </si>
  <si>
    <t>05010934500076</t>
  </si>
  <si>
    <t>JFMMB</t>
  </si>
  <si>
    <t>just for men medium brown h35</t>
  </si>
  <si>
    <t>5010934001856</t>
  </si>
  <si>
    <t>05010934500083</t>
  </si>
  <si>
    <t>JFMDBB</t>
  </si>
  <si>
    <t>just for men dark brown black h45</t>
  </si>
  <si>
    <t>5010934001849</t>
  </si>
  <si>
    <t>05010934500090</t>
  </si>
  <si>
    <t>JFMRB</t>
  </si>
  <si>
    <t>just for men real black h55</t>
  </si>
  <si>
    <t>5010934002174</t>
  </si>
  <si>
    <t>05010934500106</t>
  </si>
  <si>
    <t>KMT100</t>
  </si>
  <si>
    <t>kleenex extra large tissues  new</t>
  </si>
  <si>
    <t>5029053570129</t>
  </si>
  <si>
    <t>5029054224021</t>
  </si>
  <si>
    <t>KOTEXMN10</t>
  </si>
  <si>
    <t xml:space="preserve">kotex maxi nighttime 10’s </t>
  </si>
  <si>
    <t>5029053586090</t>
  </si>
  <si>
    <t>05029054253984</t>
  </si>
  <si>
    <t>KOTEXMS16</t>
  </si>
  <si>
    <t>kotex maxi super 16's</t>
  </si>
  <si>
    <t>5029053500294</t>
  </si>
  <si>
    <t>05029054212288</t>
  </si>
  <si>
    <t>KOTEXMN18</t>
  </si>
  <si>
    <t>kotex maxi normal 18's</t>
  </si>
  <si>
    <t>5029053500287</t>
  </si>
  <si>
    <t>05029054212301</t>
  </si>
  <si>
    <t>LASERP10</t>
  </si>
  <si>
    <t>laser pillar pack double edge blade 10's</t>
  </si>
  <si>
    <t>5015911101475</t>
  </si>
  <si>
    <t>LILLR10</t>
  </si>
  <si>
    <t>lillets regular 10's</t>
  </si>
  <si>
    <t>5025971100288</t>
  </si>
  <si>
    <t>05025971205563</t>
  </si>
  <si>
    <t>LILLS10</t>
  </si>
  <si>
    <t>lillets super 10's</t>
  </si>
  <si>
    <t>5025971100295</t>
  </si>
  <si>
    <t>05025971205570</t>
  </si>
  <si>
    <t>LILLSP</t>
  </si>
  <si>
    <t xml:space="preserve">lillets super plus 10's </t>
  </si>
  <si>
    <t>5025971100233</t>
  </si>
  <si>
    <t>05025971205587</t>
  </si>
  <si>
    <t>LUXSST</t>
  </si>
  <si>
    <t>lux soap 80g soft touch 3 pack</t>
  </si>
  <si>
    <t>8886467064357</t>
  </si>
  <si>
    <t>18886467064354</t>
  </si>
  <si>
    <t>LUXSVT</t>
  </si>
  <si>
    <t>lux soap 80g velvet touch 3 pack</t>
  </si>
  <si>
    <t>8886467064364</t>
  </si>
  <si>
    <t>18886467064361</t>
  </si>
  <si>
    <t>LUXSBI</t>
  </si>
  <si>
    <t>lux soap 80g bright impress 3 pack</t>
  </si>
  <si>
    <t>8886467064388</t>
  </si>
  <si>
    <t>18886467064385</t>
  </si>
  <si>
    <t>LUXSMS</t>
  </si>
  <si>
    <t>lux soap 80g magic spell 3 pack</t>
  </si>
  <si>
    <t>8886467064340</t>
  </si>
  <si>
    <t>18886467064347</t>
  </si>
  <si>
    <t>LUXSAS</t>
  </si>
  <si>
    <t>lux soap 80g aqua sparkle 3 pack</t>
  </si>
  <si>
    <t>8886467064371</t>
  </si>
  <si>
    <t>18886467064378</t>
  </si>
  <si>
    <t>LIST250SP</t>
  </si>
  <si>
    <t>listerine spearmint 250ml</t>
  </si>
  <si>
    <t>3574661684284</t>
  </si>
  <si>
    <t>03574661684376</t>
  </si>
  <si>
    <t>LIST250MM</t>
  </si>
  <si>
    <t>listerine mild n minty 250ml</t>
  </si>
  <si>
    <t xml:space="preserve">3574661684291 </t>
  </si>
  <si>
    <t>03574661684390</t>
  </si>
  <si>
    <t>LIST250CM</t>
  </si>
  <si>
    <t>listerine coolmint 250ml</t>
  </si>
  <si>
    <t>5010123703509</t>
  </si>
  <si>
    <t>03574880835283</t>
  </si>
  <si>
    <t>LIST250F</t>
  </si>
  <si>
    <t>listerine freshburst 250ml</t>
  </si>
  <si>
    <t>5010123703431</t>
  </si>
  <si>
    <t>03574660635348</t>
  </si>
  <si>
    <t>LIST25SW</t>
  </si>
  <si>
    <t>listerine stay white 250ml</t>
  </si>
  <si>
    <t>5010123726614</t>
  </si>
  <si>
    <t>05010123819026</t>
  </si>
  <si>
    <t>LIST25TC</t>
  </si>
  <si>
    <t>listerine total care 250ml</t>
  </si>
  <si>
    <t xml:space="preserve">5010123730215 </t>
  </si>
  <si>
    <t xml:space="preserve">05010123821807 </t>
  </si>
  <si>
    <t>LIST500MM</t>
  </si>
  <si>
    <t>listerine mild n minty 500ml</t>
  </si>
  <si>
    <t>3574661684321</t>
  </si>
  <si>
    <t>03574661684451</t>
  </si>
  <si>
    <t>LIST500L&amp;M</t>
  </si>
  <si>
    <t>listerine fresh lime &amp; mint 500ml</t>
  </si>
  <si>
    <t>3574661684307</t>
  </si>
  <si>
    <t>03574661684413</t>
  </si>
  <si>
    <t>LIST500SPEAR</t>
  </si>
  <si>
    <t>listerine spearmint 500ml</t>
  </si>
  <si>
    <t>3574661684314</t>
  </si>
  <si>
    <t>03574661684437</t>
  </si>
  <si>
    <t>LIST500C</t>
  </si>
  <si>
    <t>listerine coolmint 500ml</t>
  </si>
  <si>
    <t>5010123703585</t>
  </si>
  <si>
    <t>3574660635249</t>
  </si>
  <si>
    <t>LIST500F</t>
  </si>
  <si>
    <t>listerine freshburst 500ml</t>
  </si>
  <si>
    <t>5010123703547</t>
  </si>
  <si>
    <t>3574660635324</t>
  </si>
  <si>
    <t>LIST500CZ</t>
  </si>
  <si>
    <t>listerine coolmint zero 500ml</t>
  </si>
  <si>
    <t>3574660649895</t>
  </si>
  <si>
    <t>03574660649901</t>
  </si>
  <si>
    <t>LIST500MPG</t>
  </si>
  <si>
    <t>listerine multi protect gum 500ml</t>
  </si>
  <si>
    <t>3574661684345</t>
  </si>
  <si>
    <t>3574661684499</t>
  </si>
  <si>
    <t>LIST500T</t>
  </si>
  <si>
    <t>listerine total care 500ml</t>
  </si>
  <si>
    <t>5010123730222</t>
  </si>
  <si>
    <t>05010123821814</t>
  </si>
  <si>
    <t>LIST5TCZ</t>
  </si>
  <si>
    <t>listerine total care zero 500ml</t>
  </si>
  <si>
    <t>3574660676518</t>
  </si>
  <si>
    <t>03574660676525</t>
  </si>
  <si>
    <t>LYNXBSTWINA</t>
  </si>
  <si>
    <t>lynx body spray africa twin pack 3 x 2 150ml</t>
  </si>
  <si>
    <t>8720181545696</t>
  </si>
  <si>
    <t>08720181545702</t>
  </si>
  <si>
    <t>LYNX2APAF</t>
  </si>
  <si>
    <t>lynx apa spray 200ml africa</t>
  </si>
  <si>
    <t>8712561018630</t>
  </si>
  <si>
    <t>08712561018647</t>
  </si>
  <si>
    <t>LYNX2APE</t>
  </si>
  <si>
    <t>lynx apa spray 200ml epic</t>
  </si>
  <si>
    <t>8720181208393</t>
  </si>
  <si>
    <t>08720181208409</t>
  </si>
  <si>
    <t>LYNX2BSG</t>
  </si>
  <si>
    <t>lynx body spray xl 200ml gold</t>
  </si>
  <si>
    <t>8710447249055</t>
  </si>
  <si>
    <t>08710447249284</t>
  </si>
  <si>
    <t>LYNXSGA</t>
  </si>
  <si>
    <t>lynx shower gel 225ml africa</t>
  </si>
  <si>
    <t>8720181079160</t>
  </si>
  <si>
    <t>08720181079344</t>
  </si>
  <si>
    <t>LYNXSGB</t>
  </si>
  <si>
    <t>lynx shower gel 225ml black</t>
  </si>
  <si>
    <t>8720181079177</t>
  </si>
  <si>
    <t>08720181079368</t>
  </si>
  <si>
    <t>LYNXSGBL</t>
  </si>
  <si>
    <t>lynx shower gel 225ml blue lavender</t>
  </si>
  <si>
    <t>8720181598777</t>
  </si>
  <si>
    <t>08720181598852</t>
  </si>
  <si>
    <t>LYNXSGDT</t>
  </si>
  <si>
    <t>lynx shower gel 225ml dark temptation</t>
  </si>
  <si>
    <t>8720181079139</t>
  </si>
  <si>
    <t>08720181079283</t>
  </si>
  <si>
    <t>LYNXSGE</t>
  </si>
  <si>
    <t>lynx shower gel 225ml excite</t>
  </si>
  <si>
    <t>8720181079153</t>
  </si>
  <si>
    <t>08720181079320</t>
  </si>
  <si>
    <t>LYNXSGEF</t>
  </si>
  <si>
    <t>lynx shower gel 225ml epic fresh</t>
  </si>
  <si>
    <t>8720181204067</t>
  </si>
  <si>
    <t>08720181204135</t>
  </si>
  <si>
    <t>LYNXSGG</t>
  </si>
  <si>
    <t>lynx shower gel 225ml gold</t>
  </si>
  <si>
    <t>8720181079184</t>
  </si>
  <si>
    <t>08720181079382</t>
  </si>
  <si>
    <t>LYNXSGIC</t>
  </si>
  <si>
    <t>lynx shower gel 225ml ice chill</t>
  </si>
  <si>
    <t>8720181079245</t>
  </si>
  <si>
    <t>08720181079504</t>
  </si>
  <si>
    <t>LYNXSGJF</t>
  </si>
  <si>
    <t>lynx shower gel 225ml jungle fresh</t>
  </si>
  <si>
    <t>8720181442780</t>
  </si>
  <si>
    <t>08720181442797</t>
  </si>
  <si>
    <t>LYNXSGSF</t>
  </si>
  <si>
    <t>lynx shower gel 225ml sunset fresh</t>
  </si>
  <si>
    <t>8720181605666</t>
  </si>
  <si>
    <t>08720181605697</t>
  </si>
  <si>
    <t>LYNX5SGJF</t>
  </si>
  <si>
    <t>lynx shower gel 500ml jungle fresh</t>
  </si>
  <si>
    <t>8720181442766</t>
  </si>
  <si>
    <t>08720181442810</t>
  </si>
  <si>
    <t>LYNXGIFTBSSG</t>
  </si>
  <si>
    <t>lynx twin africa gift set - 225ml shower &amp; 150ml deo spray</t>
  </si>
  <si>
    <t>8720181652455</t>
  </si>
  <si>
    <t>2752669030000</t>
  </si>
  <si>
    <t>LYPST30O</t>
  </si>
  <si>
    <t>lypsyl tower 30's original</t>
  </si>
  <si>
    <t>96097274</t>
  </si>
  <si>
    <t>5036631000725</t>
  </si>
  <si>
    <t>LYPSCHAL</t>
  </si>
  <si>
    <t>lypsyl tube cherry &amp; almond spf15 carded</t>
  </si>
  <si>
    <t>96097250</t>
  </si>
  <si>
    <t>5036631000763</t>
  </si>
  <si>
    <t>LYPSCOAL</t>
  </si>
  <si>
    <t>lypsyl tube coconut &amp; almond spf15 carded</t>
  </si>
  <si>
    <t>96143889</t>
  </si>
  <si>
    <t>5036631002637</t>
  </si>
  <si>
    <t>LYPSSTPO</t>
  </si>
  <si>
    <t>lypsyl tube strawberry &amp; pomegranate spf15 carded</t>
  </si>
  <si>
    <t>96097267</t>
  </si>
  <si>
    <t>6036631000718</t>
  </si>
  <si>
    <t>LYPSMIXED</t>
  </si>
  <si>
    <t>lyspyl mixed hanging card spf15 (original, strawberry/pomegrante, cherry/almond)</t>
  </si>
  <si>
    <t>5036631000770</t>
  </si>
  <si>
    <t>05036631001371</t>
  </si>
  <si>
    <t>MACW100</t>
  </si>
  <si>
    <t>macleans white and shine 100ml toothpaste</t>
  </si>
  <si>
    <t>MENT75CP</t>
  </si>
  <si>
    <t>mentadent 75ml toothpaste cavity protection</t>
  </si>
  <si>
    <t>8720181406645</t>
  </si>
  <si>
    <t>08720181406676</t>
  </si>
  <si>
    <t>MENT7FPF</t>
  </si>
  <si>
    <t>mentadent 75ml toothpaste protect + freshen</t>
  </si>
  <si>
    <t>8720181406669</t>
  </si>
  <si>
    <t>08720181406713</t>
  </si>
  <si>
    <t>MENT75PW</t>
  </si>
  <si>
    <t>mentadent 75ml toothpaste protect + whitening</t>
  </si>
  <si>
    <t>8720181406652</t>
  </si>
  <si>
    <t>08720181406690</t>
  </si>
  <si>
    <t>MILKMAG</t>
  </si>
  <si>
    <t>milk of magnesia 200ml</t>
  </si>
  <si>
    <t>5012616291791</t>
  </si>
  <si>
    <t>05012616113949</t>
  </si>
  <si>
    <t>MARIS</t>
  </si>
  <si>
    <t>marigold kitchen rubber gloves small</t>
  </si>
  <si>
    <t>5010232991484</t>
  </si>
  <si>
    <t>05010232037106</t>
  </si>
  <si>
    <t>MARIM</t>
  </si>
  <si>
    <t>marigold kitchen rubber gloves medium</t>
  </si>
  <si>
    <t>5010232991477</t>
  </si>
  <si>
    <t>05010232037113</t>
  </si>
  <si>
    <t>MARIL</t>
  </si>
  <si>
    <t>marigold kitchen rubber gloves large</t>
  </si>
  <si>
    <t xml:space="preserve">5010232991460 </t>
  </si>
  <si>
    <t>05010232037120</t>
  </si>
  <si>
    <t>MRMUSB</t>
  </si>
  <si>
    <t>mr muscle bathroom trigger 750ml</t>
  </si>
  <si>
    <t>5000204043945</t>
  </si>
  <si>
    <t>05000204043938</t>
  </si>
  <si>
    <t>MRMUSK</t>
  </si>
  <si>
    <t>mr muscle kitchen trigger 750ml</t>
  </si>
  <si>
    <t xml:space="preserve">5000204043976 </t>
  </si>
  <si>
    <t>05000204043969</t>
  </si>
  <si>
    <t>MRMUSS</t>
  </si>
  <si>
    <t>mr muscle shower trigger 750ml</t>
  </si>
  <si>
    <t>5000204061345</t>
  </si>
  <si>
    <t>05000204061338</t>
  </si>
  <si>
    <t>MRMUSOV</t>
  </si>
  <si>
    <t>mr muscle oven cleaner 300ml</t>
  </si>
  <si>
    <t xml:space="preserve">5000204890938 </t>
  </si>
  <si>
    <t>05000204205602</t>
  </si>
  <si>
    <t>MUMROMI</t>
  </si>
  <si>
    <t>mum roll on men apline mist 45ml</t>
  </si>
  <si>
    <t>60085948</t>
  </si>
  <si>
    <t>6001022005275</t>
  </si>
  <si>
    <t>MLMOGH</t>
  </si>
  <si>
    <t>my little miracle baby oil gel honey &amp; vit e 200ml</t>
  </si>
  <si>
    <t>5061015252001</t>
  </si>
  <si>
    <t>15061015252008</t>
  </si>
  <si>
    <t>MLMOGL</t>
  </si>
  <si>
    <t>my little miracle baby oil gel lavender &amp; chamomile 200ml</t>
  </si>
  <si>
    <t>5061015252018</t>
  </si>
  <si>
    <t>15061015252015</t>
  </si>
  <si>
    <t>MLMOGS</t>
  </si>
  <si>
    <t>my little miracle baby oil gel shea &amp; cocoa butter 200ml</t>
  </si>
  <si>
    <t>5061015252025</t>
  </si>
  <si>
    <t>15061015252022</t>
  </si>
  <si>
    <t>NAILBRUS20</t>
  </si>
  <si>
    <t>nail brushes 20's</t>
  </si>
  <si>
    <t>5011597092144</t>
  </si>
  <si>
    <t>05011597533753</t>
  </si>
  <si>
    <t>NPR</t>
  </si>
  <si>
    <t>nail polish remover 250ml</t>
  </si>
  <si>
    <t>5037741980013</t>
  </si>
  <si>
    <t>05037741980013</t>
  </si>
  <si>
    <t>NPR4</t>
  </si>
  <si>
    <t>nail polish remover 400ml</t>
  </si>
  <si>
    <t>5037741990449</t>
  </si>
  <si>
    <t>05037741990449</t>
  </si>
  <si>
    <t>NPRA</t>
  </si>
  <si>
    <t>nail polish remover acetone free 250ml</t>
  </si>
  <si>
    <t>5037741990456</t>
  </si>
  <si>
    <t>05037741990456</t>
  </si>
  <si>
    <t>NAIRM</t>
  </si>
  <si>
    <t>nair 100ml moisture</t>
  </si>
  <si>
    <t>5010724526361</t>
  </si>
  <si>
    <t>05010724826362</t>
  </si>
  <si>
    <t>NAIRS</t>
  </si>
  <si>
    <t>nair 100ml sensitive</t>
  </si>
  <si>
    <t>5010724826385</t>
  </si>
  <si>
    <t>05010724826386</t>
  </si>
  <si>
    <t>NAIRBIK</t>
  </si>
  <si>
    <t xml:space="preserve">nair 100ml nair bikini and underarm cream </t>
  </si>
  <si>
    <t>5010724526378</t>
  </si>
  <si>
    <t>05010724826379</t>
  </si>
  <si>
    <t>NAIR150S</t>
  </si>
  <si>
    <t>nair 150ml cream sensitive</t>
  </si>
  <si>
    <t>5010724527986</t>
  </si>
  <si>
    <t>05010724827987</t>
  </si>
  <si>
    <t>NEUTRAGO</t>
  </si>
  <si>
    <t>neutradol original gel</t>
  </si>
  <si>
    <t xml:space="preserve">5013912359345 </t>
  </si>
  <si>
    <t xml:space="preserve">05013912571563 </t>
  </si>
  <si>
    <t>NEUTRAGF</t>
  </si>
  <si>
    <t>neutradol fresh gel</t>
  </si>
  <si>
    <t xml:space="preserve">5013912900066 </t>
  </si>
  <si>
    <t>05013912900080</t>
  </si>
  <si>
    <t>NEUTRAGP</t>
  </si>
  <si>
    <t>neutradol pink gel</t>
  </si>
  <si>
    <t xml:space="preserve">5013912909403 </t>
  </si>
  <si>
    <t>05013912909304</t>
  </si>
  <si>
    <t>NEUTRASO</t>
  </si>
  <si>
    <t>neutradol spray 300ml original</t>
  </si>
  <si>
    <t xml:space="preserve">5013912208001 </t>
  </si>
  <si>
    <t>05013912103900</t>
  </si>
  <si>
    <t>NEUTRASF</t>
  </si>
  <si>
    <t>neutradol spray 300ml fresh</t>
  </si>
  <si>
    <t>5013912908185</t>
  </si>
  <si>
    <t>05013912908260</t>
  </si>
  <si>
    <t>NEUTRSP</t>
  </si>
  <si>
    <t>neutradol spray 300ml pink</t>
  </si>
  <si>
    <t>5013912909557</t>
  </si>
  <si>
    <t>05013912909540</t>
  </si>
  <si>
    <t>NEUTDM4D</t>
  </si>
  <si>
    <t>neutrogena deep moisture body lotion pump 400ml dry</t>
  </si>
  <si>
    <t>3574661098937</t>
  </si>
  <si>
    <t>3574661586557</t>
  </si>
  <si>
    <t>NEUTDM4S</t>
  </si>
  <si>
    <t>neutrogena deep moisture body lotion pump 400ml sensitive</t>
  </si>
  <si>
    <t>3574661098531</t>
  </si>
  <si>
    <t>3574661586762</t>
  </si>
  <si>
    <t>NEUTHCTW</t>
  </si>
  <si>
    <t>neutrogena hand cream 50ml scented</t>
  </si>
  <si>
    <t>4012273123009</t>
  </si>
  <si>
    <t>03574660116885</t>
  </si>
  <si>
    <t>NEUTHCU</t>
  </si>
  <si>
    <t>neutrogena hand cream 50ml unscented</t>
  </si>
  <si>
    <t>8002110383709</t>
  </si>
  <si>
    <t>03574660116946</t>
  </si>
  <si>
    <t>NEUTHC75S</t>
  </si>
  <si>
    <t>neutrogena hand cream 75ml scented</t>
  </si>
  <si>
    <t>3574660258264</t>
  </si>
  <si>
    <t>03574660258271</t>
  </si>
  <si>
    <t>NEUTTCSCM</t>
  </si>
  <si>
    <t>neutrogena clear &amp; soothe clay mask 50ml</t>
  </si>
  <si>
    <t xml:space="preserve">3574661530604 </t>
  </si>
  <si>
    <t>03574661636511</t>
  </si>
  <si>
    <t>NEUTOBFW</t>
  </si>
  <si>
    <t>neutrogena oil balancing facial wash 200ml</t>
  </si>
  <si>
    <t>3574661039725</t>
  </si>
  <si>
    <t>03574661521190</t>
  </si>
  <si>
    <t>NEUTVCFWP</t>
  </si>
  <si>
    <t>neutrogena clear &amp; radiant face wash pink pump</t>
  </si>
  <si>
    <t>NEUTCSTM</t>
  </si>
  <si>
    <t>neutrogena clear &amp; soothe toning mist oil free 125ml</t>
  </si>
  <si>
    <t>3574661529219</t>
  </si>
  <si>
    <t>03574661553405</t>
  </si>
  <si>
    <t>NEUTCSMUR</t>
  </si>
  <si>
    <t>neutrogena clear &amp; soothe make up remover 200ml</t>
  </si>
  <si>
    <t xml:space="preserve">3574661529240 </t>
  </si>
  <si>
    <t>03574661553146</t>
  </si>
  <si>
    <t>NIVAFTBS</t>
  </si>
  <si>
    <t>nivea aftershave balm 100ml sensitive</t>
  </si>
  <si>
    <t>5025970023281</t>
  </si>
  <si>
    <t>05025970112244</t>
  </si>
  <si>
    <t>NIVAFTBR</t>
  </si>
  <si>
    <t xml:space="preserve">nivea aftershave balm 100ml protect and care replenisishing  </t>
  </si>
  <si>
    <t>5025970023274</t>
  </si>
  <si>
    <t>05025970112220</t>
  </si>
  <si>
    <t>NIVAFTCZS</t>
  </si>
  <si>
    <t>nivea aftershave balm 100ml  men post shave sensitive cooling zero alcohol</t>
  </si>
  <si>
    <t>4005808944811</t>
  </si>
  <si>
    <t>04005805526256</t>
  </si>
  <si>
    <t>NIVBLNDS</t>
  </si>
  <si>
    <t>nivea lotion rich nourishing 250ml for dry skin</t>
  </si>
  <si>
    <t>4005808246014</t>
  </si>
  <si>
    <t>04005805003474</t>
  </si>
  <si>
    <t>NIVBLE</t>
  </si>
  <si>
    <t>nivea lotion express hydration 250ml</t>
  </si>
  <si>
    <t>4005808113460</t>
  </si>
  <si>
    <t>04005805051185</t>
  </si>
  <si>
    <t>NIVBLIS</t>
  </si>
  <si>
    <t>nivea lotion irresistibly smooth 250ml</t>
  </si>
  <si>
    <t>4006000089584</t>
  </si>
  <si>
    <t>4006000089591</t>
  </si>
  <si>
    <t>NIVBLNC4</t>
  </si>
  <si>
    <t>nivea body lotion 400ml nourishing cocoa lotion</t>
  </si>
  <si>
    <t xml:space="preserve">6001051000036 </t>
  </si>
  <si>
    <t>16001051000033</t>
  </si>
  <si>
    <t>NIVBL4R</t>
  </si>
  <si>
    <t>nivea body lotion 400ml rich nourishing 72 hr moisture</t>
  </si>
  <si>
    <t>4005900230836</t>
  </si>
  <si>
    <t>4005900230843</t>
  </si>
  <si>
    <t>NIVBLSS4</t>
  </si>
  <si>
    <t>nivea body lotion 400ml shea butter moments</t>
  </si>
  <si>
    <t>4006000081465</t>
  </si>
  <si>
    <t>4006000081472</t>
  </si>
  <si>
    <t>NIVBL4DI</t>
  </si>
  <si>
    <t>nivea body lotion 400ml mens deep impact</t>
  </si>
  <si>
    <t>6001051004164</t>
  </si>
  <si>
    <t>16001051004161</t>
  </si>
  <si>
    <t>NIVBL4EH</t>
  </si>
  <si>
    <t xml:space="preserve">nivea body lotion 400ml express hydration   </t>
  </si>
  <si>
    <t>4005808246663</t>
  </si>
  <si>
    <t>4005808246687</t>
  </si>
  <si>
    <t>NIVBL4LAV</t>
  </si>
  <si>
    <t>nivea body lotion 400ml lavender</t>
  </si>
  <si>
    <t>4005900985293</t>
  </si>
  <si>
    <t>04005805413525</t>
  </si>
  <si>
    <t>NIVBLF4</t>
  </si>
  <si>
    <t>nivea body lotion 400ml firming q10</t>
  </si>
  <si>
    <t>4005808237487</t>
  </si>
  <si>
    <t>4005808237500</t>
  </si>
  <si>
    <t>NIVBL4PR</t>
  </si>
  <si>
    <t>nivea body lotion 400ml perfect and radiant</t>
  </si>
  <si>
    <t>4005900123978</t>
  </si>
  <si>
    <t>4005900123985</t>
  </si>
  <si>
    <t>NIVBL4V</t>
  </si>
  <si>
    <t>nivea body lotion 400ml vanilla</t>
  </si>
  <si>
    <t>6001051002023</t>
  </si>
  <si>
    <t>16001051001740</t>
  </si>
  <si>
    <t>NIVBL4E</t>
  </si>
  <si>
    <t>nivea body lotion 400ml express hydration pump</t>
  </si>
  <si>
    <t>4005900444554</t>
  </si>
  <si>
    <t>04005805220369</t>
  </si>
  <si>
    <t>NIVBL4RPU</t>
  </si>
  <si>
    <t>nivea body lotion 400ml rich nourishing pump intense care</t>
  </si>
  <si>
    <t>4005900440891</t>
  </si>
  <si>
    <t>04005805219677</t>
  </si>
  <si>
    <t>NIVBL4IP</t>
  </si>
  <si>
    <t>nivea body lotion 400ml irresistibly smooth sensation pump</t>
  </si>
  <si>
    <t>4005900468871</t>
  </si>
  <si>
    <t>04005805226323</t>
  </si>
  <si>
    <t>NIVBMMC</t>
  </si>
  <si>
    <t>nivea body milk 400ml moisture care olive dry skin</t>
  </si>
  <si>
    <t>4005900209726</t>
  </si>
  <si>
    <t>4005900209740</t>
  </si>
  <si>
    <t>NIVBMRN</t>
  </si>
  <si>
    <t>nivea body milk 400ml rich nourishing 5 in1 dry to very dry skin 48h</t>
  </si>
  <si>
    <t>4005808246267</t>
  </si>
  <si>
    <t>4005808246281</t>
  </si>
  <si>
    <t>NIVHCPC</t>
  </si>
  <si>
    <t>nivea hand crème 75ml protective care beeswax</t>
  </si>
  <si>
    <t>40060729</t>
  </si>
  <si>
    <t>04005805260105</t>
  </si>
  <si>
    <t>NIVS50</t>
  </si>
  <si>
    <t>nivea soft 50ml</t>
  </si>
  <si>
    <t>42207269</t>
  </si>
  <si>
    <t>none</t>
  </si>
  <si>
    <t>NIVS75</t>
  </si>
  <si>
    <t>nivea soft 75ml tube</t>
  </si>
  <si>
    <t>4005900008985</t>
  </si>
  <si>
    <t>4005900240316</t>
  </si>
  <si>
    <t>NIVSC200</t>
  </si>
  <si>
    <t>nivea soft 200ml</t>
  </si>
  <si>
    <t>4005808515615</t>
  </si>
  <si>
    <t>17319470028606</t>
  </si>
  <si>
    <t>NIVSC500</t>
  </si>
  <si>
    <t xml:space="preserve">nivea soft 500ml </t>
  </si>
  <si>
    <t>5025970004761</t>
  </si>
  <si>
    <t>05025970115313</t>
  </si>
  <si>
    <t>NIVC60</t>
  </si>
  <si>
    <t>nivea creme 60ml</t>
  </si>
  <si>
    <t>42164104</t>
  </si>
  <si>
    <t>4005808166251</t>
  </si>
  <si>
    <t>NIVC150</t>
  </si>
  <si>
    <t>nivea creme 150ml tin</t>
  </si>
  <si>
    <t>4005808925124</t>
  </si>
  <si>
    <t>4005808925148</t>
  </si>
  <si>
    <t>NIVC200</t>
  </si>
  <si>
    <t>nivea creme 200ml</t>
  </si>
  <si>
    <t>5025970801322</t>
  </si>
  <si>
    <t>05025970100074</t>
  </si>
  <si>
    <t>NIVC2504</t>
  </si>
  <si>
    <t>nivea creme 250 tin</t>
  </si>
  <si>
    <t>4005808801053</t>
  </si>
  <si>
    <t>4005808163953</t>
  </si>
  <si>
    <t>NIVC400</t>
  </si>
  <si>
    <t>nivea creme 400ml tin</t>
  </si>
  <si>
    <t>6001051002054</t>
  </si>
  <si>
    <t>16001051001771</t>
  </si>
  <si>
    <t>NIVC4CB</t>
  </si>
  <si>
    <t>nivea creme 400ml cocoa butter</t>
  </si>
  <si>
    <t xml:space="preserve">6001051000364 </t>
  </si>
  <si>
    <t>16001051000347</t>
  </si>
  <si>
    <t>NIVC4Q10</t>
  </si>
  <si>
    <t>nivea crème 400ml q10 firming</t>
  </si>
  <si>
    <t>6001051006274</t>
  </si>
  <si>
    <t>26001051006278</t>
  </si>
  <si>
    <t>NIVC4RC</t>
  </si>
  <si>
    <t>nivea creme 400ml repair &amp; care dry sensitive</t>
  </si>
  <si>
    <t>6001051004744</t>
  </si>
  <si>
    <t>16001051004741</t>
  </si>
  <si>
    <t>NIVC4RN</t>
  </si>
  <si>
    <t xml:space="preserve">nivea crème 400ml rich nourishing </t>
  </si>
  <si>
    <t xml:space="preserve">4005808780570 </t>
  </si>
  <si>
    <t>16001051000316</t>
  </si>
  <si>
    <t>NIVC4CK</t>
  </si>
  <si>
    <t>nivea crème 400ml mens cool kick</t>
  </si>
  <si>
    <t>6001051000753</t>
  </si>
  <si>
    <t>16001051000644</t>
  </si>
  <si>
    <t>NIVC4MH</t>
  </si>
  <si>
    <t>nivea crème 400ml mens max hydration</t>
  </si>
  <si>
    <t>4005808685837</t>
  </si>
  <si>
    <t>16001051000279</t>
  </si>
  <si>
    <t>NIVC4R</t>
  </si>
  <si>
    <t>nivea creme 400ml mens revitalising</t>
  </si>
  <si>
    <t>4005808685844</t>
  </si>
  <si>
    <t>16001051000286</t>
  </si>
  <si>
    <t>NIVC45FC</t>
  </si>
  <si>
    <t>nivea creme 450ml family care sensitive</t>
  </si>
  <si>
    <t>4005900961631</t>
  </si>
  <si>
    <t>04005805395265</t>
  </si>
  <si>
    <t>NIVDEOBW</t>
  </si>
  <si>
    <t>nivea deo 150ml black &amp; white invisible clear</t>
  </si>
  <si>
    <t>4005900036568</t>
  </si>
  <si>
    <t>05025970122465</t>
  </si>
  <si>
    <t>NIVDEODE</t>
  </si>
  <si>
    <t>nivea deo 150ml double effect</t>
  </si>
  <si>
    <t>4005808230860</t>
  </si>
  <si>
    <t>05025970118291</t>
  </si>
  <si>
    <t>NIVDEOPB</t>
  </si>
  <si>
    <t>nivea deo 150ml pearl &amp; beauty</t>
  </si>
  <si>
    <t>4005808837311</t>
  </si>
  <si>
    <t>05025970114385</t>
  </si>
  <si>
    <t>NIVDEOMC</t>
  </si>
  <si>
    <t>nivea deo 150ml men's cool kick</t>
  </si>
  <si>
    <t>4005808300259</t>
  </si>
  <si>
    <t>05025970120522</t>
  </si>
  <si>
    <t>NIV25BWISS</t>
  </si>
  <si>
    <t xml:space="preserve">nivea deo 250ml black and white invisible silk smooth </t>
  </si>
  <si>
    <t>4005900543745</t>
  </si>
  <si>
    <t>04005805239569</t>
  </si>
  <si>
    <t>NIV25DE</t>
  </si>
  <si>
    <t>nivea deo 250ml double effect</t>
  </si>
  <si>
    <t>4005808230679</t>
  </si>
  <si>
    <t>05025970118307</t>
  </si>
  <si>
    <t>NIVDEO250PB</t>
  </si>
  <si>
    <t>nivea deo 250ml pearl &amp; beauty</t>
  </si>
  <si>
    <t>4005808837335</t>
  </si>
  <si>
    <t>05025970114392</t>
  </si>
  <si>
    <t>NIVD250MAE</t>
  </si>
  <si>
    <t>nivea deo 250ml mens active energy</t>
  </si>
  <si>
    <t>4005900852496</t>
  </si>
  <si>
    <t>04005805344423</t>
  </si>
  <si>
    <t>NIV25CKMEN</t>
  </si>
  <si>
    <t>nivea deo 250ml mens cool kick</t>
  </si>
  <si>
    <t>4005808298174</t>
  </si>
  <si>
    <t>5025970119946</t>
  </si>
  <si>
    <t>NIVRODES</t>
  </si>
  <si>
    <t>nivea roll on 50ml mens deep espresso</t>
  </si>
  <si>
    <t>4005900700766</t>
  </si>
  <si>
    <t>4005900700773</t>
  </si>
  <si>
    <t>NIVROLFA</t>
  </si>
  <si>
    <t>nivea roll on 50ml men's fresh active</t>
  </si>
  <si>
    <t>4005900088062</t>
  </si>
  <si>
    <t>4005900088079</t>
  </si>
  <si>
    <t>NIVROLDI</t>
  </si>
  <si>
    <t>nivea roll on 50ml men's dry impact</t>
  </si>
  <si>
    <t>42299783</t>
  </si>
  <si>
    <t>04005805232119</t>
  </si>
  <si>
    <t>NIVRILCK</t>
  </si>
  <si>
    <t>nivea roll on 50ml men's cool kick</t>
  </si>
  <si>
    <t>4005900087973</t>
  </si>
  <si>
    <t>NIVROLMB</t>
  </si>
  <si>
    <t xml:space="preserve">nivea roll on 50ml men's black &amp; white </t>
  </si>
  <si>
    <t>42299806</t>
  </si>
  <si>
    <t>4005805231082</t>
  </si>
  <si>
    <t>NIVROFE</t>
  </si>
  <si>
    <t>nivea roll on 50ml womens fresh energy</t>
  </si>
  <si>
    <t>4005900121707</t>
  </si>
  <si>
    <t>4005900121714</t>
  </si>
  <si>
    <t>NIVROLFN</t>
  </si>
  <si>
    <t>nivea roll on 50ml womens fresh natural</t>
  </si>
  <si>
    <t>4005900088031</t>
  </si>
  <si>
    <t>4005900088048</t>
  </si>
  <si>
    <t>NIVROPI</t>
  </si>
  <si>
    <t>nivea roll on 50ml womens pure invisible</t>
  </si>
  <si>
    <t>42299912</t>
  </si>
  <si>
    <t>04005805500232</t>
  </si>
  <si>
    <t>NIVROLPB</t>
  </si>
  <si>
    <t>nivea rollon pearl &amp; beauty</t>
  </si>
  <si>
    <t>42299929</t>
  </si>
  <si>
    <t>04005805231129</t>
  </si>
  <si>
    <t>NIVVISRFWG</t>
  </si>
  <si>
    <t>nivea refreshing face wash gel 150ml</t>
  </si>
  <si>
    <t>4005808668861</t>
  </si>
  <si>
    <t>04005805087276</t>
  </si>
  <si>
    <t>NIVVISRCT</t>
  </si>
  <si>
    <t>nivea refreshing 2 in 1 cleanser and toner 200ml</t>
  </si>
  <si>
    <t>4005808183029</t>
  </si>
  <si>
    <t>05025970504629</t>
  </si>
  <si>
    <t>NIVSHCM</t>
  </si>
  <si>
    <t>nivea shower cream 250ml cashmere &amp; cottonseed oil</t>
  </si>
  <si>
    <t>4005808130078</t>
  </si>
  <si>
    <t>4005808130092</t>
  </si>
  <si>
    <t>NIVSHC</t>
  </si>
  <si>
    <t>nivea shower creme 250ml coconut</t>
  </si>
  <si>
    <t xml:space="preserve">4005808795697 </t>
  </si>
  <si>
    <t>04005805006253</t>
  </si>
  <si>
    <t>NIVSHE</t>
  </si>
  <si>
    <t>nivea shower gel 250ml mens energy</t>
  </si>
  <si>
    <t>4005808130115</t>
  </si>
  <si>
    <t>4005808130122</t>
  </si>
  <si>
    <t>NIVSHMS</t>
  </si>
  <si>
    <t>nivea shower gel 250ml mens sensitive</t>
  </si>
  <si>
    <t>4005808130573</t>
  </si>
  <si>
    <t>4005808130580</t>
  </si>
  <si>
    <t>NIVSHS</t>
  </si>
  <si>
    <t>nivea shower cream 250ml soft</t>
  </si>
  <si>
    <t>4005808123834</t>
  </si>
  <si>
    <t>4005808123841</t>
  </si>
  <si>
    <t>NIVSHSP</t>
  </si>
  <si>
    <t>nivea shower gel 250ml men's sport 3 in 1</t>
  </si>
  <si>
    <t>4005808130610</t>
  </si>
  <si>
    <t>4005808130627</t>
  </si>
  <si>
    <t>NULONHCAO</t>
  </si>
  <si>
    <t>nulon hand cream 75ml argan oil</t>
  </si>
  <si>
    <t>5060128984113</t>
  </si>
  <si>
    <t>15060128984110</t>
  </si>
  <si>
    <t>NULONHCH</t>
  </si>
  <si>
    <t>nulon hand cream 75ml honey</t>
  </si>
  <si>
    <t>5060128984083</t>
  </si>
  <si>
    <t>15060128984080</t>
  </si>
  <si>
    <t>NULONHC</t>
  </si>
  <si>
    <t>nulon q10 nourishing complex 75ml hand cream</t>
  </si>
  <si>
    <t>5060128980382</t>
  </si>
  <si>
    <t>15060128980389</t>
  </si>
  <si>
    <t>OUSTAFCS</t>
  </si>
  <si>
    <t>oust room spray 300ml clean scent</t>
  </si>
  <si>
    <t>5000204503494</t>
  </si>
  <si>
    <t>05000204882261</t>
  </si>
  <si>
    <t>OLDSPCAPT</t>
  </si>
  <si>
    <t>old spice deo stick 50ml captain</t>
  </si>
  <si>
    <t>8001090970497</t>
  </si>
  <si>
    <t>8001090970503</t>
  </si>
  <si>
    <t>OLDSPDEEP</t>
  </si>
  <si>
    <t>old spice deo stick 50ml deep sea</t>
  </si>
  <si>
    <t>8001841283944</t>
  </si>
  <si>
    <t>8001841283951</t>
  </si>
  <si>
    <t>OLDSPORIG</t>
  </si>
  <si>
    <t>old spice deo stick 50ml original</t>
  </si>
  <si>
    <t>5000174003451</t>
  </si>
  <si>
    <t>5000174003512</t>
  </si>
  <si>
    <t>OLDSPNP</t>
  </si>
  <si>
    <t>old spice deo stick 50ml night panther</t>
  </si>
  <si>
    <t>8006540424186</t>
  </si>
  <si>
    <t>8006540424193</t>
  </si>
  <si>
    <t>OLDSPWHITE</t>
  </si>
  <si>
    <t>old spice deo stick 50ml whitewater</t>
  </si>
  <si>
    <t>5000174003413</t>
  </si>
  <si>
    <t>5000174708257</t>
  </si>
  <si>
    <t>OLDSPDN25</t>
  </si>
  <si>
    <t>old spice deo spray 250ml night panther</t>
  </si>
  <si>
    <t>046100954409</t>
  </si>
  <si>
    <t>8006540954416</t>
  </si>
  <si>
    <t>OLBASCH12</t>
  </si>
  <si>
    <t xml:space="preserve">olbas oil for children 12ml </t>
  </si>
  <si>
    <t>5000477673184</t>
  </si>
  <si>
    <t>05000477673108</t>
  </si>
  <si>
    <t>OLAYBF1R</t>
  </si>
  <si>
    <t>olay essentials beauty fluid normal 100ml</t>
  </si>
  <si>
    <t>5010527371304</t>
  </si>
  <si>
    <t>5000174558333</t>
  </si>
  <si>
    <t>OLAYBF2R</t>
  </si>
  <si>
    <t>olay essentials beauty fluid normal 200ml</t>
  </si>
  <si>
    <t>5010527371229</t>
  </si>
  <si>
    <t>5000174379952</t>
  </si>
  <si>
    <t>OLAYCMAKEUP</t>
  </si>
  <si>
    <t>olay cleansing make up milk 200ml</t>
  </si>
  <si>
    <t>8001841480565</t>
  </si>
  <si>
    <t>8001841480572</t>
  </si>
  <si>
    <t>OLAYTEDFM</t>
  </si>
  <si>
    <t>olay total effects 7in1 daily face moisturiser fragrance free 50ml</t>
  </si>
  <si>
    <t>5000174163049</t>
  </si>
  <si>
    <t>5000174163063</t>
  </si>
  <si>
    <t>OLAYDACR</t>
  </si>
  <si>
    <t>olay double action cream 50ml regular</t>
  </si>
  <si>
    <t xml:space="preserve">5000174070354 </t>
  </si>
  <si>
    <t>5000174434613</t>
  </si>
  <si>
    <t>ORALBEFUN</t>
  </si>
  <si>
    <t>oral b essential floss 50m waxed</t>
  </si>
  <si>
    <t>8006530044677</t>
  </si>
  <si>
    <t>8006530044660</t>
  </si>
  <si>
    <t>ORALBEFW</t>
  </si>
  <si>
    <t>oral b essential floss 50m mint waxed</t>
  </si>
  <si>
    <t>5010622005029</t>
  </si>
  <si>
    <t>4103330217134</t>
  </si>
  <si>
    <t>ORALB123DW</t>
  </si>
  <si>
    <t>oral b 75ml toothpaste 123 whitening</t>
  </si>
  <si>
    <t>8700216787307</t>
  </si>
  <si>
    <t>8700216787291</t>
  </si>
  <si>
    <t>ORALB123EF</t>
  </si>
  <si>
    <t>oral b 75ml toothpaste 123 extra fresh</t>
  </si>
  <si>
    <t>8700216787284</t>
  </si>
  <si>
    <t>8700216787277</t>
  </si>
  <si>
    <t>ORALBTBI</t>
  </si>
  <si>
    <t>oral b 1-2-3 toothbrush indicator 35 triple pack</t>
  </si>
  <si>
    <t>3014260106928</t>
  </si>
  <si>
    <t>3014260106942</t>
  </si>
  <si>
    <t>ORALBTBCNF3</t>
  </si>
  <si>
    <t>oral b toothbrush clean natural fresh 40 medium triple pack</t>
  </si>
  <si>
    <t>3014260048686</t>
  </si>
  <si>
    <t>3014260048693</t>
  </si>
  <si>
    <t>ORALBCCTB</t>
  </si>
  <si>
    <t>oral b complete clean toothbrush medium</t>
  </si>
  <si>
    <t>8001090179319</t>
  </si>
  <si>
    <t>3014260113032</t>
  </si>
  <si>
    <t>ORALBBLACK</t>
  </si>
  <si>
    <t>oral b all rounder black toothbrush medium</t>
  </si>
  <si>
    <t>3014260101626</t>
  </si>
  <si>
    <t>03014260101633</t>
  </si>
  <si>
    <t>ORIGSCS</t>
  </si>
  <si>
    <t>original source shower gel coconut &amp; shea butter 250ml</t>
  </si>
  <si>
    <t>5000101100468</t>
  </si>
  <si>
    <t>05000101100444</t>
  </si>
  <si>
    <t>ORIGSLT</t>
  </si>
  <si>
    <t>original source shower gel lavender &amp; tea tree 250ml</t>
  </si>
  <si>
    <t>5000101508011</t>
  </si>
  <si>
    <t>05000101508004</t>
  </si>
  <si>
    <t>ORIGSLE</t>
  </si>
  <si>
    <t>original source shower gel lemon &amp; tea tree 2502ml</t>
  </si>
  <si>
    <t>5000101845116</t>
  </si>
  <si>
    <t>05000101845178</t>
  </si>
  <si>
    <t>ORIGSMA</t>
  </si>
  <si>
    <t xml:space="preserve">original source shower gel mango 250ml </t>
  </si>
  <si>
    <t>5000101152672</t>
  </si>
  <si>
    <t>05000101152658</t>
  </si>
  <si>
    <t>ORIGSMT</t>
  </si>
  <si>
    <t>original source shower gel mint &amp; tea tree 250ml</t>
  </si>
  <si>
    <t>5000101845208</t>
  </si>
  <si>
    <t>05000101845253</t>
  </si>
  <si>
    <t>ORIGSRR</t>
  </si>
  <si>
    <t>original source shower gel rhubarb &amp; raspberry 250ml</t>
  </si>
  <si>
    <t>5000101500183</t>
  </si>
  <si>
    <t>05000101500176</t>
  </si>
  <si>
    <t>ORIGSSS</t>
  </si>
  <si>
    <t>original source shower gel sea salt &amp; samphire 250ml</t>
  </si>
  <si>
    <t>5000101504952</t>
  </si>
  <si>
    <t>05000101504945</t>
  </si>
  <si>
    <t>ORIGSVR</t>
  </si>
  <si>
    <t>original source shower gel vanilla &amp; raspberry 250ml</t>
  </si>
  <si>
    <t>5000101077005</t>
  </si>
  <si>
    <t>05000101077067</t>
  </si>
  <si>
    <t>ORIGSZL</t>
  </si>
  <si>
    <t>original source shower gel zingy lime 250ml</t>
  </si>
  <si>
    <t>5000101844997</t>
  </si>
  <si>
    <t>05000101844942</t>
  </si>
  <si>
    <t>ORIGSLC</t>
  </si>
  <si>
    <t>original source shower milk lime &amp; coconut 250ml</t>
  </si>
  <si>
    <t xml:space="preserve">5000101189333 </t>
  </si>
  <si>
    <t>05000101189340</t>
  </si>
  <si>
    <t>ORIGSCA</t>
  </si>
  <si>
    <t>original source shower milk cherry &amp; almond 250ml</t>
  </si>
  <si>
    <t xml:space="preserve">5000101189760 </t>
  </si>
  <si>
    <t>05000101189753</t>
  </si>
  <si>
    <t>POLIDENT</t>
  </si>
  <si>
    <t>poligrip flavour free 40g</t>
  </si>
  <si>
    <t>5000198136401</t>
  </si>
  <si>
    <t>05000198136418</t>
  </si>
  <si>
    <t>PALMCBWC250</t>
  </si>
  <si>
    <t>palmers coconut brazilian whipped bum bust body cream 250ml</t>
  </si>
  <si>
    <t>'0010181032874</t>
  </si>
  <si>
    <t>10010181032872</t>
  </si>
  <si>
    <t>PALMCSRBO</t>
  </si>
  <si>
    <t xml:space="preserve">palmers cocoa butter shimmer radiance body oil 150ml </t>
  </si>
  <si>
    <t>010181041716</t>
  </si>
  <si>
    <t>10010181041713</t>
  </si>
  <si>
    <t>PALMCOCSOAP</t>
  </si>
  <si>
    <t>palmers cocoa butter soap 133g</t>
  </si>
  <si>
    <t>010181145551</t>
  </si>
  <si>
    <t>30010181145552</t>
  </si>
  <si>
    <t>PALMCSSCS</t>
  </si>
  <si>
    <t>palmers skin success complexion soap bar 100g</t>
  </si>
  <si>
    <t>010181073809</t>
  </si>
  <si>
    <t>10010181073806</t>
  </si>
  <si>
    <t>PALMCTV250</t>
  </si>
  <si>
    <t>palmers tahitian vanilla 250ml cocoa butter lotion</t>
  </si>
  <si>
    <t>0101810481800</t>
  </si>
  <si>
    <t>10010181048187</t>
  </si>
  <si>
    <t>PALMCTV400</t>
  </si>
  <si>
    <t>palmers tahitian vanilla 400ml cocoa butter lotion</t>
  </si>
  <si>
    <t>0010181042652</t>
  </si>
  <si>
    <t>10010181042659</t>
  </si>
  <si>
    <t>PALMCTVC250</t>
  </si>
  <si>
    <t>palmers tahitian vanilla 250ml cream</t>
  </si>
  <si>
    <t xml:space="preserve">010181048180 </t>
  </si>
  <si>
    <t>PALMCTVOIL</t>
  </si>
  <si>
    <t>palmers tahitian vanilla moisture drenching body oil 192ml</t>
  </si>
  <si>
    <t>PALMCOJ1</t>
  </si>
  <si>
    <t>palmers cocoa butter 100g jar</t>
  </si>
  <si>
    <t>010181040009</t>
  </si>
  <si>
    <t>60010181040001</t>
  </si>
  <si>
    <t>PALMCOJ20</t>
  </si>
  <si>
    <t>palmers cocoa butter 200g jar</t>
  </si>
  <si>
    <t>010181040085</t>
  </si>
  <si>
    <t>10010181040082</t>
  </si>
  <si>
    <t>PALMCOJ2EX</t>
  </si>
  <si>
    <t>palmers cocoa butter 200g + 30% Bonus (270g) jar</t>
  </si>
  <si>
    <t>010181140082</t>
  </si>
  <si>
    <t>30010181140083</t>
  </si>
  <si>
    <t>PALMCOM</t>
  </si>
  <si>
    <t>palmers cocoa butter 250ml massage stretch mark lotion</t>
  </si>
  <si>
    <t>010181040313</t>
  </si>
  <si>
    <t>60010181040315</t>
  </si>
  <si>
    <t>PALMCOC</t>
  </si>
  <si>
    <t>palmers cocoa butter hand cream conc cream 60g</t>
  </si>
  <si>
    <t>010181043352</t>
  </si>
  <si>
    <t>60010181043354</t>
  </si>
  <si>
    <t>PALMCOHCI</t>
  </si>
  <si>
    <t>palmers cocoa butter hand cream conc cream 60g intensive</t>
  </si>
  <si>
    <t>010181044397</t>
  </si>
  <si>
    <t>60010181044399</t>
  </si>
  <si>
    <t>PALMCHC</t>
  </si>
  <si>
    <t>palmers coconut hand cream 60g tube</t>
  </si>
  <si>
    <t>010181032356</t>
  </si>
  <si>
    <t>60010181032358</t>
  </si>
  <si>
    <t>PALMCOHCSB</t>
  </si>
  <si>
    <t>palmers hand cream 60ml shea butter</t>
  </si>
  <si>
    <t>010181053351</t>
  </si>
  <si>
    <t>60010181053353</t>
  </si>
  <si>
    <t>PALMCLB</t>
  </si>
  <si>
    <t>palmers cocoa butter moisurising lip balm</t>
  </si>
  <si>
    <t>010181000089</t>
  </si>
  <si>
    <t>20010181000083</t>
  </si>
  <si>
    <t>PALMCLBCO</t>
  </si>
  <si>
    <t>palmers coconut lip oil balm</t>
  </si>
  <si>
    <t>010181032226</t>
  </si>
  <si>
    <t>20010181032220</t>
  </si>
  <si>
    <t>PALMCMBF</t>
  </si>
  <si>
    <t>palmers cocoa butter formula men's 250ml</t>
  </si>
  <si>
    <t>010181045806</t>
  </si>
  <si>
    <t>60010181045808</t>
  </si>
  <si>
    <t>PALMCO25</t>
  </si>
  <si>
    <t>palmers cocoa butter lotion 250ml</t>
  </si>
  <si>
    <t>010181041808</t>
  </si>
  <si>
    <t>60010181041800</t>
  </si>
  <si>
    <t>PALMCO40</t>
  </si>
  <si>
    <t>palmers cocoa butter lotion 400ml pump</t>
  </si>
  <si>
    <t>010181041655</t>
  </si>
  <si>
    <t>60010181041657</t>
  </si>
  <si>
    <t>PALMCO40EX</t>
  </si>
  <si>
    <t>palmers cocoa butter lotion 400ml + 25% bonus (500ml) pump</t>
  </si>
  <si>
    <t>0010181141652</t>
  </si>
  <si>
    <t>50010181141657</t>
  </si>
  <si>
    <t>PALMCOFF</t>
  </si>
  <si>
    <t>palmers cocoa butter lotion 250ml fragrance free</t>
  </si>
  <si>
    <t>010181041877</t>
  </si>
  <si>
    <t>60010181041879</t>
  </si>
  <si>
    <t>PALMCOFF4</t>
  </si>
  <si>
    <t>palmers cocoa butter lotion 400ml fragrance free</t>
  </si>
  <si>
    <t>010181041891</t>
  </si>
  <si>
    <t>60010181041893</t>
  </si>
  <si>
    <t>PALMCSB</t>
  </si>
  <si>
    <t xml:space="preserve">palmers shea butter lotion 250ml </t>
  </si>
  <si>
    <t xml:space="preserve">010181051807 </t>
  </si>
  <si>
    <t>60010181051809</t>
  </si>
  <si>
    <t>PALMCSB40</t>
  </si>
  <si>
    <t xml:space="preserve">palmers shea butter lotion 400ml </t>
  </si>
  <si>
    <t>010181151651</t>
  </si>
  <si>
    <t>30010181151652</t>
  </si>
  <si>
    <t>PALMCOF</t>
  </si>
  <si>
    <t>palmers cocoa butter lotion 315ml firming butter</t>
  </si>
  <si>
    <t>010181140648</t>
  </si>
  <si>
    <t>60010181140640</t>
  </si>
  <si>
    <t>PALMCMBO</t>
  </si>
  <si>
    <t xml:space="preserve">palmers cocoa butter moisturizing body oil 250ml </t>
  </si>
  <si>
    <t>010181041709</t>
  </si>
  <si>
    <t>10010181041706</t>
  </si>
  <si>
    <t>PALMCOHBO25</t>
  </si>
  <si>
    <t>palmers coconut hydrate body oil 250ml</t>
  </si>
  <si>
    <t xml:space="preserve">010181032783 </t>
  </si>
  <si>
    <t>10010181032780</t>
  </si>
  <si>
    <t>PALMCSBO25</t>
  </si>
  <si>
    <t>palmers shea raw nourishing body oil 250ml</t>
  </si>
  <si>
    <t xml:space="preserve">010181051708 </t>
  </si>
  <si>
    <t>10010181051705</t>
  </si>
  <si>
    <t>PALMCOSMC</t>
  </si>
  <si>
    <t>palmers cocoa butter stretch mark cream 125ml</t>
  </si>
  <si>
    <t>010181040351</t>
  </si>
  <si>
    <t>60010181040353</t>
  </si>
  <si>
    <t>PALMCHR</t>
  </si>
  <si>
    <t>palmers cococa butter heel repair 25g</t>
  </si>
  <si>
    <t>010181043925</t>
  </si>
  <si>
    <t>60010181043927</t>
  </si>
  <si>
    <t>PALMCOTOFR</t>
  </si>
  <si>
    <t>palmers cocoa butter therapy oil face 30ml rose</t>
  </si>
  <si>
    <t>010181041730</t>
  </si>
  <si>
    <t>60010181741732</t>
  </si>
  <si>
    <t>PALMCOTOO</t>
  </si>
  <si>
    <t>palmers cocoa butter therapy oil 60ml original</t>
  </si>
  <si>
    <t>010181041594</t>
  </si>
  <si>
    <t>60010181041596</t>
  </si>
  <si>
    <t>PALMCOTOR6</t>
  </si>
  <si>
    <t>palmers cocoa butter therapy oil 60ml rose</t>
  </si>
  <si>
    <t>010181041587</t>
  </si>
  <si>
    <t>60010181041589</t>
  </si>
  <si>
    <t>PALMCOTO</t>
  </si>
  <si>
    <t>palmers cocoa butter therapy oil 150ml original</t>
  </si>
  <si>
    <t>010181041532</t>
  </si>
  <si>
    <t xml:space="preserve">40010181041530 </t>
  </si>
  <si>
    <t>PALMCOTOR</t>
  </si>
  <si>
    <t>palmers cocoa butter therapy oil 150ml rose</t>
  </si>
  <si>
    <t>010181043598</t>
  </si>
  <si>
    <t>60010181043590</t>
  </si>
  <si>
    <t>PALMCOTB</t>
  </si>
  <si>
    <t>palmers cocoa butter tummy butter 125ml jars</t>
  </si>
  <si>
    <t>010181040764</t>
  </si>
  <si>
    <t>60010181040766</t>
  </si>
  <si>
    <t>PALMCOFCL</t>
  </si>
  <si>
    <t>palmers coconut oil foaming facial cleanser 150ml</t>
  </si>
  <si>
    <t xml:space="preserve">010181032158 </t>
  </si>
  <si>
    <t>60010181032150</t>
  </si>
  <si>
    <t>PALMCBO</t>
  </si>
  <si>
    <t>palmers coconut oil body oil 150ml</t>
  </si>
  <si>
    <t>010181032707</t>
  </si>
  <si>
    <t>60010181032709</t>
  </si>
  <si>
    <t>PALMCOL</t>
  </si>
  <si>
    <t>palmers lotion coconut 250ml</t>
  </si>
  <si>
    <t>010181032806</t>
  </si>
  <si>
    <t>60010181032808</t>
  </si>
  <si>
    <t>PALMCOL4</t>
  </si>
  <si>
    <t>palmers lotion coconut 400ml</t>
  </si>
  <si>
    <t>010181032653</t>
  </si>
  <si>
    <t>60010181032655</t>
  </si>
  <si>
    <t>PALMCCOO</t>
  </si>
  <si>
    <t>palmers olive oil formula conditioner 400ml shine therapy</t>
  </si>
  <si>
    <t>010181025396</t>
  </si>
  <si>
    <t>60010181025398</t>
  </si>
  <si>
    <t>PALMCOSS</t>
  </si>
  <si>
    <t>palmers cocoa butter formula swivel stick moisturising dry lips</t>
  </si>
  <si>
    <t>01018158</t>
  </si>
  <si>
    <t>10010181042000</t>
  </si>
  <si>
    <t>PALMCOFMC</t>
  </si>
  <si>
    <t>palmers cocoa butter formula foot magic cream 60g</t>
  </si>
  <si>
    <t>010181043918</t>
  </si>
  <si>
    <t>60010181043910</t>
  </si>
  <si>
    <t>PALMCOFMS</t>
  </si>
  <si>
    <t>palmers cocoa butter formula foot magic scrub 60g</t>
  </si>
  <si>
    <t>010181043932</t>
  </si>
  <si>
    <t>60010181043934</t>
  </si>
  <si>
    <t>PALMCFIRM4</t>
  </si>
  <si>
    <t>palmers cocoa butter formula 400ml firm tones firming body lotion</t>
  </si>
  <si>
    <t>0010181042645</t>
  </si>
  <si>
    <t>60010181042647</t>
  </si>
  <si>
    <t>PALMCREN4</t>
  </si>
  <si>
    <t xml:space="preserve">palmers cocoa butter formula 400ml exfoliating retexturing renew lotion  </t>
  </si>
  <si>
    <t>0010181042966</t>
  </si>
  <si>
    <t>60010181042968</t>
  </si>
  <si>
    <t>PALMCSSEFCRB</t>
  </si>
  <si>
    <t>palmers skin success anti dark spot cream all skin types 75g</t>
  </si>
  <si>
    <t>010181075506</t>
  </si>
  <si>
    <t>60010181075508</t>
  </si>
  <si>
    <t>PALMCSSEFOJ</t>
  </si>
  <si>
    <t>palmers skin success anti dark spot cream oily skin 75g</t>
  </si>
  <si>
    <t>010181075551</t>
  </si>
  <si>
    <t>10010181075558</t>
  </si>
  <si>
    <t>PALMCSSADSNC</t>
  </si>
  <si>
    <t>palmers skin success anti dark spot night cream 75g</t>
  </si>
  <si>
    <t>010181076367</t>
  </si>
  <si>
    <t>60010181076369</t>
  </si>
  <si>
    <t>PALMCFMBL</t>
  </si>
  <si>
    <t>palmers skin success fade milk bottle 250ml</t>
  </si>
  <si>
    <t>010181077067</t>
  </si>
  <si>
    <t>10010181077064</t>
  </si>
  <si>
    <t>PALMCSSDCA</t>
  </si>
  <si>
    <t>palmers skin success deep cleansing astringent bottle 250ml</t>
  </si>
  <si>
    <t>010181080005</t>
  </si>
  <si>
    <t>10010181080002</t>
  </si>
  <si>
    <t>PALMCSSESC75</t>
  </si>
  <si>
    <t>palmers skin success extra strength cream 75g</t>
  </si>
  <si>
    <t>010181072307</t>
  </si>
  <si>
    <t>60010181072309</t>
  </si>
  <si>
    <t>PALMCOFLHF0</t>
  </si>
  <si>
    <t>palmers coconut oil formula hydration facial oil 30ml</t>
  </si>
  <si>
    <t>010181032387</t>
  </si>
  <si>
    <t>60010181032389</t>
  </si>
  <si>
    <t>PALMCOFCB</t>
  </si>
  <si>
    <t xml:space="preserve">palmers coconut oil formula cleansing balm 64g </t>
  </si>
  <si>
    <t>010181032424</t>
  </si>
  <si>
    <t>60010181032426</t>
  </si>
  <si>
    <t>PALMCOWFM</t>
  </si>
  <si>
    <t xml:space="preserve">palmers coconut water facial moisturiser 50g </t>
  </si>
  <si>
    <t>010181032455</t>
  </si>
  <si>
    <t>60010181032457</t>
  </si>
  <si>
    <t>PALMCOSFS</t>
  </si>
  <si>
    <t>palmers coconut sugar facial scrub tube 90g</t>
  </si>
  <si>
    <t>010181035432</t>
  </si>
  <si>
    <t>60010181035434</t>
  </si>
  <si>
    <t>PALMLAT</t>
  </si>
  <si>
    <t>palmolive lather 100ml</t>
  </si>
  <si>
    <t>3015810608817</t>
  </si>
  <si>
    <t xml:space="preserve">4011200118200 </t>
  </si>
  <si>
    <t>PALMSGAM</t>
  </si>
  <si>
    <t>palmolive shower gel kids 250ml natural</t>
  </si>
  <si>
    <t>8718951528208</t>
  </si>
  <si>
    <t>8718951528246</t>
  </si>
  <si>
    <t>PALMSGCO</t>
  </si>
  <si>
    <t>palmolive shower gel 250ml coconut milk</t>
  </si>
  <si>
    <t>8714789732923</t>
  </si>
  <si>
    <t>08714789751542</t>
  </si>
  <si>
    <t>PALMSGMH</t>
  </si>
  <si>
    <t>palmolive shower gel 250ml milk &amp; honey</t>
  </si>
  <si>
    <t>8714789732879</t>
  </si>
  <si>
    <t>08714789751504</t>
  </si>
  <si>
    <t>PALMSH4RE</t>
  </si>
  <si>
    <t>palmolive shower gel 400ml revitalise</t>
  </si>
  <si>
    <t xml:space="preserve">8718951592582 </t>
  </si>
  <si>
    <t>08718951592575</t>
  </si>
  <si>
    <t>PALMSH4GS</t>
  </si>
  <si>
    <t>palmolive shower gel 450ml gentle scrub</t>
  </si>
  <si>
    <t xml:space="preserve">8718951726765 </t>
  </si>
  <si>
    <t>08718951726758</t>
  </si>
  <si>
    <t>PALMSH4MS</t>
  </si>
  <si>
    <t>palmolive shower gel 450ml mineral scrub</t>
  </si>
  <si>
    <t xml:space="preserve">8718951726857 </t>
  </si>
  <si>
    <t>08718951726840</t>
  </si>
  <si>
    <t>PALMSH5CM</t>
  </si>
  <si>
    <t xml:space="preserve">palmolive shower gel 500ml coconut </t>
  </si>
  <si>
    <t>8718951215689</t>
  </si>
  <si>
    <t>08718951215672</t>
  </si>
  <si>
    <t>PALMSH5S</t>
  </si>
  <si>
    <t>palmolive shower gel 500ml sensitive milk protect</t>
  </si>
  <si>
    <t>8718951248656</t>
  </si>
  <si>
    <t>08718951314306</t>
  </si>
  <si>
    <t>PALMBATHP</t>
  </si>
  <si>
    <t xml:space="preserve">palmolive bubble bath 500ml pamper &amp; indulge </t>
  </si>
  <si>
    <t>8718951720916</t>
  </si>
  <si>
    <t>08718951720909</t>
  </si>
  <si>
    <t>PALMBATHN</t>
  </si>
  <si>
    <t>palmolive bubble bath 500ml revive &amp; indulge</t>
  </si>
  <si>
    <t>8718951720763</t>
  </si>
  <si>
    <t>08718951720756</t>
  </si>
  <si>
    <t>PALMBATHR</t>
  </si>
  <si>
    <t>palmolive bubble bath 500 relax &amp; wind down</t>
  </si>
  <si>
    <t>8718951720879</t>
  </si>
  <si>
    <t>08718951720862</t>
  </si>
  <si>
    <t>PALMBMH750</t>
  </si>
  <si>
    <t>palmolive bath 750ml milk &amp; honey</t>
  </si>
  <si>
    <t>8718951293748</t>
  </si>
  <si>
    <t>08718951293731</t>
  </si>
  <si>
    <t>PALMSOAP</t>
  </si>
  <si>
    <t>palmolive soap 90g moisture original 3's</t>
  </si>
  <si>
    <t>8714789698922</t>
  </si>
  <si>
    <t>08714789698908</t>
  </si>
  <si>
    <t>PALMSOAW</t>
  </si>
  <si>
    <t>palmolive soap 90g almond  4's</t>
  </si>
  <si>
    <t>8718951364394</t>
  </si>
  <si>
    <t>08718951364387</t>
  </si>
  <si>
    <t>PALMSOAP4</t>
  </si>
  <si>
    <t>palmolive soap 90g green moisture  4's</t>
  </si>
  <si>
    <t>8714789703015</t>
  </si>
  <si>
    <t>08714789702995</t>
  </si>
  <si>
    <t>PALMPHE</t>
  </si>
  <si>
    <t>palmolive pump soap 300ml hygiene plus eucalyptus</t>
  </si>
  <si>
    <t>8003520042705</t>
  </si>
  <si>
    <t>08718951489578</t>
  </si>
  <si>
    <t>PALMPLI</t>
  </si>
  <si>
    <t>palmolive pump soap 300ml hygiene plus lime</t>
  </si>
  <si>
    <t>8003520023322</t>
  </si>
  <si>
    <t>08718951489639</t>
  </si>
  <si>
    <t>PANS27VB</t>
  </si>
  <si>
    <t>pantene shampoo 225ml volume &amp; body</t>
  </si>
  <si>
    <t xml:space="preserve">8006540476338 </t>
  </si>
  <si>
    <t>8006540476345</t>
  </si>
  <si>
    <t>PANS27SS</t>
  </si>
  <si>
    <t xml:space="preserve">pantene shampoo 250ml smooth &amp; silky miracle </t>
  </si>
  <si>
    <t>8006530041324</t>
  </si>
  <si>
    <t>8006530041348</t>
  </si>
  <si>
    <t>PANS3CC3</t>
  </si>
  <si>
    <t>pantene shampoo 325ml classic clean</t>
  </si>
  <si>
    <t>8700216566964</t>
  </si>
  <si>
    <t>8700216566971</t>
  </si>
  <si>
    <t>PANS3CP</t>
  </si>
  <si>
    <t>pantene shampoo 325ml colour protect</t>
  </si>
  <si>
    <t>8700216566926</t>
  </si>
  <si>
    <t>8700216566933</t>
  </si>
  <si>
    <t>PANS360RP</t>
  </si>
  <si>
    <t>pantene shampoo 325ml repair &amp; protect</t>
  </si>
  <si>
    <t>8700216567480</t>
  </si>
  <si>
    <t>8700216567510</t>
  </si>
  <si>
    <t>PANS3SS</t>
  </si>
  <si>
    <t>pantene shampoo 325ml smooth &amp; sleek</t>
  </si>
  <si>
    <t>8700216566919</t>
  </si>
  <si>
    <t>8700216566902</t>
  </si>
  <si>
    <t>PANS3VB</t>
  </si>
  <si>
    <t>pantene shampoo 325ml volume &amp; body</t>
  </si>
  <si>
    <t>8700216566841</t>
  </si>
  <si>
    <t>8700216566889</t>
  </si>
  <si>
    <t>PANS500CO</t>
  </si>
  <si>
    <t>pantene shampoo 500ml colour protect</t>
  </si>
  <si>
    <t>8006540988244</t>
  </si>
  <si>
    <t>8006540988251</t>
  </si>
  <si>
    <t>PANS500RP</t>
  </si>
  <si>
    <t>pantene shampoo 500ml repair and protect</t>
  </si>
  <si>
    <t>8006540988206</t>
  </si>
  <si>
    <t>8006540988190</t>
  </si>
  <si>
    <t>PANS500SS</t>
  </si>
  <si>
    <t>pantene shampoo 500ml smooth and sleek</t>
  </si>
  <si>
    <t>8006540988237</t>
  </si>
  <si>
    <t>8006540988220</t>
  </si>
  <si>
    <t>PAMPFC52</t>
  </si>
  <si>
    <t xml:space="preserve">pampers fresh clean wipes 52's </t>
  </si>
  <si>
    <t>8001841041360</t>
  </si>
  <si>
    <t>08001841041353</t>
  </si>
  <si>
    <t>PAMPS56</t>
  </si>
  <si>
    <t xml:space="preserve">pampers sensitive wipes 52's </t>
  </si>
  <si>
    <t>8001841041391</t>
  </si>
  <si>
    <t>08001841041384</t>
  </si>
  <si>
    <t>PEARS75</t>
  </si>
  <si>
    <t>pears soap orange 75g</t>
  </si>
  <si>
    <t>8901030005015</t>
  </si>
  <si>
    <t>8901030006029</t>
  </si>
  <si>
    <t>PEARS</t>
  </si>
  <si>
    <t>pears soap orange 125g</t>
  </si>
  <si>
    <t>5000228009194</t>
  </si>
  <si>
    <t>05000228999099</t>
  </si>
  <si>
    <t>PEARS100G</t>
  </si>
  <si>
    <t>pears soap 100g green</t>
  </si>
  <si>
    <t>8901030545818</t>
  </si>
  <si>
    <t>8901030528552</t>
  </si>
  <si>
    <t>PEARSG</t>
  </si>
  <si>
    <t>pears soap 125g green</t>
  </si>
  <si>
    <t>8901030024061</t>
  </si>
  <si>
    <t>48901030207097</t>
  </si>
  <si>
    <t>PEARSB</t>
  </si>
  <si>
    <t>pears soap blue germ shield 125g</t>
  </si>
  <si>
    <t>8901030483837</t>
  </si>
  <si>
    <t>18901030496827</t>
  </si>
  <si>
    <t>PLAX250C</t>
  </si>
  <si>
    <t>plax mouthwash 250ml coolmint</t>
  </si>
  <si>
    <t>8714789726137</t>
  </si>
  <si>
    <t>08714789726113</t>
  </si>
  <si>
    <t>PLAX250S</t>
  </si>
  <si>
    <t>plax mouthwash 250ml softmint</t>
  </si>
  <si>
    <t>8714789726229</t>
  </si>
  <si>
    <t>08714789726205</t>
  </si>
  <si>
    <t>PLAX500C</t>
  </si>
  <si>
    <t>plax mouthwash 500ml coolmint</t>
  </si>
  <si>
    <t>8714789726168</t>
  </si>
  <si>
    <t>08714789726144</t>
  </si>
  <si>
    <t>PLAX500S</t>
  </si>
  <si>
    <t>plax mouthwash 500ml softmint</t>
  </si>
  <si>
    <t>8714789726250</t>
  </si>
  <si>
    <t>08714789726236</t>
  </si>
  <si>
    <t>PJ4PC</t>
  </si>
  <si>
    <t>pet jelly 4 pack 10ml cocoa butter curelene</t>
  </si>
  <si>
    <t>8908016224088</t>
  </si>
  <si>
    <t>8908016224187</t>
  </si>
  <si>
    <t>PJ4PO</t>
  </si>
  <si>
    <t>pet jelly 4 pack 10ml original curelene</t>
  </si>
  <si>
    <t>8908016224033</t>
  </si>
  <si>
    <t>8908016224057</t>
  </si>
  <si>
    <t>PJ4PA</t>
  </si>
  <si>
    <t>pet jelly 4 pack 10ml aloe curelene</t>
  </si>
  <si>
    <t xml:space="preserve">8904442800810 </t>
  </si>
  <si>
    <t>8904442800827</t>
  </si>
  <si>
    <t>PJ4PR</t>
  </si>
  <si>
    <t>pet jelly 4 pack 10ml rosy curelene</t>
  </si>
  <si>
    <t xml:space="preserve">8904442800964 </t>
  </si>
  <si>
    <t>8904442800971</t>
  </si>
  <si>
    <t>PJ225</t>
  </si>
  <si>
    <t>petroleum jelly 225ml curelene original</t>
  </si>
  <si>
    <t>8908016224019</t>
  </si>
  <si>
    <t>8908016224040</t>
  </si>
  <si>
    <t>PJ225A</t>
  </si>
  <si>
    <t>petroleum jelly 225ml curelene aloe vera</t>
  </si>
  <si>
    <t xml:space="preserve">8908016224675 </t>
  </si>
  <si>
    <t>8908016224699</t>
  </si>
  <si>
    <t>PJ225COCOA</t>
  </si>
  <si>
    <t>petroleum jelly 225ml cocoa butter</t>
  </si>
  <si>
    <t xml:space="preserve">6909026224893 </t>
  </si>
  <si>
    <t>8908016224309</t>
  </si>
  <si>
    <t>PJ225C</t>
  </si>
  <si>
    <t>petroleum jelly 225ml coconut</t>
  </si>
  <si>
    <t>8908016224378</t>
  </si>
  <si>
    <t>8908016224385</t>
  </si>
  <si>
    <t>PJ225B</t>
  </si>
  <si>
    <t>petroleum jelly 225ml baby</t>
  </si>
  <si>
    <t xml:space="preserve">4961510224286 </t>
  </si>
  <si>
    <t>8908016224316</t>
  </si>
  <si>
    <t>PJ225GLY</t>
  </si>
  <si>
    <t>petroleum jelly 225ml glycerin</t>
  </si>
  <si>
    <t>8904442801497</t>
  </si>
  <si>
    <t>890442801510</t>
  </si>
  <si>
    <t>PJ225ME</t>
  </si>
  <si>
    <t>petroleum jelly 225ml menthol and camphor</t>
  </si>
  <si>
    <t>8904442801794</t>
  </si>
  <si>
    <t>8904442801817</t>
  </si>
  <si>
    <t>PJ225OUD</t>
  </si>
  <si>
    <t>petroleum jelly 225ml oud</t>
  </si>
  <si>
    <t>8908016224293</t>
  </si>
  <si>
    <t>8904442801282</t>
  </si>
  <si>
    <t>PJ225SB</t>
  </si>
  <si>
    <t>petroleum jelly 225ml shea butter</t>
  </si>
  <si>
    <t>8902016824545</t>
  </si>
  <si>
    <t>8908016224705</t>
  </si>
  <si>
    <t>PRCBALW1</t>
  </si>
  <si>
    <t>pretty cotton white balls 100's</t>
  </si>
  <si>
    <t>5031413953145</t>
  </si>
  <si>
    <t>5031413953152</t>
  </si>
  <si>
    <t>PRCBALC1</t>
  </si>
  <si>
    <t>pretty cotton coloured balls 100's</t>
  </si>
  <si>
    <t>5031413953114</t>
  </si>
  <si>
    <t>5031413953121</t>
  </si>
  <si>
    <t>PRCPLE100</t>
  </si>
  <si>
    <t>pretty cotton pleats 80g</t>
  </si>
  <si>
    <t>5031413936803</t>
  </si>
  <si>
    <t>5031413936827</t>
  </si>
  <si>
    <t>PRCROL100</t>
  </si>
  <si>
    <t>pretty cotton roll 80g</t>
  </si>
  <si>
    <t>5031413936834</t>
  </si>
  <si>
    <t>5031413936841</t>
  </si>
  <si>
    <t>QUEPADS100</t>
  </si>
  <si>
    <t>pretty pads 80's</t>
  </si>
  <si>
    <t xml:space="preserve">5031413903294 </t>
  </si>
  <si>
    <t xml:space="preserve">5031413925289 </t>
  </si>
  <si>
    <t>PRCBUD100</t>
  </si>
  <si>
    <t>pretty buds 100's bamboo stem</t>
  </si>
  <si>
    <t>5031413923698</t>
  </si>
  <si>
    <t>5031413923704</t>
  </si>
  <si>
    <t>QUEBUD200</t>
  </si>
  <si>
    <t>pretty cotton buds 200's paper stem</t>
  </si>
  <si>
    <t>5031413910902</t>
  </si>
  <si>
    <t>5031413910919</t>
  </si>
  <si>
    <t>PRETLBO</t>
  </si>
  <si>
    <t>pretty moisturising lip balm twin pack original</t>
  </si>
  <si>
    <t>5031413979930</t>
  </si>
  <si>
    <t>5031413979947</t>
  </si>
  <si>
    <t>PRETLBC</t>
  </si>
  <si>
    <t xml:space="preserve">pretty moisturising lip balm twin pack coconut </t>
  </si>
  <si>
    <t>5031413979961</t>
  </si>
  <si>
    <t>5031413979978</t>
  </si>
  <si>
    <t>PRETLBA</t>
  </si>
  <si>
    <t xml:space="preserve">pretty moisturising lip balm twin pack aloe vera </t>
  </si>
  <si>
    <t>5031413982312</t>
  </si>
  <si>
    <t>5031413982329</t>
  </si>
  <si>
    <t>PRETLBS</t>
  </si>
  <si>
    <t>pretty moisturising lip balm twin pack strawberry</t>
  </si>
  <si>
    <t>5031413979909</t>
  </si>
  <si>
    <t>5031413979916</t>
  </si>
  <si>
    <t>PRETLBB</t>
  </si>
  <si>
    <t>pretty moisturising lip balm twin pack blueberry</t>
  </si>
  <si>
    <t>5031413935158</t>
  </si>
  <si>
    <t>5031413935165</t>
  </si>
  <si>
    <t>PRETLBBL</t>
  </si>
  <si>
    <t>pretty moisturising lip balm twin pack blackberry</t>
  </si>
  <si>
    <t>5031413935189</t>
  </si>
  <si>
    <t>5031413935196</t>
  </si>
  <si>
    <t>PRETLBG</t>
  </si>
  <si>
    <t>pretty moisturising lip balm twin pack grape</t>
  </si>
  <si>
    <t>5031413937503</t>
  </si>
  <si>
    <t>5031413937510</t>
  </si>
  <si>
    <t>PRETLBW</t>
  </si>
  <si>
    <t>pretty moisturising lip balm twin pack watermelon</t>
  </si>
  <si>
    <t>5031413935219</t>
  </si>
  <si>
    <t>5031413935226</t>
  </si>
  <si>
    <t>PLEDMSJ</t>
  </si>
  <si>
    <t>pledge 5 in 1 multi surface jasmine 250ml</t>
  </si>
  <si>
    <t xml:space="preserve">5000204689297 </t>
  </si>
  <si>
    <t>05000204689303</t>
  </si>
  <si>
    <t>RAIDANTCO</t>
  </si>
  <si>
    <t>raid ant &amp; cockroach killer 300ml</t>
  </si>
  <si>
    <t>5000204579376</t>
  </si>
  <si>
    <t>05000204648379</t>
  </si>
  <si>
    <t>RADBFDET</t>
  </si>
  <si>
    <t>radox bath 500ml feel detoxed</t>
  </si>
  <si>
    <t>8710447260548</t>
  </si>
  <si>
    <t>08710447260562</t>
  </si>
  <si>
    <t>RADBFH</t>
  </si>
  <si>
    <t>radox bath liquid 500ml feel heavenly</t>
  </si>
  <si>
    <t>8710847950247</t>
  </si>
  <si>
    <t>08710847950285</t>
  </si>
  <si>
    <t>RADBMT</t>
  </si>
  <si>
    <t>radox bath 500ml muscle therapy</t>
  </si>
  <si>
    <t>5000231070112</t>
  </si>
  <si>
    <t>05000231070129</t>
  </si>
  <si>
    <t>RADBMS</t>
  </si>
  <si>
    <t>radox bath 500ml muscle soak</t>
  </si>
  <si>
    <t>5000231050831</t>
  </si>
  <si>
    <t>05000231050848</t>
  </si>
  <si>
    <t>RADBREV</t>
  </si>
  <si>
    <t>radox bath 500ml revitalise</t>
  </si>
  <si>
    <t>8720181586682</t>
  </si>
  <si>
    <t>08720181586699</t>
  </si>
  <si>
    <t>RADBREL</t>
  </si>
  <si>
    <t>radox bath 500ml relax</t>
  </si>
  <si>
    <t>8710847950223</t>
  </si>
  <si>
    <t>08710847950322</t>
  </si>
  <si>
    <t>RADBSR</t>
  </si>
  <si>
    <t>radox bath 500ml stress relief</t>
  </si>
  <si>
    <t>5000231050855</t>
  </si>
  <si>
    <t>05000231050862</t>
  </si>
  <si>
    <t>RADSGFREVI</t>
  </si>
  <si>
    <t>radox shower gel 225ml feel revived</t>
  </si>
  <si>
    <t>8720181336157</t>
  </si>
  <si>
    <t>08720181336379</t>
  </si>
  <si>
    <t>RADSGU</t>
  </si>
  <si>
    <t>radox shower gel 225ml feel uplifted</t>
  </si>
  <si>
    <t>8720181336126</t>
  </si>
  <si>
    <t>08720181336317</t>
  </si>
  <si>
    <t>RADSGM</t>
  </si>
  <si>
    <t>radox shower gel 225ml feel moisturised</t>
  </si>
  <si>
    <t>8720181336133</t>
  </si>
  <si>
    <t>08720181336331</t>
  </si>
  <si>
    <t>RADSGFH</t>
  </si>
  <si>
    <t>radox shower gel 225ml feel hydrated</t>
  </si>
  <si>
    <t>8720181465482</t>
  </si>
  <si>
    <t>8720181465499</t>
  </si>
  <si>
    <t>RADSGR</t>
  </si>
  <si>
    <t>radox shower gel 225ml feel refreshed</t>
  </si>
  <si>
    <t>8720181336058</t>
  </si>
  <si>
    <t>08720181336256</t>
  </si>
  <si>
    <t>RADSGFM</t>
  </si>
  <si>
    <t>radox shower gel 225ml for men 2 in 1 feel awake</t>
  </si>
  <si>
    <t>8720181336034</t>
  </si>
  <si>
    <t>08720181336218</t>
  </si>
  <si>
    <t>RADSGAC</t>
  </si>
  <si>
    <t>radox shower gel 225ml feel active</t>
  </si>
  <si>
    <t>8720181336096</t>
  </si>
  <si>
    <t>08720181336294</t>
  </si>
  <si>
    <t>RADSGPP</t>
  </si>
  <si>
    <t>radox shower gel 225ml pool party</t>
  </si>
  <si>
    <t>8720181492402</t>
  </si>
  <si>
    <t>08720181492440</t>
  </si>
  <si>
    <t>RADSG4FR</t>
  </si>
  <si>
    <t>radox shower gel 450ml feel refreshed</t>
  </si>
  <si>
    <t>8720181332524</t>
  </si>
  <si>
    <t>08720181332647</t>
  </si>
  <si>
    <t>RADSG6MO</t>
  </si>
  <si>
    <t>radox shower gel 675ml feel moisturised</t>
  </si>
  <si>
    <t>8720181326936</t>
  </si>
  <si>
    <t>08720181326974</t>
  </si>
  <si>
    <t>RGRWI</t>
  </si>
  <si>
    <t xml:space="preserve">right guard rollon womens invisible </t>
  </si>
  <si>
    <t>96138342</t>
  </si>
  <si>
    <t>05012583506348</t>
  </si>
  <si>
    <t>RGS250C</t>
  </si>
  <si>
    <t>right guard deo spray 250ml clean</t>
  </si>
  <si>
    <t>05012583500872</t>
  </si>
  <si>
    <t>RGS250P</t>
  </si>
  <si>
    <t>right guard deo spray 250ml pure sensitive</t>
  </si>
  <si>
    <t>05012583500926</t>
  </si>
  <si>
    <t>RGS250XC</t>
  </si>
  <si>
    <t>right guard deo spray 250ml xtreme cool</t>
  </si>
  <si>
    <t>SAA</t>
  </si>
  <si>
    <t>sanmex ant and crawling insect spray 300ml</t>
  </si>
  <si>
    <t>5010508150591</t>
  </si>
  <si>
    <t>05010508072916</t>
  </si>
  <si>
    <t>STERAAF</t>
  </si>
  <si>
    <t>steradent active fresh tablets 30s</t>
  </si>
  <si>
    <t>5011417566329</t>
  </si>
  <si>
    <t>18934839125513</t>
  </si>
  <si>
    <t>STERAAP</t>
  </si>
  <si>
    <t>steradent active plus tablets 30s</t>
  </si>
  <si>
    <t>5011417566312</t>
  </si>
  <si>
    <t>05011417783320</t>
  </si>
  <si>
    <t>SANROAF</t>
  </si>
  <si>
    <t>sanex roll-on 50ml active fresh</t>
  </si>
  <si>
    <t>8718951564428</t>
  </si>
  <si>
    <t>08718951564411</t>
  </si>
  <si>
    <t>SANROHFF</t>
  </si>
  <si>
    <t>sanex roll-on 50ml dermo hypoallergenic</t>
  </si>
  <si>
    <t>8718951610927</t>
  </si>
  <si>
    <t>08718951610910</t>
  </si>
  <si>
    <t>SANROHP</t>
  </si>
  <si>
    <t>sanex roll-on 50ml hydrate protect</t>
  </si>
  <si>
    <t>8718951431942</t>
  </si>
  <si>
    <t>87189514312935</t>
  </si>
  <si>
    <t>SANRONO</t>
  </si>
  <si>
    <t xml:space="preserve">sanex roll-on 50ml nourishing </t>
  </si>
  <si>
    <t>8718951729926</t>
  </si>
  <si>
    <t>08718951729919</t>
  </si>
  <si>
    <t>SAND2DS</t>
  </si>
  <si>
    <t>sanex deo 200ml dermo sensitive pm2.49</t>
  </si>
  <si>
    <t>5056267005406</t>
  </si>
  <si>
    <t>05056267005390</t>
  </si>
  <si>
    <t>SAND2DI</t>
  </si>
  <si>
    <t>sanex deo 200ml dermo invisible pm2.49</t>
  </si>
  <si>
    <t>5066267006383</t>
  </si>
  <si>
    <t>05056267005376</t>
  </si>
  <si>
    <t>SANDAF</t>
  </si>
  <si>
    <t>sanex deo 200ml dermo active fresh</t>
  </si>
  <si>
    <t>8718951730526</t>
  </si>
  <si>
    <t>08718951730519</t>
  </si>
  <si>
    <t>SANDINV</t>
  </si>
  <si>
    <t xml:space="preserve">sanex deo 200ml dermo invisible </t>
  </si>
  <si>
    <t>8718951730618</t>
  </si>
  <si>
    <t>08718951730601</t>
  </si>
  <si>
    <t>SANDSENS</t>
  </si>
  <si>
    <t xml:space="preserve">sanex deo 200ml dermo sensitive </t>
  </si>
  <si>
    <t>8718951730588</t>
  </si>
  <si>
    <t>08718951730571</t>
  </si>
  <si>
    <t>SANDEXC</t>
  </si>
  <si>
    <t>sanex deo 200ml dermo extra control</t>
  </si>
  <si>
    <t>8718951727687</t>
  </si>
  <si>
    <t>08718951727670</t>
  </si>
  <si>
    <t>SANDMAC</t>
  </si>
  <si>
    <t xml:space="preserve">sanex deo 200ml mens active control </t>
  </si>
  <si>
    <t>8718951730557</t>
  </si>
  <si>
    <t>08718951730540</t>
  </si>
  <si>
    <t>SANDMENS</t>
  </si>
  <si>
    <t xml:space="preserve">sanex deo spray 200ml mens sensitive 48hr </t>
  </si>
  <si>
    <t>SANSGMAF</t>
  </si>
  <si>
    <t>sanex shower gel mens 400ml active fresh</t>
  </si>
  <si>
    <t>8718951592889</t>
  </si>
  <si>
    <t>08718951592872</t>
  </si>
  <si>
    <t>SANBWZN</t>
  </si>
  <si>
    <t xml:space="preserve">sanex baby wash 450ml zero % baby nourish </t>
  </si>
  <si>
    <t>8718951647961</t>
  </si>
  <si>
    <t>08718951647954</t>
  </si>
  <si>
    <t>SANBWZF</t>
  </si>
  <si>
    <t>sanex baby wash 450ml zero% baby frag free</t>
  </si>
  <si>
    <t>8718951647930</t>
  </si>
  <si>
    <t>08718951647923</t>
  </si>
  <si>
    <t>SANBFDK570</t>
  </si>
  <si>
    <t>sanex bath foam 570ml dermo kids</t>
  </si>
  <si>
    <t>8718951417397</t>
  </si>
  <si>
    <t>08718951417380</t>
  </si>
  <si>
    <t>SANBFM570</t>
  </si>
  <si>
    <t>sanex bath foam 625ml dermo moisturising</t>
  </si>
  <si>
    <t>8718951389151</t>
  </si>
  <si>
    <t>08718951389144</t>
  </si>
  <si>
    <t>SANBFS570</t>
  </si>
  <si>
    <t>sanex bath foam 625ml dermo sensitive</t>
  </si>
  <si>
    <t>8718951386198</t>
  </si>
  <si>
    <t>08718951386181</t>
  </si>
  <si>
    <t>SANSGMOI</t>
  </si>
  <si>
    <t>sanex shower gel 570ml dermo moisturising</t>
  </si>
  <si>
    <t>8718951389120</t>
  </si>
  <si>
    <t>08718951389113</t>
  </si>
  <si>
    <t>SANSGPH</t>
  </si>
  <si>
    <t>sanex shower gel 570ml pro hydrate</t>
  </si>
  <si>
    <t>8718951386068</t>
  </si>
  <si>
    <t>08718951386051</t>
  </si>
  <si>
    <t>SANSGSEN</t>
  </si>
  <si>
    <t xml:space="preserve">sanex shower gel 570ml dermo sensitive </t>
  </si>
  <si>
    <t>8718951389779</t>
  </si>
  <si>
    <t>08718951389762</t>
  </si>
  <si>
    <t>SANSG7K</t>
  </si>
  <si>
    <t>sanex shower gel 720ml dermo kids</t>
  </si>
  <si>
    <t>8718951386273</t>
  </si>
  <si>
    <t>08718951390225</t>
  </si>
  <si>
    <t>SANSG7M</t>
  </si>
  <si>
    <t xml:space="preserve">sanex shower gel 720ml dermo moisturising  </t>
  </si>
  <si>
    <t>8718951389311</t>
  </si>
  <si>
    <t>08718951389489</t>
  </si>
  <si>
    <t>SANSG7S</t>
  </si>
  <si>
    <t xml:space="preserve">sanex shower gel 720ml dermo sensitive </t>
  </si>
  <si>
    <t>8718951392106</t>
  </si>
  <si>
    <t>08718951392243</t>
  </si>
  <si>
    <t>SIMPTWIN</t>
  </si>
  <si>
    <t xml:space="preserve">simple twin soap </t>
  </si>
  <si>
    <t>5054805039340</t>
  </si>
  <si>
    <t>05054805039357</t>
  </si>
  <si>
    <t>SIMPFSS</t>
  </si>
  <si>
    <t>simple smoothing facial scrub 75ml</t>
  </si>
  <si>
    <t>5011451103894</t>
  </si>
  <si>
    <t>08710447437087</t>
  </si>
  <si>
    <t>SIMPEMUR</t>
  </si>
  <si>
    <t>simple eye make up remover 125ml</t>
  </si>
  <si>
    <t>5011451103917</t>
  </si>
  <si>
    <t>05011451307698</t>
  </si>
  <si>
    <t>SIMPPCL</t>
  </si>
  <si>
    <t>simple purifying cleansing lotion 200ml</t>
  </si>
  <si>
    <t>5011451103849</t>
  </si>
  <si>
    <t>05011451307629</t>
  </si>
  <si>
    <t>SIMPMFG</t>
  </si>
  <si>
    <t xml:space="preserve">simple micellar gel wash water boost 150ml </t>
  </si>
  <si>
    <t>8710908710773</t>
  </si>
  <si>
    <t>08720181258022</t>
  </si>
  <si>
    <t>SIMPRAR</t>
  </si>
  <si>
    <t xml:space="preserve">simple age resisting facial wash  regeneration 150ml </t>
  </si>
  <si>
    <t>5011451104020</t>
  </si>
  <si>
    <t>08720181258121</t>
  </si>
  <si>
    <t>SIMPST</t>
  </si>
  <si>
    <t>simple soothing toner 200ml</t>
  </si>
  <si>
    <t>5011451103856</t>
  </si>
  <si>
    <t>05011451307636</t>
  </si>
  <si>
    <t>SIMPMFW</t>
  </si>
  <si>
    <t>simple moisturising foaming face wash 150ml</t>
  </si>
  <si>
    <t>5011451103870</t>
  </si>
  <si>
    <t>08720181258084</t>
  </si>
  <si>
    <t>SIMPRFW</t>
  </si>
  <si>
    <t>simple refreshing facial wash gel 150ml</t>
  </si>
  <si>
    <t>5011451103863</t>
  </si>
  <si>
    <t>08720181258046</t>
  </si>
  <si>
    <t>SIMPRRM</t>
  </si>
  <si>
    <t>simple replenish rich moisturiser 125ml</t>
  </si>
  <si>
    <t>5011451103948</t>
  </si>
  <si>
    <t>05011451307728</t>
  </si>
  <si>
    <t>SIMPHLM</t>
  </si>
  <si>
    <t>simple hydrating light moisturiser 125ml</t>
  </si>
  <si>
    <t>5011451103931</t>
  </si>
  <si>
    <t>05011451307711</t>
  </si>
  <si>
    <t>SIMPPFW</t>
  </si>
  <si>
    <t xml:space="preserve">simple purifying gel wash daily skin detox 150ml </t>
  </si>
  <si>
    <t>8710447474419</t>
  </si>
  <si>
    <t>08720181258145</t>
  </si>
  <si>
    <t>SIMPPPORE</t>
  </si>
  <si>
    <t>simple purify &amp; pore scrub 150ml</t>
  </si>
  <si>
    <t>8710447474426</t>
  </si>
  <si>
    <t>08720181258169</t>
  </si>
  <si>
    <t>SIMVVCN</t>
  </si>
  <si>
    <t>simple vital vitamin cream 50ml</t>
  </si>
  <si>
    <t>SENTBSS</t>
  </si>
  <si>
    <t xml:space="preserve">sensodyne toothbrush soft sensitive </t>
  </si>
  <si>
    <t>8901571010998</t>
  </si>
  <si>
    <t>18901571008848</t>
  </si>
  <si>
    <t>SENSCM</t>
  </si>
  <si>
    <t>sensodyne 75ml cool mint</t>
  </si>
  <si>
    <t>5054563216458</t>
  </si>
  <si>
    <t>SENSCAV</t>
  </si>
  <si>
    <t>sensodyne 75ml cavity &amp; sensitivity</t>
  </si>
  <si>
    <t>6001076901066</t>
  </si>
  <si>
    <t>6001076901073</t>
  </si>
  <si>
    <t>SENSGW</t>
  </si>
  <si>
    <t>sensodyne 75ml gentle whitening</t>
  </si>
  <si>
    <t>5054563042118</t>
  </si>
  <si>
    <t>05054563042125</t>
  </si>
  <si>
    <t>SENSDCG</t>
  </si>
  <si>
    <t>sensodyne 75ml deep clean gel</t>
  </si>
  <si>
    <t>5054563014627</t>
  </si>
  <si>
    <t>05054563014634</t>
  </si>
  <si>
    <t>SENSOM</t>
  </si>
  <si>
    <t>sensodyne 75ml daily care original mint</t>
  </si>
  <si>
    <t>5000347080685</t>
  </si>
  <si>
    <t>05000469080686</t>
  </si>
  <si>
    <t>SENSPRO</t>
  </si>
  <si>
    <t>sensodyne 75ml pronamel daily</t>
  </si>
  <si>
    <t>5000347022999</t>
  </si>
  <si>
    <t>05000469022990</t>
  </si>
  <si>
    <t>SENSPROW</t>
  </si>
  <si>
    <t>sensodyne 75ml pronamel whitening</t>
  </si>
  <si>
    <t>5000347034091</t>
  </si>
  <si>
    <t>05000469034092</t>
  </si>
  <si>
    <t>SIGNAL10</t>
  </si>
  <si>
    <t>signal toothpaste 100ml cavity protection   (2x6)</t>
  </si>
  <si>
    <t>3912689645118</t>
  </si>
  <si>
    <t>18934839126893</t>
  </si>
  <si>
    <t>SIGNALH100</t>
  </si>
  <si>
    <t>signal toothpaste 100ml herbal green tea  (2x6)</t>
  </si>
  <si>
    <t>3912690245120</t>
  </si>
  <si>
    <t>18934839126909</t>
  </si>
  <si>
    <t>SIGNALW100</t>
  </si>
  <si>
    <t>signal toothpaste 100ml whitening   (2x6)</t>
  </si>
  <si>
    <t>3911609545119</t>
  </si>
  <si>
    <t>18934839126916</t>
  </si>
  <si>
    <t>SIGTEASY</t>
  </si>
  <si>
    <t>signal toothbrush easy clean medium</t>
  </si>
  <si>
    <t>886467014062</t>
  </si>
  <si>
    <t>SOAPBOX</t>
  </si>
  <si>
    <t>soap boxes</t>
  </si>
  <si>
    <t>5011597005632</t>
  </si>
  <si>
    <t>5011597025630</t>
  </si>
  <si>
    <t>STIVESSBC</t>
  </si>
  <si>
    <t>st ives blemish control apricot scrub 150ml</t>
  </si>
  <si>
    <t>5012254559777</t>
  </si>
  <si>
    <t>08717163707609</t>
  </si>
  <si>
    <t>STIVESOS</t>
  </si>
  <si>
    <t>st ives nourish and soothe scrub 150ml</t>
  </si>
  <si>
    <t>8710908812415</t>
  </si>
  <si>
    <t>08710908812361</t>
  </si>
  <si>
    <t>STIVESEB</t>
  </si>
  <si>
    <t>st ives scrub even &amp; bright radiant skin scrub 150ml</t>
  </si>
  <si>
    <t>8710908812576</t>
  </si>
  <si>
    <t>08717163707647</t>
  </si>
  <si>
    <t>SUDOC125</t>
  </si>
  <si>
    <t>sudocrem 125g</t>
  </si>
  <si>
    <t xml:space="preserve">5017007601289 </t>
  </si>
  <si>
    <t>05017007602019</t>
  </si>
  <si>
    <t>SUDOC250</t>
  </si>
  <si>
    <t>sudocrem 250g</t>
  </si>
  <si>
    <t>5017007601302</t>
  </si>
  <si>
    <t>05017007601319</t>
  </si>
  <si>
    <t>SUDO400C</t>
  </si>
  <si>
    <t>sudocrem 400g</t>
  </si>
  <si>
    <t>5017007601326</t>
  </si>
  <si>
    <t>05017007602033</t>
  </si>
  <si>
    <t>SURERBR</t>
  </si>
  <si>
    <t>sure roll-on 50ml womens bright bouquet</t>
  </si>
  <si>
    <t>59095781</t>
  </si>
  <si>
    <t>08720181274350</t>
  </si>
  <si>
    <t>SURERIBWW</t>
  </si>
  <si>
    <t xml:space="preserve">sure roll-on 50ml womens invisible black &amp; white </t>
  </si>
  <si>
    <t>59099758</t>
  </si>
  <si>
    <t>08720181577093</t>
  </si>
  <si>
    <t>SUREROM</t>
  </si>
  <si>
    <t>sure roll-on 50ml men's original dry</t>
  </si>
  <si>
    <t>59095712</t>
  </si>
  <si>
    <t>08720181274077</t>
  </si>
  <si>
    <t>SURERSM</t>
  </si>
  <si>
    <t xml:space="preserve">sure roll-on 50ml men's sensitive </t>
  </si>
  <si>
    <t>59095729</t>
  </si>
  <si>
    <t>08720181274114</t>
  </si>
  <si>
    <t>SURERII</t>
  </si>
  <si>
    <t>sure roll-on 50ml men's invisible ice fresh</t>
  </si>
  <si>
    <t xml:space="preserve">87343052 </t>
  </si>
  <si>
    <t>08710447330180</t>
  </si>
  <si>
    <t>SURERIA</t>
  </si>
  <si>
    <t>sure roll-on 50ml womens non stop invisible aqua</t>
  </si>
  <si>
    <t>59095750</t>
  </si>
  <si>
    <t>08720181274237</t>
  </si>
  <si>
    <t>SURERNSPF</t>
  </si>
  <si>
    <t>sure roll-on 50ml womens non stop pure fresh</t>
  </si>
  <si>
    <t>59095767</t>
  </si>
  <si>
    <t>08720181274275</t>
  </si>
  <si>
    <t>SURERNSBB</t>
  </si>
  <si>
    <t>sure roll-on 50ml non stop bright bouquet</t>
  </si>
  <si>
    <t>59095736</t>
  </si>
  <si>
    <t>08720181274152</t>
  </si>
  <si>
    <t>SURERNSCD</t>
  </si>
  <si>
    <t>sure roll-on 50ml non stop cotton dry</t>
  </si>
  <si>
    <t>59095743</t>
  </si>
  <si>
    <t>08720181274190</t>
  </si>
  <si>
    <t>SURERNSUP</t>
  </si>
  <si>
    <t>sure roll-on 50ml non stop uplifting watermelon fresh</t>
  </si>
  <si>
    <t>59095774</t>
  </si>
  <si>
    <t>08720181274312</t>
  </si>
  <si>
    <t>SURERNSIIF</t>
  </si>
  <si>
    <t>sure roll-on 50ml mens non stop invisible ice fresh</t>
  </si>
  <si>
    <t>59095682</t>
  </si>
  <si>
    <t>08720181275074</t>
  </si>
  <si>
    <t>SURERQ</t>
  </si>
  <si>
    <t>sure roll-on 50ml mens non stop quantum dry</t>
  </si>
  <si>
    <t>59095699</t>
  </si>
  <si>
    <t>08720181275111</t>
  </si>
  <si>
    <t>SURERMUF</t>
  </si>
  <si>
    <t>sure roll-on 50ml mens non stop ultra fresh</t>
  </si>
  <si>
    <t>59095705</t>
  </si>
  <si>
    <t>08720181274039</t>
  </si>
  <si>
    <t>SURESA</t>
  </si>
  <si>
    <t>sure spray 150ml active</t>
  </si>
  <si>
    <t xml:space="preserve">8717644331750 </t>
  </si>
  <si>
    <t>08717644331767</t>
  </si>
  <si>
    <t>SURESII</t>
  </si>
  <si>
    <t>sure spray 150ml invisible ice</t>
  </si>
  <si>
    <t xml:space="preserve">8717644721421 </t>
  </si>
  <si>
    <t>08717644721452</t>
  </si>
  <si>
    <t>SURESCP</t>
  </si>
  <si>
    <t>sure spray 150ml invisible pure</t>
  </si>
  <si>
    <t>8712561880176</t>
  </si>
  <si>
    <t>08712561879989</t>
  </si>
  <si>
    <t>SURESQ</t>
  </si>
  <si>
    <t>sure spray 150ml quantum</t>
  </si>
  <si>
    <t>8717644300428</t>
  </si>
  <si>
    <t>08717644300435</t>
  </si>
  <si>
    <t>SURESWL</t>
  </si>
  <si>
    <t>sure spray 150ml water lily</t>
  </si>
  <si>
    <t>8720181459849</t>
  </si>
  <si>
    <t>8720181459863</t>
  </si>
  <si>
    <t>SURE200A</t>
  </si>
  <si>
    <t xml:space="preserve">sure spray 200ml active </t>
  </si>
  <si>
    <t xml:space="preserve">8720181334948 </t>
  </si>
  <si>
    <t>08720181335365</t>
  </si>
  <si>
    <t>SURE200BM</t>
  </si>
  <si>
    <t>sure spray 200ml bergamot &amp; mint</t>
  </si>
  <si>
    <t xml:space="preserve">8720181579073 </t>
  </si>
  <si>
    <t>08720181579134</t>
  </si>
  <si>
    <t>SURE200B</t>
  </si>
  <si>
    <t>sure spray 200ml bright</t>
  </si>
  <si>
    <t>8720181334832</t>
  </si>
  <si>
    <t>08720181335228</t>
  </si>
  <si>
    <t>SURE200C</t>
  </si>
  <si>
    <t>sure spray 200ml cotton</t>
  </si>
  <si>
    <t>8720181334849</t>
  </si>
  <si>
    <t>08720181335266</t>
  </si>
  <si>
    <t>SURE200F</t>
  </si>
  <si>
    <t>sure spray 200ml fresh</t>
  </si>
  <si>
    <t>8720181476792</t>
  </si>
  <si>
    <t>08720181476808</t>
  </si>
  <si>
    <t>SURE200II</t>
  </si>
  <si>
    <t>sure spray 200ml invisible ice</t>
  </si>
  <si>
    <t>8720181334955</t>
  </si>
  <si>
    <t>08720181335389</t>
  </si>
  <si>
    <t>SURE200IP</t>
  </si>
  <si>
    <t>sure spray 200ml invisible pure</t>
  </si>
  <si>
    <t>8720181334870</t>
  </si>
  <si>
    <t>08720181335280</t>
  </si>
  <si>
    <t>SURE200PJ</t>
  </si>
  <si>
    <t>sure spray 200ml pear &amp; jasmine</t>
  </si>
  <si>
    <t xml:space="preserve">8720181579066 </t>
  </si>
  <si>
    <t>09720181579158</t>
  </si>
  <si>
    <t>SURE200Q</t>
  </si>
  <si>
    <t>sure spray 200ml quantum mens</t>
  </si>
  <si>
    <t>8720181334917</t>
  </si>
  <si>
    <t>08720181335327</t>
  </si>
  <si>
    <t>SURE200SF</t>
  </si>
  <si>
    <t>sure spray 200ml shower fresh</t>
  </si>
  <si>
    <t>8720181334900</t>
  </si>
  <si>
    <t>08720181335303</t>
  </si>
  <si>
    <t>SURE200SD</t>
  </si>
  <si>
    <t>sure spray 200ml sport defence</t>
  </si>
  <si>
    <t>8720181339431</t>
  </si>
  <si>
    <t>08720181339448</t>
  </si>
  <si>
    <t>SURE300B</t>
  </si>
  <si>
    <t>sure spray 300ml xxl bright</t>
  </si>
  <si>
    <t>SURE300I</t>
  </si>
  <si>
    <t>sure spray 300ml xxl invisible ice</t>
  </si>
  <si>
    <t>SUPERSS</t>
  </si>
  <si>
    <t>superbright 10pk sponge scourer</t>
  </si>
  <si>
    <t xml:space="preserve">5011597001443 </t>
  </si>
  <si>
    <t>5011597302823</t>
  </si>
  <si>
    <t>SUPERABC</t>
  </si>
  <si>
    <t>superbright 10pk super absorbant cloth</t>
  </si>
  <si>
    <t xml:space="preserve">5011597008282 </t>
  </si>
  <si>
    <t xml:space="preserve">5011597018281 </t>
  </si>
  <si>
    <t>SUPERSC6</t>
  </si>
  <si>
    <t>superbright 4pk sponge cloths</t>
  </si>
  <si>
    <t>5011597092939</t>
  </si>
  <si>
    <t>5011597302939</t>
  </si>
  <si>
    <t>SUPERDC6</t>
  </si>
  <si>
    <t>superbright dish cloths 6's</t>
  </si>
  <si>
    <t>5011597093219</t>
  </si>
  <si>
    <t>5011597303219</t>
  </si>
  <si>
    <t>SUPERCAR</t>
  </si>
  <si>
    <t>superbright jumbo car sponge</t>
  </si>
  <si>
    <t xml:space="preserve">5011597008015 </t>
  </si>
  <si>
    <t>5011597038012</t>
  </si>
  <si>
    <t>TAMCOMSP</t>
  </si>
  <si>
    <t>tampax compak 18's super plus</t>
  </si>
  <si>
    <t xml:space="preserve">8001090705723 </t>
  </si>
  <si>
    <t>08001090705716</t>
  </si>
  <si>
    <t>TAMR20</t>
  </si>
  <si>
    <t>tampax regular 20's</t>
  </si>
  <si>
    <t>4015400363033</t>
  </si>
  <si>
    <t>04015400438762</t>
  </si>
  <si>
    <t>TAMS20</t>
  </si>
  <si>
    <t>tampax super 20's</t>
  </si>
  <si>
    <t>4015400363002</t>
  </si>
  <si>
    <t>04015400438786</t>
  </si>
  <si>
    <t>TAMSP2012</t>
  </si>
  <si>
    <t>tampax super plus 20's</t>
  </si>
  <si>
    <t>8700216012447</t>
  </si>
  <si>
    <t>08700216012454</t>
  </si>
  <si>
    <t>TIGERBR</t>
  </si>
  <si>
    <t>tiger balm 19g red</t>
  </si>
  <si>
    <t>5014713200102</t>
  </si>
  <si>
    <t>05010232048171</t>
  </si>
  <si>
    <t>TIGERBW</t>
  </si>
  <si>
    <t>tiger balm 19g white</t>
  </si>
  <si>
    <t>5014713200105</t>
  </si>
  <si>
    <t>05010232048164</t>
  </si>
  <si>
    <t>TOUCHSS</t>
  </si>
  <si>
    <t>touch of silver colour care shampoo 200ml</t>
  </si>
  <si>
    <t xml:space="preserve">5012008721004 </t>
  </si>
  <si>
    <t>05012008721011</t>
  </si>
  <si>
    <t>TOUCHSC</t>
  </si>
  <si>
    <t>touch of silver colour care 200ml conditioner</t>
  </si>
  <si>
    <t>5012008721202</t>
  </si>
  <si>
    <t>05012008721219</t>
  </si>
  <si>
    <t>TOUWTS</t>
  </si>
  <si>
    <t>touch of silver brightening shampoo 150ml</t>
  </si>
  <si>
    <t xml:space="preserve">5012008467506 </t>
  </si>
  <si>
    <t>05012008467513</t>
  </si>
  <si>
    <t>TOUIC</t>
  </si>
  <si>
    <t>touch of silver intensive conditioner 150ml</t>
  </si>
  <si>
    <t>5012008721103</t>
  </si>
  <si>
    <t>05012008721110</t>
  </si>
  <si>
    <t>TOUCHGOC</t>
  </si>
  <si>
    <t>touch of silver provoke go icy conditioner 150ml</t>
  </si>
  <si>
    <t>5012008747103</t>
  </si>
  <si>
    <t>05012008747110</t>
  </si>
  <si>
    <t>TRESKSMOIL</t>
  </si>
  <si>
    <t>tresemme 75ml keratin smooth oil</t>
  </si>
  <si>
    <t>8720181603976</t>
  </si>
  <si>
    <t>08720181604027</t>
  </si>
  <si>
    <t>TRESCS170KFP</t>
  </si>
  <si>
    <t xml:space="preserve">tresemme 1 minute 170ml smooth conditioner keratin treatment </t>
  </si>
  <si>
    <t>8720181231186</t>
  </si>
  <si>
    <t>08720181231216</t>
  </si>
  <si>
    <t>TRESCBR170</t>
  </si>
  <si>
    <t>tresemme 1 minute 170ml wow conditioner biotin repair</t>
  </si>
  <si>
    <t>8720181231193</t>
  </si>
  <si>
    <t>8720181231230</t>
  </si>
  <si>
    <t>TRESC1KUS</t>
  </si>
  <si>
    <t>tresemme 100ml keratin ultra smooth condioner</t>
  </si>
  <si>
    <t>8710908694813</t>
  </si>
  <si>
    <t>08710908696374</t>
  </si>
  <si>
    <t>TRESLCSBR</t>
  </si>
  <si>
    <t>tresemme 200ml leave in cream serum biotin repair</t>
  </si>
  <si>
    <t>8720181594854</t>
  </si>
  <si>
    <t>08720181594892</t>
  </si>
  <si>
    <t>TRESLCRM</t>
  </si>
  <si>
    <t xml:space="preserve">tresemme 200ml leave in rich moisture cream </t>
  </si>
  <si>
    <t>8720181594847</t>
  </si>
  <si>
    <t>08720181159878</t>
  </si>
  <si>
    <t>TRESHS2EH</t>
  </si>
  <si>
    <t>tresemme hairspray 250ml extra hold</t>
  </si>
  <si>
    <t>5012254068151</t>
  </si>
  <si>
    <t>05000297636604</t>
  </si>
  <si>
    <t>TRESHS2FH</t>
  </si>
  <si>
    <t>tresemme hairspray 250ml freeze hold</t>
  </si>
  <si>
    <t>5012254068144</t>
  </si>
  <si>
    <t>05000297636598</t>
  </si>
  <si>
    <t>TRESHS3EH</t>
  </si>
  <si>
    <t>tresemme hairspray 300ml extra hold</t>
  </si>
  <si>
    <t>8720181646751</t>
  </si>
  <si>
    <t>08720181646799</t>
  </si>
  <si>
    <t>TRESHS4EH</t>
  </si>
  <si>
    <t>tresemme hairspray 400ml extra hold</t>
  </si>
  <si>
    <t>8710447299081</t>
  </si>
  <si>
    <t>08710447299258</t>
  </si>
  <si>
    <t>TRESLAOIL75</t>
  </si>
  <si>
    <t>tresemme 75ml lamellar shine oil</t>
  </si>
  <si>
    <t>8720181482618</t>
  </si>
  <si>
    <t>08720181482625</t>
  </si>
  <si>
    <t>TRESLASPR200</t>
  </si>
  <si>
    <t>tresemme 200ml lamellar shine gloss spray</t>
  </si>
  <si>
    <t>8720181623134</t>
  </si>
  <si>
    <t>08720181623158</t>
  </si>
  <si>
    <t>TRESLASER200</t>
  </si>
  <si>
    <t>tresemme 200ml lamellar shine serum</t>
  </si>
  <si>
    <t>8720181474637</t>
  </si>
  <si>
    <t>08720181474644</t>
  </si>
  <si>
    <t>TRESLAMASK440</t>
  </si>
  <si>
    <t>tresemme 440ml lamellar shine mask</t>
  </si>
  <si>
    <t>8720181518942</t>
  </si>
  <si>
    <t>08720181518959</t>
  </si>
  <si>
    <t>TRESMASKCOC</t>
  </si>
  <si>
    <t>tresemme 440ml nourishing coconut hair mask</t>
  </si>
  <si>
    <t>8720181238031</t>
  </si>
  <si>
    <t>08720181239093</t>
  </si>
  <si>
    <t>TRESMASKCR</t>
  </si>
  <si>
    <t>tresemme 440ml colour revitalise hair mask</t>
  </si>
  <si>
    <t>8720181238055</t>
  </si>
  <si>
    <t>08720181238130</t>
  </si>
  <si>
    <t>TRESMASKRIC</t>
  </si>
  <si>
    <t>tresemme 440ml rich moisture hair mask</t>
  </si>
  <si>
    <t>8720181238413</t>
  </si>
  <si>
    <t>08720181238482</t>
  </si>
  <si>
    <t>TRESS300CLE</t>
  </si>
  <si>
    <t>tresemme 300ml shampoo cleanse replenish</t>
  </si>
  <si>
    <t>8720182513786</t>
  </si>
  <si>
    <t>08720182514257</t>
  </si>
  <si>
    <t>TRESS300LAM</t>
  </si>
  <si>
    <t>tresemme 300ml shampoo lamellar shine</t>
  </si>
  <si>
    <t>8720181474682</t>
  </si>
  <si>
    <t>08720181474729</t>
  </si>
  <si>
    <t>TRESC300LAM</t>
  </si>
  <si>
    <t>tresemme 300ml conditioner lamellar shine</t>
  </si>
  <si>
    <t>8720181474699</t>
  </si>
  <si>
    <t>08720181474736</t>
  </si>
  <si>
    <t>TRESS300KER</t>
  </si>
  <si>
    <t>tresemme 300ml shampoo keratin smooth</t>
  </si>
  <si>
    <t>08720181474040</t>
  </si>
  <si>
    <t>TRESC300KER</t>
  </si>
  <si>
    <t>tresemme 300ml conditioner keratin smooth</t>
  </si>
  <si>
    <t>8720181474026</t>
  </si>
  <si>
    <t>8720181474088</t>
  </si>
  <si>
    <t>TRESC500KER</t>
  </si>
  <si>
    <t>tresemme 500ml conditioner keratin smooth</t>
  </si>
  <si>
    <t>08720181700026</t>
  </si>
  <si>
    <t>TRESS500KER</t>
  </si>
  <si>
    <t>tresemme 500ml shampoo keratin smooth</t>
  </si>
  <si>
    <t>08720181699948</t>
  </si>
  <si>
    <t>TRESS5BR</t>
  </si>
  <si>
    <t xml:space="preserve">tresemme 500ml shampoo biotin repair </t>
  </si>
  <si>
    <t>8720181699825</t>
  </si>
  <si>
    <t>08720181699924</t>
  </si>
  <si>
    <t>TRESC5BR</t>
  </si>
  <si>
    <t xml:space="preserve">tresemme 500ml conditioner biotin repair </t>
  </si>
  <si>
    <t>8720181699856</t>
  </si>
  <si>
    <t>08720181700002</t>
  </si>
  <si>
    <t>TUSKBL</t>
  </si>
  <si>
    <t>tusk body spray 150ml blue</t>
  </si>
  <si>
    <t>5028748000040</t>
  </si>
  <si>
    <t>5028748108296</t>
  </si>
  <si>
    <t>TUSKG</t>
  </si>
  <si>
    <t>tusk body spray 150ml green</t>
  </si>
  <si>
    <t>5028748105417</t>
  </si>
  <si>
    <t>5028748108265</t>
  </si>
  <si>
    <t>TUSKO</t>
  </si>
  <si>
    <t>tusk body spray 150ml orange</t>
  </si>
  <si>
    <t>5028748105424</t>
  </si>
  <si>
    <t>5028748108289</t>
  </si>
  <si>
    <t>TUSKR</t>
  </si>
  <si>
    <t>tusk body spray 150ml red</t>
  </si>
  <si>
    <t>5028748105400</t>
  </si>
  <si>
    <t>5028748108272</t>
  </si>
  <si>
    <t>tuskoud</t>
  </si>
  <si>
    <t>tusk body spray 150ml oud</t>
  </si>
  <si>
    <t>5028748108333</t>
  </si>
  <si>
    <t>5028748108340</t>
  </si>
  <si>
    <t>TSPP</t>
  </si>
  <si>
    <t>truesmile propurple toothpaste &amp; brush</t>
  </si>
  <si>
    <t>5061015250977</t>
  </si>
  <si>
    <t>15061015250974</t>
  </si>
  <si>
    <t>TSPW</t>
  </si>
  <si>
    <t>truesmile advanced whitening toothpaste &amp; brush</t>
  </si>
  <si>
    <t>5061015250564</t>
  </si>
  <si>
    <t>15061015250561</t>
  </si>
  <si>
    <t>TSCC</t>
  </si>
  <si>
    <t>truesmile complete care toothpaste &amp; brush</t>
  </si>
  <si>
    <t>5061015250571</t>
  </si>
  <si>
    <t>15061015250578</t>
  </si>
  <si>
    <t>TSEC</t>
  </si>
  <si>
    <t>truesmile extreme clean toothpaste &amp; brush</t>
  </si>
  <si>
    <t>5061015250557</t>
  </si>
  <si>
    <t>15061015250554</t>
  </si>
  <si>
    <t>TSIF</t>
  </si>
  <si>
    <t>truesmile intense fresh toothpaste &amp; brush</t>
  </si>
  <si>
    <t>5061015250540</t>
  </si>
  <si>
    <t>15061015250547</t>
  </si>
  <si>
    <t>TSKB</t>
  </si>
  <si>
    <t>truesmile kids bubblegum toothpaste &amp; brush</t>
  </si>
  <si>
    <t>5061015253732</t>
  </si>
  <si>
    <t>15061015253739</t>
  </si>
  <si>
    <t>VASESOE</t>
  </si>
  <si>
    <t>vaseline soap 3 pack 75g total moisture soy &amp; oat</t>
  </si>
  <si>
    <t>8886467060861</t>
  </si>
  <si>
    <t>18886467060868</t>
  </si>
  <si>
    <t>VASESOH</t>
  </si>
  <si>
    <t>vaseline soap 3 pack 75g bright vit b3</t>
  </si>
  <si>
    <t>8886467060854</t>
  </si>
  <si>
    <t>18886467060851</t>
  </si>
  <si>
    <t>VASDSR100</t>
  </si>
  <si>
    <t>vaseline hand and body lotion dark spot rescue 100ml</t>
  </si>
  <si>
    <t>8720181158353</t>
  </si>
  <si>
    <t>08720181164019</t>
  </si>
  <si>
    <t>VASGHDR75</t>
  </si>
  <si>
    <t>vaseline gluta - hya 75ml serum burst lotion dewy radiance</t>
  </si>
  <si>
    <t>8720181797514</t>
  </si>
  <si>
    <t>08720181797521</t>
  </si>
  <si>
    <t>VASHAN75</t>
  </si>
  <si>
    <t>vaseline hand and nail 75ml</t>
  </si>
  <si>
    <t>8712561485524</t>
  </si>
  <si>
    <t>08712561485197</t>
  </si>
  <si>
    <t>VASHAN2</t>
  </si>
  <si>
    <t xml:space="preserve">vaseline hand and nail 200ml </t>
  </si>
  <si>
    <t>8712561485548</t>
  </si>
  <si>
    <t>08712561485517</t>
  </si>
  <si>
    <t>VASHBDB</t>
  </si>
  <si>
    <t>vaseline healthy bright lotion 600ml pump pink</t>
  </si>
  <si>
    <t>8901030841125</t>
  </si>
  <si>
    <t>28901030841129</t>
  </si>
  <si>
    <t>VASAR2</t>
  </si>
  <si>
    <t>vaseline advance repair 200ml</t>
  </si>
  <si>
    <t>8712561478762</t>
  </si>
  <si>
    <t>08712561478779</t>
  </si>
  <si>
    <t>VASAR4</t>
  </si>
  <si>
    <t xml:space="preserve">vaseline advanced repair 400ml </t>
  </si>
  <si>
    <t>8712561480369</t>
  </si>
  <si>
    <t>08780181351068</t>
  </si>
  <si>
    <t>VASAR6</t>
  </si>
  <si>
    <t>vaseline advanced repair 600ml pump</t>
  </si>
  <si>
    <t>8901030841132</t>
  </si>
  <si>
    <t>28901030841136</t>
  </si>
  <si>
    <t>VASALO2</t>
  </si>
  <si>
    <t>vaseline aloe soothe 200ml</t>
  </si>
  <si>
    <t>8712561481663</t>
  </si>
  <si>
    <t>08712561481625</t>
  </si>
  <si>
    <t>VASALO4</t>
  </si>
  <si>
    <t>vaseline aloe soothe 400ml</t>
  </si>
  <si>
    <t>8712561482318</t>
  </si>
  <si>
    <t>08720181351006</t>
  </si>
  <si>
    <t>VASALO6</t>
  </si>
  <si>
    <t>vaseline aloe soothe 600ml pump</t>
  </si>
  <si>
    <t>8901030841118</t>
  </si>
  <si>
    <t>28901030841112</t>
  </si>
  <si>
    <t>VASALO7</t>
  </si>
  <si>
    <t>vaseline aloe soothe 725ml pump</t>
  </si>
  <si>
    <t>8901030912993</t>
  </si>
  <si>
    <t>18901030912990</t>
  </si>
  <si>
    <t>VASESS2</t>
  </si>
  <si>
    <t>vaseline essential moisture 200ml</t>
  </si>
  <si>
    <t>8712561479806</t>
  </si>
  <si>
    <t>08712561479790</t>
  </si>
  <si>
    <t>VASESS4</t>
  </si>
  <si>
    <t xml:space="preserve">vaseline essential healing 400ml </t>
  </si>
  <si>
    <t>8712561484398</t>
  </si>
  <si>
    <t>08720181351044</t>
  </si>
  <si>
    <t>VASESS600</t>
  </si>
  <si>
    <t>vaseline essential healing 600ml pump</t>
  </si>
  <si>
    <t>8901030841095</t>
  </si>
  <si>
    <t>28901030841099</t>
  </si>
  <si>
    <t>VASCO75</t>
  </si>
  <si>
    <t>vaseline hand cream 75ml cocoa</t>
  </si>
  <si>
    <t>8720181346514</t>
  </si>
  <si>
    <t>08720181346521</t>
  </si>
  <si>
    <t>VASCOC2</t>
  </si>
  <si>
    <t>vaseline cocoa radiant butter 200ml</t>
  </si>
  <si>
    <t>8712561483094</t>
  </si>
  <si>
    <t>08712561483049</t>
  </si>
  <si>
    <t>VASCOC4</t>
  </si>
  <si>
    <t xml:space="preserve">vaseline cocoa radiant 400ml </t>
  </si>
  <si>
    <t>8712561483162</t>
  </si>
  <si>
    <t>08720181351020</t>
  </si>
  <si>
    <t>VASCOC6</t>
  </si>
  <si>
    <t>vaseline cocoa butter 600ml pump</t>
  </si>
  <si>
    <t>8901030841101</t>
  </si>
  <si>
    <t>28901030841105</t>
  </si>
  <si>
    <t>VASCOC7</t>
  </si>
  <si>
    <t>vaseline cocoa butter 725ml pump</t>
  </si>
  <si>
    <t>8901030912986</t>
  </si>
  <si>
    <t>18901030912983</t>
  </si>
  <si>
    <t>VASCALMH6</t>
  </si>
  <si>
    <t>vaseline calming healing 600ml pump</t>
  </si>
  <si>
    <t>305210043596</t>
  </si>
  <si>
    <t>18901030841139</t>
  </si>
  <si>
    <t>VASMS4</t>
  </si>
  <si>
    <t xml:space="preserve">vaseline mature skin 400ml     </t>
  </si>
  <si>
    <t xml:space="preserve">8714100012604 </t>
  </si>
  <si>
    <t>08714100012642</t>
  </si>
  <si>
    <t>VASOILCOCOA</t>
  </si>
  <si>
    <t xml:space="preserve">vaseline body oil 200ml cocoa radiant </t>
  </si>
  <si>
    <t>8886467039997</t>
  </si>
  <si>
    <t>18886467039994</t>
  </si>
  <si>
    <t>VASOILCREST</t>
  </si>
  <si>
    <t>vaseline body oil 200ml coconut restore</t>
  </si>
  <si>
    <t>8886467042560</t>
  </si>
  <si>
    <t>18886467042567</t>
  </si>
  <si>
    <t>VASOILCALM</t>
  </si>
  <si>
    <t>vaseline body oil 200ml calming healing</t>
  </si>
  <si>
    <t>8886304601141</t>
  </si>
  <si>
    <t>28886304601145</t>
  </si>
  <si>
    <t>VASOILBRIG</t>
  </si>
  <si>
    <t>vaseline body oil 200ml daily brightening</t>
  </si>
  <si>
    <t>8886304600397</t>
  </si>
  <si>
    <t>28886304600391</t>
  </si>
  <si>
    <t>VHT1</t>
  </si>
  <si>
    <t>vaseline hair tonic 100ml</t>
  </si>
  <si>
    <t>8901030556647</t>
  </si>
  <si>
    <t>18901030556644</t>
  </si>
  <si>
    <t>VASSCO</t>
  </si>
  <si>
    <t>vaseline intensive care cocoa radiant moisturiser 190ml</t>
  </si>
  <si>
    <t>8712561676106</t>
  </si>
  <si>
    <t>08712561691338</t>
  </si>
  <si>
    <t>VASLBALROS</t>
  </si>
  <si>
    <t>vaseline lip balm tube 10g rosy</t>
  </si>
  <si>
    <t>8720181061714</t>
  </si>
  <si>
    <t>08720181061769</t>
  </si>
  <si>
    <t>VASLIPSTA</t>
  </si>
  <si>
    <t>vaseline lip stick aloe vera 4g</t>
  </si>
  <si>
    <t>8711600352728</t>
  </si>
  <si>
    <t>09711700854320</t>
  </si>
  <si>
    <t>VASLIPEM</t>
  </si>
  <si>
    <t>vaseline lip therapy emily in paris rouge romance</t>
  </si>
  <si>
    <t>8720181591242</t>
  </si>
  <si>
    <t>08720181591266</t>
  </si>
  <si>
    <t>VASLIPA</t>
  </si>
  <si>
    <t xml:space="preserve">vaseline lip therapy aloe vera </t>
  </si>
  <si>
    <t>8714100597347</t>
  </si>
  <si>
    <t>08714100596203</t>
  </si>
  <si>
    <t>VASLIPO</t>
  </si>
  <si>
    <t>vaseline lip therapy original</t>
  </si>
  <si>
    <t>5099802150117</t>
  </si>
  <si>
    <t>08710447233948</t>
  </si>
  <si>
    <t>VASLIPC</t>
  </si>
  <si>
    <t>vaseline lip therapy cocoa</t>
  </si>
  <si>
    <t>8718114642871</t>
  </si>
  <si>
    <t>08710447233924</t>
  </si>
  <si>
    <t>VASLIPRO</t>
  </si>
  <si>
    <t xml:space="preserve">vaseline lip therapy rosy   </t>
  </si>
  <si>
    <t>50064861</t>
  </si>
  <si>
    <t>08717163079065</t>
  </si>
  <si>
    <t>VASPJ1</t>
  </si>
  <si>
    <t>vaseline pet jelly no 1 50ml</t>
  </si>
  <si>
    <t>42182627</t>
  </si>
  <si>
    <t>18901030933889</t>
  </si>
  <si>
    <t>VASPJ1A</t>
  </si>
  <si>
    <t>vaseline pet jelly no 1 50ml aloe</t>
  </si>
  <si>
    <t>8909106021716</t>
  </si>
  <si>
    <t>18909106021713</t>
  </si>
  <si>
    <t>VASPJ1BABY</t>
  </si>
  <si>
    <t>vaseline pet jelly no 1 50ml baby</t>
  </si>
  <si>
    <t>8909106021709</t>
  </si>
  <si>
    <t>18909106021706</t>
  </si>
  <si>
    <t>VASPJ1C</t>
  </si>
  <si>
    <t>vaseline pet jelly no 1 50ml cocoa</t>
  </si>
  <si>
    <t>8909106021723</t>
  </si>
  <si>
    <t>18909106021720</t>
  </si>
  <si>
    <t>VASPJ2</t>
  </si>
  <si>
    <t>vaseline pet jelly no 2 100ml</t>
  </si>
  <si>
    <t>42182634</t>
  </si>
  <si>
    <t>18901030933896</t>
  </si>
  <si>
    <t>VASPJ2ALOE</t>
  </si>
  <si>
    <t>vaseline pet jelly no 2 100ml aloe vera</t>
  </si>
  <si>
    <t>8909106021747</t>
  </si>
  <si>
    <t>18909106021744</t>
  </si>
  <si>
    <t>VASPJ2C</t>
  </si>
  <si>
    <t>vaseline pet jelly no 2 100ml cocoa butter</t>
  </si>
  <si>
    <t>8909106021754</t>
  </si>
  <si>
    <t>18909106021751</t>
  </si>
  <si>
    <t>VASPJ3</t>
  </si>
  <si>
    <t>vaseline pet jelly no 3 250ml</t>
  </si>
  <si>
    <t>42182658</t>
  </si>
  <si>
    <t>18901030933902</t>
  </si>
  <si>
    <t>VASPJ3C</t>
  </si>
  <si>
    <t>vaseline pet jelly no 3 250ml cocoa butter</t>
  </si>
  <si>
    <t>8909106021785</t>
  </si>
  <si>
    <t>18909106021782</t>
  </si>
  <si>
    <t>VASPJ3A</t>
  </si>
  <si>
    <t>vaseline pet jelly no 3 250ml aloe vera</t>
  </si>
  <si>
    <t>8909106021778</t>
  </si>
  <si>
    <t>18909106021775</t>
  </si>
  <si>
    <t>VASPJ3BABY</t>
  </si>
  <si>
    <t>vaseline pet jelly no 3 250ml baby</t>
  </si>
  <si>
    <t>8909106021761</t>
  </si>
  <si>
    <t>18909106021768</t>
  </si>
  <si>
    <t>VIAKAL</t>
  </si>
  <si>
    <t>viakal limescale remover liquid 500ml</t>
  </si>
  <si>
    <t>5413149912212</t>
  </si>
  <si>
    <t>05413149267466</t>
  </si>
  <si>
    <t>VEET200EX</t>
  </si>
  <si>
    <t>veet cream expert with shea butter 200ml</t>
  </si>
  <si>
    <t>5011417587690</t>
  </si>
  <si>
    <t>05011417806715</t>
  </si>
  <si>
    <t>VEETWSLS20</t>
  </si>
  <si>
    <t>veet expert wax strips legs sensitive 20's</t>
  </si>
  <si>
    <t>5011417588352</t>
  </si>
  <si>
    <t>05011417807354</t>
  </si>
  <si>
    <t>VEETWSFS20</t>
  </si>
  <si>
    <t>veet expert wax strips face sensitive 20's</t>
  </si>
  <si>
    <t>5011417588345</t>
  </si>
  <si>
    <t>05011417807347</t>
  </si>
  <si>
    <t>VICKBABY</t>
  </si>
  <si>
    <t>vicks baby vaporub 50g</t>
  </si>
  <si>
    <t>08001090617569</t>
  </si>
  <si>
    <t>VICKRUB</t>
  </si>
  <si>
    <t>vicks vaporub 50g</t>
  </si>
  <si>
    <t xml:space="preserve">5011321365353 </t>
  </si>
  <si>
    <t>05011321365360</t>
  </si>
  <si>
    <t>VICKRUB100</t>
  </si>
  <si>
    <t>vicks vaporub 100g</t>
  </si>
  <si>
    <t>5000174929591</t>
  </si>
  <si>
    <t>05011321365896</t>
  </si>
  <si>
    <t>VICKNS</t>
  </si>
  <si>
    <t xml:space="preserve">vicks sinex soother nasal spray 15ml </t>
  </si>
  <si>
    <t>5011321311664</t>
  </si>
  <si>
    <t>5011321321052</t>
  </si>
  <si>
    <t>VICKI</t>
  </si>
  <si>
    <t>vicks inhaler 5ml</t>
  </si>
  <si>
    <t>8006540616048</t>
  </si>
  <si>
    <t>08006540616055</t>
  </si>
  <si>
    <t>WILKPILL</t>
  </si>
  <si>
    <t>wilkinson pillar</t>
  </si>
  <si>
    <t>5010189197205</t>
  </si>
  <si>
    <t>05010189182607</t>
  </si>
  <si>
    <t>WISSSK02</t>
  </si>
  <si>
    <t>wisdom kids step by step 0-2 years toothbrush</t>
  </si>
  <si>
    <t>5028763009332</t>
  </si>
  <si>
    <t>05028763009349</t>
  </si>
  <si>
    <t>WISSSK35</t>
  </si>
  <si>
    <t>wisdom kids step by step 3-5 years toothbrush</t>
  </si>
  <si>
    <t>5028763009356</t>
  </si>
  <si>
    <t>05028763009363</t>
  </si>
  <si>
    <t>WISSSK68</t>
  </si>
  <si>
    <t>wisdom kids step by step 6+ years toothbrush</t>
  </si>
  <si>
    <t>5028763009370</t>
  </si>
  <si>
    <t>05028763009387</t>
  </si>
  <si>
    <t>WISXTC</t>
  </si>
  <si>
    <t>wisdom xtra clean toothbrush medium</t>
  </si>
  <si>
    <t>5028763005068</t>
  </si>
  <si>
    <t>05028763008175</t>
  </si>
  <si>
    <t>WCT</t>
  </si>
  <si>
    <t>wrights coal tar soap 4 pack 100g</t>
  </si>
  <si>
    <t>5054805038879</t>
  </si>
  <si>
    <t>05054805038893</t>
  </si>
  <si>
    <t>YARBS75BP</t>
  </si>
  <si>
    <t>yardley body spray 75ml blossom and peach</t>
  </si>
  <si>
    <t>5056179301528</t>
  </si>
  <si>
    <t>05056179351523</t>
  </si>
  <si>
    <t>YARBS75MG</t>
  </si>
  <si>
    <t>yardley body spray 75ml magnolia &amp; fig</t>
  </si>
  <si>
    <t>5056179304574</t>
  </si>
  <si>
    <t>05056179354579</t>
  </si>
  <si>
    <t>YARBS75BS</t>
  </si>
  <si>
    <t>yardley body spray 75ml bluebell &amp; sweetpea</t>
  </si>
  <si>
    <t>5056179301597</t>
  </si>
  <si>
    <t>05056179351592</t>
  </si>
  <si>
    <t>YARBS75EL</t>
  </si>
  <si>
    <t>yardley body spray 75ml english lavender</t>
  </si>
  <si>
    <t>5060322952291</t>
  </si>
  <si>
    <t>05060322957296</t>
  </si>
  <si>
    <t>YARBS75FB</t>
  </si>
  <si>
    <t>yardley body spray 75ml freesia &amp; bergamot</t>
  </si>
  <si>
    <t>5056179301702</t>
  </si>
  <si>
    <t>05056179351707</t>
  </si>
  <si>
    <t>YARBS75AV</t>
  </si>
  <si>
    <t>yardley body spray 75ml april violets</t>
  </si>
  <si>
    <t>5060322952505</t>
  </si>
  <si>
    <t>05060322957500</t>
  </si>
  <si>
    <t>CITYCHIC</t>
  </si>
  <si>
    <t>city chick hair accessories scrunchies / hair clips / hair bands etc</t>
  </si>
  <si>
    <t>EMERYBOARD</t>
  </si>
  <si>
    <t xml:space="preserve">emeryboards 24's </t>
  </si>
  <si>
    <t>5025903025955</t>
  </si>
  <si>
    <t>EYELASH</t>
  </si>
  <si>
    <t>eye lash curler</t>
  </si>
  <si>
    <t>5025903025924</t>
  </si>
  <si>
    <t>HAIRTIEB</t>
  </si>
  <si>
    <t>hair ties spiral black 4 pack</t>
  </si>
  <si>
    <t>5025903028581</t>
  </si>
  <si>
    <t>HAIRTIEC</t>
  </si>
  <si>
    <t>hair ties spiral clear 4 pack</t>
  </si>
  <si>
    <t>5025903028574</t>
  </si>
  <si>
    <t>HAIRCLIP2</t>
  </si>
  <si>
    <t>hair clips 2 pack</t>
  </si>
  <si>
    <t>5025903028680</t>
  </si>
  <si>
    <t>SCISSORS</t>
  </si>
  <si>
    <t>nail scissors</t>
  </si>
  <si>
    <t>5025903026013</t>
  </si>
  <si>
    <t>CLIPNAIL</t>
  </si>
  <si>
    <t xml:space="preserve">nail clippers </t>
  </si>
  <si>
    <t>5025903025948</t>
  </si>
  <si>
    <t>CLIPTOENAIL</t>
  </si>
  <si>
    <t xml:space="preserve">toe nail clippers </t>
  </si>
  <si>
    <t>5025903025931</t>
  </si>
  <si>
    <t>TWEEZER</t>
  </si>
  <si>
    <t>tweezers slanted tip</t>
  </si>
  <si>
    <t>5025903025894</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</si>
</sst>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3" formatCode="_(* #,##0.00_);_(* \(#,##0.00\);_(* &quot;-&quot;??_);_(@_)"/>
    <numFmt numFmtId="176" formatCode="_(&quot;£&quot;* #,##0.00_);_(&quot;£&quot;* \(#,##0.00\);_(&quot;£&quot;* &quot;-&quot;??_);_(@_)"/>
    <numFmt numFmtId="177" formatCode="_ * #,##0_ ;_ * \-#,##0_ ;_ * &quot;-&quot;_ ;_ @_ "/>
    <numFmt numFmtId="178" formatCode="_-* #,##0.00_-;\-* #,##0.00_-;_-* &quot;-&quot;??_-;_-@_-"/>
    <numFmt numFmtId="179" formatCode="_-&quot;£&quot;* #,##0.00_-;\-&quot;£&quot;* #,##0.00_-;_-&quot;£&quot;* &quot;-&quot;??_-;_-@_-"/>
  </numFmts>
  <fonts count="30">
    <font>
      <sz val="11"/>
      <color theme="1"/>
      <name val="Calibri"/>
      <charset val="134"/>
      <scheme val="minor"/>
    </font>
    <font>
      <sz val="11"/>
      <color rgb="FF00B050"/>
      <name val="Calibri"/>
      <charset val="134"/>
      <scheme val="minor"/>
    </font>
    <font>
      <sz val="11"/>
      <name val="Calibri"/>
      <charset val="134"/>
      <scheme val="minor"/>
    </font>
    <font>
      <b/>
      <sz val="11"/>
      <color rgb="FF000000"/>
      <name val="Calibri"/>
      <charset val="134"/>
      <scheme val="minor"/>
    </font>
    <font>
      <b/>
      <sz val="11"/>
      <color theme="1"/>
      <name val="Calibri"/>
      <charset val="134"/>
      <scheme val="minor"/>
    </font>
    <font>
      <b/>
      <sz val="11"/>
      <color rgb="FFFF0000"/>
      <name val="Calibri"/>
      <charset val="134"/>
      <scheme val="minor"/>
    </font>
    <font>
      <sz val="11"/>
      <color rgb="FF000000"/>
      <name val="Calibri"/>
      <charset val="134"/>
    </font>
    <font>
      <sz val="11"/>
      <color rgb="FF000000"/>
      <name val="Calibri"/>
      <charset val="134"/>
      <scheme val="minor"/>
    </font>
    <font>
      <sz val="11"/>
      <color rgb="FF00B05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3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xf numFmtId="176" fontId="0" fillId="0" borderId="0" applyFont="0" applyFill="0" applyBorder="0" applyAlignment="0" applyProtection="0"/>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5" borderId="6" applyNumberFormat="0" applyAlignment="0" applyProtection="0">
      <alignment vertical="center"/>
    </xf>
    <xf numFmtId="0" fontId="19" fillId="6" borderId="7" applyNumberFormat="0" applyAlignment="0" applyProtection="0">
      <alignment vertical="center"/>
    </xf>
    <xf numFmtId="0" fontId="20" fillId="6" borderId="6" applyNumberFormat="0" applyAlignment="0" applyProtection="0">
      <alignment vertical="center"/>
    </xf>
    <xf numFmtId="0" fontId="21" fillId="7"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178" fontId="0" fillId="0" borderId="0" applyFont="0" applyFill="0" applyBorder="0" applyAlignment="0" applyProtection="0"/>
    <xf numFmtId="179" fontId="0" fillId="0" borderId="0" applyFont="0" applyFill="0" applyBorder="0" applyAlignment="0" applyProtection="0"/>
    <xf numFmtId="0" fontId="29" fillId="0" borderId="0"/>
    <xf numFmtId="0" fontId="29" fillId="0" borderId="0"/>
  </cellStyleXfs>
  <cellXfs count="82">
    <xf numFmtId="0" fontId="0" fillId="0" borderId="0" xfId="0"/>
    <xf numFmtId="0" fontId="0" fillId="0" borderId="0" xfId="0" applyAlignment="1">
      <alignment wrapText="1"/>
    </xf>
    <xf numFmtId="0" fontId="0" fillId="2" borderId="0" xfId="0" applyFill="1"/>
    <xf numFmtId="0" fontId="1" fillId="0" borderId="0" xfId="0" applyFont="1"/>
    <xf numFmtId="0" fontId="2"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176" fontId="0" fillId="0" borderId="0" xfId="2" applyFont="1" applyAlignment="1">
      <alignment horizontal="right"/>
    </xf>
    <xf numFmtId="1" fontId="0" fillId="0" borderId="0" xfId="0" applyNumberFormat="1"/>
    <xf numFmtId="0" fontId="2" fillId="0" borderId="0" xfId="0" applyFont="1" applyAlignment="1">
      <alignment horizontal="center" vertical="center"/>
    </xf>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176" fontId="3" fillId="3" borderId="1" xfId="2" applyFont="1" applyFill="1" applyBorder="1" applyAlignment="1" applyProtection="1">
      <alignment horizontal="center" vertical="center" wrapText="1"/>
    </xf>
    <xf numFmtId="1" fontId="3" fillId="3" borderId="1" xfId="0" applyNumberFormat="1" applyFont="1" applyFill="1" applyBorder="1" applyAlignment="1">
      <alignment vertical="center" wrapText="1"/>
    </xf>
    <xf numFmtId="0" fontId="3" fillId="3" borderId="1" xfId="0" applyFont="1" applyFill="1" applyBorder="1" applyAlignment="1">
      <alignment horizontal="center" vertical="center"/>
    </xf>
    <xf numFmtId="176" fontId="4" fillId="0" borderId="2" xfId="2" applyFont="1" applyBorder="1" applyAlignment="1" applyProtection="1">
      <alignment wrapText="1"/>
    </xf>
    <xf numFmtId="0" fontId="4" fillId="0" borderId="0" xfId="0" applyFont="1" applyAlignment="1">
      <alignment horizontal="center" wrapText="1"/>
    </xf>
    <xf numFmtId="0" fontId="5" fillId="0" borderId="0" xfId="0" applyFont="1" applyAlignment="1">
      <alignment wrapText="1"/>
    </xf>
    <xf numFmtId="0" fontId="6" fillId="3" borderId="1" xfId="0" applyFont="1" applyFill="1" applyBorder="1" applyAlignment="1" applyProtection="1">
      <alignment horizontal="left"/>
      <protection locked="0"/>
    </xf>
    <xf numFmtId="0" fontId="6" fillId="3" borderId="1" xfId="0" applyFont="1" applyFill="1" applyBorder="1" applyAlignment="1" applyProtection="1">
      <alignment horizontal="center"/>
      <protection locked="0"/>
    </xf>
    <xf numFmtId="0" fontId="6" fillId="3" borderId="1" xfId="0" applyFont="1" applyFill="1" applyBorder="1" applyAlignment="1" applyProtection="1">
      <alignment horizontal="center" vertical="center"/>
      <protection locked="0"/>
    </xf>
    <xf numFmtId="176" fontId="6" fillId="3" borderId="1" xfId="1" applyNumberFormat="1" applyFont="1" applyFill="1" applyBorder="1" applyAlignment="1" applyProtection="1">
      <alignment horizontal="right"/>
      <protection locked="0"/>
    </xf>
    <xf numFmtId="176" fontId="6" fillId="3" borderId="1" xfId="2" applyNumberFormat="1" applyFont="1" applyFill="1" applyBorder="1" applyAlignment="1" applyProtection="1">
      <alignment horizontal="right"/>
      <protection locked="0"/>
    </xf>
    <xf numFmtId="49" fontId="6" fillId="3" borderId="1" xfId="0" applyNumberFormat="1" applyFont="1" applyFill="1" applyBorder="1" applyAlignment="1" applyProtection="1">
      <alignment horizontal="left"/>
      <protection locked="0"/>
    </xf>
    <xf numFmtId="0" fontId="6" fillId="3" borderId="1" xfId="0" applyFont="1" applyFill="1" applyBorder="1" applyAlignment="1">
      <alignment horizontal="center" vertical="center"/>
    </xf>
    <xf numFmtId="176" fontId="6" fillId="3" borderId="1" xfId="0" applyNumberFormat="1" applyFont="1" applyFill="1" applyBorder="1" applyProtection="1">
      <protection locked="0"/>
    </xf>
    <xf numFmtId="0" fontId="6" fillId="3" borderId="1" xfId="0" applyFont="1" applyFill="1" applyBorder="1" applyAlignment="1" applyProtection="1">
      <alignment horizontal="left" vertical="center"/>
      <protection locked="0"/>
    </xf>
    <xf numFmtId="176" fontId="6" fillId="3" borderId="1" xfId="2" applyNumberFormat="1" applyFont="1" applyFill="1" applyBorder="1" applyAlignment="1" applyProtection="1">
      <alignment horizontal="right" vertical="center"/>
      <protection locked="0"/>
    </xf>
    <xf numFmtId="49" fontId="6" fillId="3" borderId="1" xfId="0" applyNumberFormat="1" applyFont="1" applyFill="1" applyBorder="1" applyAlignment="1" applyProtection="1">
      <alignment horizontal="left" vertical="center"/>
      <protection locked="0"/>
    </xf>
    <xf numFmtId="0" fontId="7" fillId="3" borderId="1" xfId="0" applyFont="1" applyFill="1" applyBorder="1" applyAlignment="1" applyProtection="1">
      <alignment horizontal="center" vertical="center"/>
      <protection locked="0"/>
    </xf>
    <xf numFmtId="0" fontId="7" fillId="3" borderId="1" xfId="0" applyFont="1" applyFill="1" applyBorder="1" applyAlignment="1">
      <alignment horizontal="center"/>
    </xf>
    <xf numFmtId="0" fontId="6" fillId="3" borderId="1" xfId="0" applyFont="1" applyFill="1" applyBorder="1" applyAlignment="1">
      <alignment horizontal="center"/>
    </xf>
    <xf numFmtId="0" fontId="7" fillId="3" borderId="1" xfId="0" applyFont="1" applyFill="1" applyBorder="1" applyAlignment="1" applyProtection="1">
      <alignment horizontal="left"/>
      <protection locked="0"/>
    </xf>
    <xf numFmtId="0" fontId="7" fillId="3" borderId="1" xfId="0" applyFont="1" applyFill="1" applyBorder="1" applyAlignment="1" applyProtection="1">
      <alignment horizontal="center"/>
      <protection locked="0"/>
    </xf>
    <xf numFmtId="176" fontId="7" fillId="3" borderId="1" xfId="2" applyNumberFormat="1" applyFont="1" applyFill="1" applyBorder="1" applyAlignment="1" applyProtection="1">
      <alignment horizontal="right"/>
      <protection locked="0"/>
    </xf>
    <xf numFmtId="49" fontId="7" fillId="3" borderId="1" xfId="0" applyNumberFormat="1" applyFont="1" applyFill="1" applyBorder="1" applyAlignment="1" applyProtection="1">
      <alignment horizontal="left"/>
      <protection locked="0"/>
    </xf>
    <xf numFmtId="0" fontId="7" fillId="3" borderId="1" xfId="0" applyFont="1" applyFill="1" applyBorder="1" applyAlignment="1">
      <alignment horizontal="center" vertical="center"/>
    </xf>
    <xf numFmtId="176" fontId="7" fillId="3" borderId="1" xfId="2" applyNumberFormat="1" applyFont="1" applyFill="1" applyBorder="1" applyProtection="1">
      <protection locked="0"/>
    </xf>
    <xf numFmtId="176" fontId="6" fillId="3" borderId="1" xfId="2" applyNumberFormat="1" applyFont="1" applyFill="1" applyBorder="1" applyProtection="1">
      <protection locked="0"/>
    </xf>
    <xf numFmtId="176" fontId="7" fillId="3" borderId="1" xfId="1" applyNumberFormat="1" applyFont="1" applyFill="1" applyBorder="1" applyAlignment="1" applyProtection="1">
      <alignment horizontal="right"/>
      <protection locked="0"/>
    </xf>
    <xf numFmtId="176" fontId="7" fillId="3" borderId="1" xfId="0" applyNumberFormat="1" applyFont="1" applyFill="1" applyBorder="1" applyProtection="1">
      <protection locked="0"/>
    </xf>
    <xf numFmtId="0" fontId="7" fillId="3" borderId="1" xfId="0" applyFont="1" applyFill="1" applyBorder="1" applyAlignment="1">
      <alignment horizontal="left"/>
    </xf>
    <xf numFmtId="0" fontId="6" fillId="3" borderId="1" xfId="0" applyFont="1" applyFill="1" applyBorder="1" applyAlignment="1">
      <alignment horizontal="left"/>
    </xf>
    <xf numFmtId="176" fontId="7" fillId="3" borderId="1" xfId="2" applyNumberFormat="1" applyFont="1" applyFill="1" applyBorder="1"/>
    <xf numFmtId="1" fontId="7" fillId="3" borderId="1" xfId="0" applyNumberFormat="1" applyFont="1" applyFill="1" applyBorder="1" applyAlignment="1">
      <alignment horizontal="left"/>
    </xf>
    <xf numFmtId="1" fontId="7" fillId="3" borderId="1" xfId="0" applyNumberFormat="1" applyFont="1" applyFill="1" applyBorder="1" applyAlignment="1">
      <alignment horizontal="left" vertical="center"/>
    </xf>
    <xf numFmtId="176" fontId="7" fillId="3" borderId="1" xfId="0" applyNumberFormat="1" applyFont="1" applyFill="1" applyBorder="1" applyAlignment="1">
      <alignment horizontal="center" vertical="center"/>
    </xf>
    <xf numFmtId="0" fontId="5" fillId="0" borderId="0" xfId="0" applyFont="1"/>
    <xf numFmtId="176" fontId="7" fillId="3" borderId="1" xfId="2" applyNumberFormat="1" applyFont="1" applyFill="1" applyBorder="1" applyAlignment="1">
      <alignment horizontal="right"/>
    </xf>
    <xf numFmtId="49" fontId="7" fillId="3" borderId="1" xfId="0" applyNumberFormat="1" applyFont="1" applyFill="1" applyBorder="1" applyAlignment="1" applyProtection="1">
      <alignment horizontal="left" vertical="center"/>
      <protection locked="0"/>
    </xf>
    <xf numFmtId="176" fontId="0" fillId="0" borderId="0" xfId="0" applyNumberFormat="1"/>
    <xf numFmtId="0" fontId="7" fillId="3" borderId="1" xfId="0" applyFont="1" applyFill="1" applyBorder="1"/>
    <xf numFmtId="49" fontId="6" fillId="3" borderId="1" xfId="0" applyNumberFormat="1" applyFont="1" applyFill="1" applyBorder="1" applyAlignment="1">
      <alignment horizontal="left"/>
    </xf>
    <xf numFmtId="176" fontId="0" fillId="0" borderId="0" xfId="0" applyNumberFormat="1" applyProtection="1">
      <protection locked="0"/>
    </xf>
    <xf numFmtId="176" fontId="6" fillId="3" borderId="1" xfId="0" applyNumberFormat="1" applyFont="1" applyFill="1" applyBorder="1" applyAlignment="1">
      <alignment horizontal="right"/>
    </xf>
    <xf numFmtId="1" fontId="7" fillId="3" borderId="1" xfId="0" applyNumberFormat="1" applyFont="1" applyFill="1" applyBorder="1" applyAlignment="1" applyProtection="1">
      <alignment horizontal="left"/>
      <protection locked="0"/>
    </xf>
    <xf numFmtId="176" fontId="7" fillId="3" borderId="1" xfId="0" applyNumberFormat="1" applyFont="1" applyFill="1" applyBorder="1"/>
    <xf numFmtId="0" fontId="7" fillId="3" borderId="1" xfId="0" applyFont="1" applyFill="1" applyBorder="1" applyAlignment="1">
      <alignment horizontal="left" vertical="center"/>
    </xf>
    <xf numFmtId="49" fontId="7" fillId="3" borderId="1" xfId="52" applyNumberFormat="1" applyFont="1" applyFill="1" applyBorder="1" applyAlignment="1">
      <alignment horizontal="left"/>
    </xf>
    <xf numFmtId="176" fontId="7" fillId="3" borderId="1" xfId="50" applyNumberFormat="1" applyFont="1" applyFill="1" applyBorder="1" applyAlignment="1">
      <alignment horizontal="right"/>
    </xf>
    <xf numFmtId="176" fontId="6" fillId="3" borderId="1" xfId="50" applyNumberFormat="1" applyFont="1" applyFill="1" applyBorder="1" applyAlignment="1" applyProtection="1">
      <alignment horizontal="right"/>
      <protection locked="0"/>
    </xf>
    <xf numFmtId="176" fontId="6" fillId="3" borderId="1" xfId="0" applyNumberFormat="1" applyFont="1" applyFill="1" applyBorder="1" applyAlignment="1">
      <alignment horizontal="center"/>
    </xf>
    <xf numFmtId="0" fontId="1" fillId="3" borderId="1" xfId="0" applyFont="1" applyFill="1" applyBorder="1" applyAlignment="1" applyProtection="1">
      <alignment horizontal="left"/>
      <protection locked="0"/>
    </xf>
    <xf numFmtId="0" fontId="1" fillId="3" borderId="1" xfId="0" applyFont="1" applyFill="1" applyBorder="1" applyAlignment="1" applyProtection="1">
      <alignment horizontal="center"/>
      <protection locked="0"/>
    </xf>
    <xf numFmtId="0" fontId="8" fillId="3" borderId="1" xfId="0" applyFont="1" applyFill="1" applyBorder="1" applyAlignment="1" applyProtection="1">
      <alignment horizontal="center" vertical="center"/>
      <protection locked="0"/>
    </xf>
    <xf numFmtId="176" fontId="1" fillId="3" borderId="1" xfId="2" applyNumberFormat="1" applyFont="1" applyFill="1" applyBorder="1" applyAlignment="1" applyProtection="1">
      <alignment horizontal="right"/>
      <protection locked="0"/>
    </xf>
    <xf numFmtId="176" fontId="8" fillId="3" borderId="1" xfId="2" applyNumberFormat="1" applyFont="1" applyFill="1" applyBorder="1" applyAlignment="1" applyProtection="1">
      <alignment horizontal="right"/>
      <protection locked="0"/>
    </xf>
    <xf numFmtId="49" fontId="1" fillId="3" borderId="1" xfId="0" applyNumberFormat="1" applyFont="1" applyFill="1" applyBorder="1" applyAlignment="1" applyProtection="1">
      <alignment horizontal="left"/>
      <protection locked="0"/>
    </xf>
    <xf numFmtId="0" fontId="1" fillId="3" borderId="1" xfId="0" applyFont="1" applyFill="1" applyBorder="1" applyAlignment="1" applyProtection="1">
      <alignment horizontal="center" vertical="center"/>
      <protection locked="0"/>
    </xf>
    <xf numFmtId="0" fontId="1" fillId="3" borderId="1" xfId="0" applyFont="1" applyFill="1" applyBorder="1" applyAlignment="1">
      <alignment horizontal="center" vertical="center"/>
    </xf>
    <xf numFmtId="176" fontId="8" fillId="3" borderId="1" xfId="0" applyNumberFormat="1" applyFont="1" applyFill="1" applyBorder="1" applyProtection="1">
      <protection locked="0"/>
    </xf>
    <xf numFmtId="0" fontId="7" fillId="3" borderId="1" xfId="2" applyNumberFormat="1" applyFont="1" applyFill="1" applyBorder="1" applyAlignment="1" applyProtection="1">
      <alignment horizontal="center" vertical="center"/>
      <protection locked="0"/>
    </xf>
    <xf numFmtId="0" fontId="0" fillId="0" borderId="0" xfId="0" applyProtection="1">
      <protection locked="0"/>
    </xf>
    <xf numFmtId="0" fontId="2" fillId="0" borderId="0" xfId="0" applyFont="1" applyAlignment="1" applyProtection="1">
      <alignment horizontal="center"/>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176" fontId="0" fillId="0" borderId="0" xfId="2" applyFont="1" applyAlignment="1" applyProtection="1">
      <alignment horizontal="right"/>
      <protection locked="0"/>
    </xf>
    <xf numFmtId="1" fontId="0" fillId="0" borderId="0" xfId="0" applyNumberFormat="1" applyProtection="1">
      <protection locked="0"/>
    </xf>
    <xf numFmtId="0" fontId="2" fillId="0" borderId="0" xfId="0" applyFont="1" applyAlignment="1" applyProtection="1">
      <alignment horizontal="center" vertical="center"/>
      <protection locked="0"/>
    </xf>
    <xf numFmtId="176" fontId="0" fillId="0" borderId="0" xfId="2" applyFont="1" applyBorder="1" applyAlignment="1" applyProtection="1">
      <alignment horizontal="right"/>
      <protection locked="0"/>
    </xf>
    <xf numFmtId="1" fontId="7" fillId="3" borderId="0" xfId="0" applyNumberFormat="1" applyFont="1" applyFill="1" applyProtection="1">
      <protection locked="0"/>
    </xf>
    <xf numFmtId="0" fontId="0" fillId="0" borderId="0" xfId="0" applyAlignment="1">
      <alignment horizontal="right"/>
    </xf>
    <xf numFmtId="1" fontId="3" fillId="3" borderId="1" xfId="0" applyNumberFormat="1" applyFont="1" applyFill="1" applyBorder="1" applyAlignment="1" quotePrefix="1">
      <alignment vertical="center" wrapText="1"/>
    </xf>
    <xf numFmtId="49" fontId="6" fillId="3" borderId="1" xfId="0" applyNumberFormat="1" applyFont="1" applyFill="1" applyBorder="1" applyAlignment="1" applyProtection="1" quotePrefix="1">
      <alignment horizontal="left"/>
      <protection locked="0"/>
    </xf>
    <xf numFmtId="49" fontId="6" fillId="3" borderId="1" xfId="0" applyNumberFormat="1" applyFont="1" applyFill="1" applyBorder="1" applyAlignment="1" applyProtection="1" quotePrefix="1">
      <alignment horizontal="left" vertical="center"/>
      <protection locked="0"/>
    </xf>
    <xf numFmtId="49" fontId="7" fillId="3" borderId="1" xfId="0" applyNumberFormat="1" applyFont="1" applyFill="1" applyBorder="1" applyAlignment="1" applyProtection="1" quotePrefix="1">
      <alignment horizontal="left"/>
      <protection locked="0"/>
    </xf>
    <xf numFmtId="0" fontId="7" fillId="3" borderId="1" xfId="0" applyFont="1" applyFill="1" applyBorder="1" applyAlignment="1" applyProtection="1" quotePrefix="1">
      <alignment horizontal="left"/>
      <protection locked="0"/>
    </xf>
    <xf numFmtId="0" fontId="7" fillId="3" borderId="1" xfId="0" applyFont="1" applyFill="1" applyBorder="1" applyAlignment="1" quotePrefix="1">
      <alignment horizontal="left"/>
    </xf>
    <xf numFmtId="0" fontId="6" fillId="3" borderId="1" xfId="0" applyFont="1" applyFill="1" applyBorder="1" applyAlignment="1" quotePrefix="1">
      <alignment horizontal="left"/>
    </xf>
    <xf numFmtId="1" fontId="7" fillId="3" borderId="1" xfId="0" applyNumberFormat="1" applyFont="1" applyFill="1" applyBorder="1" applyAlignment="1" quotePrefix="1">
      <alignment horizontal="left" vertical="center"/>
    </xf>
    <xf numFmtId="49" fontId="7" fillId="3" borderId="1" xfId="0" applyNumberFormat="1" applyFont="1" applyFill="1" applyBorder="1" applyAlignment="1" applyProtection="1" quotePrefix="1">
      <alignment horizontal="left" vertical="center"/>
      <protection locked="0"/>
    </xf>
    <xf numFmtId="49" fontId="6" fillId="3" borderId="1" xfId="0" applyNumberFormat="1" applyFont="1" applyFill="1" applyBorder="1" applyAlignment="1" quotePrefix="1">
      <alignment horizontal="left"/>
    </xf>
    <xf numFmtId="1" fontId="7" fillId="3" borderId="1" xfId="0" applyNumberFormat="1" applyFont="1" applyFill="1" applyBorder="1" applyAlignment="1" applyProtection="1" quotePrefix="1">
      <alignment horizontal="left"/>
      <protection locked="0"/>
    </xf>
    <xf numFmtId="0" fontId="7" fillId="3" borderId="1" xfId="0" applyFont="1" applyFill="1" applyBorder="1" applyAlignment="1" quotePrefix="1">
      <alignment horizontal="left" vertical="center"/>
    </xf>
    <xf numFmtId="49" fontId="7" fillId="3" borderId="1" xfId="52" applyNumberFormat="1" applyFont="1" applyFill="1" applyBorder="1" applyAlignment="1" quotePrefix="1">
      <alignment horizontal="left"/>
    </xf>
    <xf numFmtId="1" fontId="7" fillId="3" borderId="1" xfId="0" applyNumberFormat="1" applyFont="1" applyFill="1" applyBorder="1" applyAlignment="1" quotePrefix="1">
      <alignment horizontal="left"/>
    </xf>
    <xf numFmtId="49" fontId="1" fillId="3" borderId="1" xfId="0" applyNumberFormat="1" applyFont="1" applyFill="1" applyBorder="1" applyAlignment="1" applyProtection="1" quotePrefix="1">
      <alignment horizontal="left"/>
      <protection locked="0"/>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Normal 2" xfId="51"/>
    <cellStyle name="Normal 2 2" xfId="52"/>
  </cellStyles>
  <dxfs count="2">
    <dxf>
      <fill>
        <patternFill patternType="solid">
          <bgColor rgb="FFFF0000"/>
        </patternFill>
      </fill>
    </dxf>
    <dxf>
      <fill>
        <patternFill patternType="solid">
          <bgColor rgb="FFFFA3A3"/>
        </patternFill>
      </fill>
    </dxf>
  </dxfs>
  <tableStyles count="0" defaultTableStyle="TableStyleMedium2" defaultPivotStyle="PivotStyleLight16"/>
  <colors>
    <mruColors>
      <color rgb="00FFA3A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R1712"/>
  <sheetViews>
    <sheetView tabSelected="1" workbookViewId="0">
      <pane ySplit="1" topLeftCell="A233" activePane="bottomLeft" state="frozen"/>
      <selection/>
      <selection pane="bottomLeft" activeCell="O26" sqref="O26"/>
    </sheetView>
  </sheetViews>
  <sheetFormatPr defaultColWidth="9.1015625" defaultRowHeight="16.8"/>
  <cols>
    <col min="1" max="1" width="16.421875" customWidth="1"/>
    <col min="2" max="2" width="9.3125" style="4" customWidth="1"/>
    <col min="3" max="3" width="5" style="5" customWidth="1"/>
    <col min="4" max="4" width="76.1015625" customWidth="1"/>
    <col min="5" max="5" width="4.421875" style="6" customWidth="1"/>
    <col min="6" max="6" width="8" style="7" customWidth="1"/>
    <col min="7" max="7" width="7" style="7" customWidth="1"/>
    <col min="8" max="8" width="15" style="8" customWidth="1"/>
    <col min="9" max="9" width="15.5234375" style="8" customWidth="1"/>
    <col min="10" max="10" width="6.1015625" style="9" customWidth="1"/>
    <col min="11" max="11" width="5.6875" style="6" customWidth="1"/>
    <col min="12" max="12" width="9.8984375" customWidth="1"/>
    <col min="13" max="13" width="16.421875" customWidth="1"/>
    <col min="14" max="14" width="13.1015625" customWidth="1"/>
    <col min="15" max="15" width="14.1015625" customWidth="1"/>
  </cols>
  <sheetData>
    <row r="1" s="1" customFormat="1" ht="34.75" spans="1:18">
      <c r="A1" s="10" t="s">
        <v>0</v>
      </c>
      <c r="B1" s="11" t="s">
        <v>1</v>
      </c>
      <c r="C1" s="11" t="s">
        <v>2</v>
      </c>
      <c r="D1" s="10" t="s">
        <v>3</v>
      </c>
      <c r="E1" s="11" t="s">
        <v>4</v>
      </c>
      <c r="F1" s="12" t="s">
        <v>5</v>
      </c>
      <c r="G1" s="12" t="s">
        <v>6</v>
      </c>
      <c r="H1" s="82" t="s">
        <v>7</v>
      </c>
      <c r="I1" s="13" t="s">
        <v>8</v>
      </c>
      <c r="J1" s="11" t="s">
        <v>9</v>
      </c>
      <c r="K1" s="11" t="s">
        <v>10</v>
      </c>
      <c r="L1" s="14" t="s">
        <v>11</v>
      </c>
      <c r="M1" s="15">
        <f>SUM(L:L)</f>
        <v>4695</v>
      </c>
      <c r="N1" s="16" t="str">
        <f>COUNTIF(E:E,"&gt;0")&amp;" line(s)"</f>
        <v>2 line(s)</v>
      </c>
      <c r="O1" s="1" t="s">
        <v>12</v>
      </c>
      <c r="Q1" s="17" t="str">
        <f>IF(COUNTIF(E:E,"&gt;0")-COUNTIF(L:L,"&gt;0")&lt;&gt;0,"Error","")</f>
        <v/>
      </c>
      <c r="R1" s="17" t="str">
        <f>IF(SUM(L:L)&lt;&gt;SUMPRODUCT(E:E,F:F),"Error","")</f>
        <v/>
      </c>
    </row>
    <row r="2" spans="1:18">
      <c r="A2" s="18" t="s">
        <v>13</v>
      </c>
      <c r="B2" s="19">
        <v>214</v>
      </c>
      <c r="C2" s="19">
        <v>12</v>
      </c>
      <c r="D2" s="18" t="s">
        <v>14</v>
      </c>
      <c r="E2" s="20"/>
      <c r="F2" s="21">
        <v>7.5</v>
      </c>
      <c r="G2" s="22">
        <f t="shared" ref="G2:G65" si="0">F2/C2</f>
        <v>0.625</v>
      </c>
      <c r="H2" s="83" t="s">
        <v>15</v>
      </c>
      <c r="I2" s="83" t="s">
        <v>16</v>
      </c>
      <c r="J2" s="20">
        <v>896</v>
      </c>
      <c r="K2" s="24">
        <v>112</v>
      </c>
      <c r="L2" s="25" t="str">
        <f t="shared" ref="L2:L65" si="1">IF(E2,E2*F2,"")</f>
        <v/>
      </c>
    </row>
    <row r="3" spans="1:18">
      <c r="A3" s="26" t="s">
        <v>17</v>
      </c>
      <c r="B3" s="20">
        <v>98</v>
      </c>
      <c r="C3" s="20">
        <v>12</v>
      </c>
      <c r="D3" s="26" t="s">
        <v>18</v>
      </c>
      <c r="E3" s="20"/>
      <c r="F3" s="27">
        <v>3.36</v>
      </c>
      <c r="G3" s="22">
        <f t="shared" si="0"/>
        <v>0.28</v>
      </c>
      <c r="H3" s="84" t="s">
        <v>19</v>
      </c>
      <c r="I3" s="84" t="s">
        <v>20</v>
      </c>
      <c r="J3" s="29">
        <v>896</v>
      </c>
      <c r="K3" s="30">
        <v>112</v>
      </c>
      <c r="L3" s="25" t="str">
        <f t="shared" si="1"/>
        <v/>
      </c>
    </row>
    <row r="4" spans="1:18">
      <c r="A4" s="18" t="s">
        <v>21</v>
      </c>
      <c r="B4" s="19">
        <v>146</v>
      </c>
      <c r="C4" s="19">
        <v>12</v>
      </c>
      <c r="D4" s="18" t="s">
        <v>22</v>
      </c>
      <c r="E4" s="20"/>
      <c r="F4" s="21">
        <v>10.4</v>
      </c>
      <c r="G4" s="22">
        <f t="shared" si="0"/>
        <v>0.866666666666667</v>
      </c>
      <c r="H4" s="83" t="s">
        <v>23</v>
      </c>
      <c r="I4" s="83" t="s">
        <v>24</v>
      </c>
      <c r="J4" s="20">
        <v>490</v>
      </c>
      <c r="K4" s="24">
        <v>70</v>
      </c>
      <c r="L4" s="25" t="str">
        <f t="shared" si="1"/>
        <v/>
      </c>
    </row>
    <row r="5" spans="1:18">
      <c r="A5" s="18" t="s">
        <v>25</v>
      </c>
      <c r="B5" s="19">
        <v>111</v>
      </c>
      <c r="C5" s="19">
        <v>12</v>
      </c>
      <c r="D5" s="18" t="s">
        <v>26</v>
      </c>
      <c r="E5" s="20"/>
      <c r="F5" s="21">
        <v>10.4</v>
      </c>
      <c r="G5" s="22">
        <f t="shared" si="0"/>
        <v>0.866666666666667</v>
      </c>
      <c r="H5" s="83" t="s">
        <v>27</v>
      </c>
      <c r="I5" s="83" t="s">
        <v>28</v>
      </c>
      <c r="J5" s="20">
        <v>490</v>
      </c>
      <c r="K5" s="24">
        <v>70</v>
      </c>
      <c r="L5" s="25" t="str">
        <f t="shared" si="1"/>
        <v/>
      </c>
    </row>
    <row r="6" spans="1:18">
      <c r="A6" s="18" t="s">
        <v>29</v>
      </c>
      <c r="B6" s="19">
        <v>145</v>
      </c>
      <c r="C6" s="19">
        <v>12</v>
      </c>
      <c r="D6" s="18" t="s">
        <v>30</v>
      </c>
      <c r="E6" s="20"/>
      <c r="F6" s="22">
        <v>10.4</v>
      </c>
      <c r="G6" s="22">
        <f t="shared" si="0"/>
        <v>0.866666666666667</v>
      </c>
      <c r="H6" s="83" t="s">
        <v>31</v>
      </c>
      <c r="I6" s="83" t="s">
        <v>32</v>
      </c>
      <c r="J6" s="20">
        <v>490</v>
      </c>
      <c r="K6" s="24">
        <v>70</v>
      </c>
      <c r="L6" s="25" t="str">
        <f t="shared" si="1"/>
        <v/>
      </c>
    </row>
    <row r="7" spans="1:18">
      <c r="A7" s="18" t="s">
        <v>33</v>
      </c>
      <c r="B7" s="19">
        <v>22</v>
      </c>
      <c r="C7" s="19">
        <v>12</v>
      </c>
      <c r="D7" s="18" t="s">
        <v>34</v>
      </c>
      <c r="E7" s="20"/>
      <c r="F7" s="22">
        <v>10.4</v>
      </c>
      <c r="G7" s="22">
        <f t="shared" si="0"/>
        <v>0.866666666666667</v>
      </c>
      <c r="H7" s="83" t="s">
        <v>35</v>
      </c>
      <c r="I7" s="83" t="s">
        <v>36</v>
      </c>
      <c r="J7" s="20">
        <v>490</v>
      </c>
      <c r="K7" s="31">
        <v>70</v>
      </c>
      <c r="L7" s="25" t="str">
        <f t="shared" si="1"/>
        <v/>
      </c>
    </row>
    <row r="8" spans="1:18">
      <c r="A8" s="18" t="s">
        <v>37</v>
      </c>
      <c r="B8" s="19">
        <v>3</v>
      </c>
      <c r="C8" s="19">
        <v>6</v>
      </c>
      <c r="D8" s="18" t="s">
        <v>38</v>
      </c>
      <c r="E8" s="20"/>
      <c r="F8" s="22">
        <v>3.9</v>
      </c>
      <c r="G8" s="22">
        <f t="shared" si="0"/>
        <v>0.65</v>
      </c>
      <c r="H8" s="83" t="s">
        <v>39</v>
      </c>
      <c r="I8" s="83" t="s">
        <v>40</v>
      </c>
      <c r="J8" s="20">
        <v>336</v>
      </c>
      <c r="K8" s="31">
        <v>56</v>
      </c>
      <c r="L8" s="25" t="str">
        <f t="shared" si="1"/>
        <v/>
      </c>
    </row>
    <row r="9" spans="1:18">
      <c r="A9" s="18" t="s">
        <v>41</v>
      </c>
      <c r="B9" s="19">
        <v>82</v>
      </c>
      <c r="C9" s="19">
        <v>12</v>
      </c>
      <c r="D9" s="18" t="s">
        <v>42</v>
      </c>
      <c r="E9" s="20"/>
      <c r="F9" s="22">
        <v>6.48</v>
      </c>
      <c r="G9" s="22">
        <f t="shared" si="0"/>
        <v>0.54</v>
      </c>
      <c r="H9" s="83" t="s">
        <v>43</v>
      </c>
      <c r="I9" s="83" t="s">
        <v>44</v>
      </c>
      <c r="J9" s="20">
        <v>420</v>
      </c>
      <c r="K9" s="24">
        <v>60</v>
      </c>
      <c r="L9" s="25" t="str">
        <f t="shared" si="1"/>
        <v/>
      </c>
    </row>
    <row r="10" spans="1:18">
      <c r="A10" s="18" t="s">
        <v>45</v>
      </c>
      <c r="B10" s="19">
        <v>35</v>
      </c>
      <c r="C10" s="19">
        <v>12</v>
      </c>
      <c r="D10" s="18" t="s">
        <v>46</v>
      </c>
      <c r="E10" s="20"/>
      <c r="F10" s="22">
        <v>6.48</v>
      </c>
      <c r="G10" s="22">
        <f t="shared" si="0"/>
        <v>0.54</v>
      </c>
      <c r="H10" s="83" t="s">
        <v>47</v>
      </c>
      <c r="I10" s="83" t="s">
        <v>48</v>
      </c>
      <c r="J10" s="20">
        <v>420</v>
      </c>
      <c r="K10" s="24">
        <v>60</v>
      </c>
      <c r="L10" s="25" t="str">
        <f t="shared" si="1"/>
        <v/>
      </c>
    </row>
    <row r="11" spans="1:18">
      <c r="A11" s="18" t="s">
        <v>49</v>
      </c>
      <c r="B11" s="19">
        <v>54</v>
      </c>
      <c r="C11" s="19">
        <v>12</v>
      </c>
      <c r="D11" s="18" t="s">
        <v>50</v>
      </c>
      <c r="E11" s="20"/>
      <c r="F11" s="22">
        <v>6.48</v>
      </c>
      <c r="G11" s="22">
        <f t="shared" si="0"/>
        <v>0.54</v>
      </c>
      <c r="H11" s="83" t="s">
        <v>51</v>
      </c>
      <c r="I11" s="83" t="s">
        <v>52</v>
      </c>
      <c r="J11" s="20">
        <v>420</v>
      </c>
      <c r="K11" s="24">
        <v>60</v>
      </c>
      <c r="L11" s="25" t="str">
        <f t="shared" si="1"/>
        <v/>
      </c>
    </row>
    <row r="12" spans="1:18">
      <c r="A12" s="18" t="s">
        <v>53</v>
      </c>
      <c r="B12" s="19">
        <v>58</v>
      </c>
      <c r="C12" s="19">
        <v>12</v>
      </c>
      <c r="D12" s="18" t="s">
        <v>54</v>
      </c>
      <c r="E12" s="20"/>
      <c r="F12" s="22">
        <v>6.48</v>
      </c>
      <c r="G12" s="22">
        <f t="shared" si="0"/>
        <v>0.54</v>
      </c>
      <c r="H12" s="83" t="s">
        <v>55</v>
      </c>
      <c r="I12" s="83" t="s">
        <v>56</v>
      </c>
      <c r="J12" s="20">
        <v>420</v>
      </c>
      <c r="K12" s="24">
        <v>60</v>
      </c>
      <c r="L12" s="25" t="str">
        <f t="shared" si="1"/>
        <v/>
      </c>
    </row>
    <row r="13" spans="1:18">
      <c r="A13" s="18" t="s">
        <v>57</v>
      </c>
      <c r="B13" s="19">
        <v>66</v>
      </c>
      <c r="C13" s="19">
        <v>12</v>
      </c>
      <c r="D13" s="18" t="s">
        <v>58</v>
      </c>
      <c r="E13" s="20"/>
      <c r="F13" s="22">
        <v>6.48</v>
      </c>
      <c r="G13" s="22">
        <f t="shared" si="0"/>
        <v>0.54</v>
      </c>
      <c r="H13" s="83" t="s">
        <v>59</v>
      </c>
      <c r="I13" s="83" t="s">
        <v>60</v>
      </c>
      <c r="J13" s="20">
        <v>420</v>
      </c>
      <c r="K13" s="24">
        <v>60</v>
      </c>
      <c r="L13" s="25" t="str">
        <f t="shared" si="1"/>
        <v/>
      </c>
    </row>
    <row r="14" spans="1:18">
      <c r="A14" s="32" t="s">
        <v>61</v>
      </c>
      <c r="B14" s="33">
        <v>1052</v>
      </c>
      <c r="C14" s="33">
        <v>6</v>
      </c>
      <c r="D14" s="32" t="s">
        <v>62</v>
      </c>
      <c r="E14" s="20"/>
      <c r="F14" s="34">
        <v>18.8</v>
      </c>
      <c r="G14" s="22">
        <f t="shared" si="0"/>
        <v>3.13333333333333</v>
      </c>
      <c r="H14" s="85" t="s">
        <v>63</v>
      </c>
      <c r="I14" s="85" t="s">
        <v>64</v>
      </c>
      <c r="J14" s="29">
        <v>315</v>
      </c>
      <c r="K14" s="36">
        <v>63</v>
      </c>
      <c r="L14" s="25" t="str">
        <f t="shared" si="1"/>
        <v/>
      </c>
    </row>
    <row r="15" spans="1:18">
      <c r="A15" s="32" t="s">
        <v>65</v>
      </c>
      <c r="B15" s="33">
        <v>206</v>
      </c>
      <c r="C15" s="33">
        <v>6</v>
      </c>
      <c r="D15" s="32" t="s">
        <v>66</v>
      </c>
      <c r="E15" s="20"/>
      <c r="F15" s="37">
        <v>19.4</v>
      </c>
      <c r="G15" s="38">
        <f t="shared" si="0"/>
        <v>3.23333333333333</v>
      </c>
      <c r="H15" s="85" t="s">
        <v>67</v>
      </c>
      <c r="I15" s="85" t="s">
        <v>68</v>
      </c>
      <c r="J15" s="29">
        <v>315</v>
      </c>
      <c r="K15" s="30">
        <v>63</v>
      </c>
      <c r="L15" s="25" t="str">
        <f t="shared" si="1"/>
        <v/>
      </c>
    </row>
    <row r="16" spans="1:18">
      <c r="A16" s="32" t="s">
        <v>69</v>
      </c>
      <c r="B16" s="33">
        <v>18</v>
      </c>
      <c r="C16" s="33">
        <v>6</v>
      </c>
      <c r="D16" s="32" t="s">
        <v>70</v>
      </c>
      <c r="E16" s="20"/>
      <c r="F16" s="34">
        <v>22.8</v>
      </c>
      <c r="G16" s="22">
        <f t="shared" si="0"/>
        <v>3.8</v>
      </c>
      <c r="H16" s="85" t="s">
        <v>71</v>
      </c>
      <c r="I16" s="85" t="s">
        <v>72</v>
      </c>
      <c r="J16" s="29">
        <v>176</v>
      </c>
      <c r="K16" s="36">
        <v>44</v>
      </c>
      <c r="L16" s="25" t="str">
        <f t="shared" si="1"/>
        <v/>
      </c>
    </row>
    <row r="17" spans="1:12">
      <c r="A17" s="32" t="s">
        <v>73</v>
      </c>
      <c r="B17" s="33">
        <v>117</v>
      </c>
      <c r="C17" s="33">
        <v>6</v>
      </c>
      <c r="D17" s="32" t="s">
        <v>74</v>
      </c>
      <c r="E17" s="20"/>
      <c r="F17" s="34">
        <v>26.8</v>
      </c>
      <c r="G17" s="22">
        <f t="shared" si="0"/>
        <v>4.46666666666667</v>
      </c>
      <c r="H17" s="85" t="s">
        <v>75</v>
      </c>
      <c r="I17" s="85" t="s">
        <v>76</v>
      </c>
      <c r="J17" s="29">
        <v>176</v>
      </c>
      <c r="K17" s="36">
        <v>44</v>
      </c>
      <c r="L17" s="25" t="str">
        <f t="shared" si="1"/>
        <v/>
      </c>
    </row>
    <row r="18" spans="1:12">
      <c r="A18" s="32" t="s">
        <v>77</v>
      </c>
      <c r="B18" s="33">
        <v>113</v>
      </c>
      <c r="C18" s="33">
        <v>6</v>
      </c>
      <c r="D18" s="32" t="s">
        <v>78</v>
      </c>
      <c r="E18" s="20"/>
      <c r="F18" s="34">
        <v>26.8</v>
      </c>
      <c r="G18" s="22">
        <f t="shared" si="0"/>
        <v>4.46666666666667</v>
      </c>
      <c r="H18" s="85" t="s">
        <v>79</v>
      </c>
      <c r="I18" s="85" t="s">
        <v>80</v>
      </c>
      <c r="J18" s="29">
        <v>176</v>
      </c>
      <c r="K18" s="36">
        <v>44</v>
      </c>
      <c r="L18" s="25" t="str">
        <f t="shared" si="1"/>
        <v/>
      </c>
    </row>
    <row r="19" spans="1:12">
      <c r="A19" s="32" t="s">
        <v>81</v>
      </c>
      <c r="B19" s="33">
        <v>88</v>
      </c>
      <c r="C19" s="33">
        <v>6</v>
      </c>
      <c r="D19" s="32" t="s">
        <v>82</v>
      </c>
      <c r="E19" s="20"/>
      <c r="F19" s="34">
        <v>24.8</v>
      </c>
      <c r="G19" s="22">
        <f t="shared" si="0"/>
        <v>4.13333333333333</v>
      </c>
      <c r="H19" s="85" t="s">
        <v>83</v>
      </c>
      <c r="I19" s="85" t="s">
        <v>84</v>
      </c>
      <c r="J19" s="29">
        <v>176</v>
      </c>
      <c r="K19" s="30">
        <v>44</v>
      </c>
      <c r="L19" s="25" t="str">
        <f t="shared" si="1"/>
        <v/>
      </c>
    </row>
    <row r="20" spans="1:12">
      <c r="A20" s="32" t="s">
        <v>85</v>
      </c>
      <c r="B20" s="33">
        <v>111</v>
      </c>
      <c r="C20" s="33">
        <v>6</v>
      </c>
      <c r="D20" s="32" t="s">
        <v>86</v>
      </c>
      <c r="E20" s="20"/>
      <c r="F20" s="34">
        <v>27.4</v>
      </c>
      <c r="G20" s="22">
        <f t="shared" si="0"/>
        <v>4.56666666666667</v>
      </c>
      <c r="H20" s="85" t="s">
        <v>87</v>
      </c>
      <c r="I20" s="85" t="s">
        <v>88</v>
      </c>
      <c r="J20" s="29">
        <v>176</v>
      </c>
      <c r="K20" s="30">
        <v>44</v>
      </c>
      <c r="L20" s="25" t="str">
        <f t="shared" si="1"/>
        <v/>
      </c>
    </row>
    <row r="21" spans="1:12">
      <c r="A21" s="32" t="s">
        <v>89</v>
      </c>
      <c r="B21" s="33">
        <v>177</v>
      </c>
      <c r="C21" s="33">
        <v>12</v>
      </c>
      <c r="D21" s="32" t="s">
        <v>90</v>
      </c>
      <c r="E21" s="20"/>
      <c r="F21" s="34">
        <v>62.5</v>
      </c>
      <c r="G21" s="22">
        <f t="shared" si="0"/>
        <v>5.20833333333333</v>
      </c>
      <c r="H21" s="85" t="s">
        <v>91</v>
      </c>
      <c r="I21" s="85" t="s">
        <v>92</v>
      </c>
      <c r="J21" s="29">
        <v>56</v>
      </c>
      <c r="K21" s="36">
        <v>17</v>
      </c>
      <c r="L21" s="25" t="str">
        <f t="shared" si="1"/>
        <v/>
      </c>
    </row>
    <row r="22" spans="1:12">
      <c r="A22" s="32" t="s">
        <v>93</v>
      </c>
      <c r="B22" s="33">
        <v>585</v>
      </c>
      <c r="C22" s="33">
        <v>4</v>
      </c>
      <c r="D22" s="32" t="s">
        <v>94</v>
      </c>
      <c r="E22" s="20"/>
      <c r="F22" s="34">
        <v>24.8</v>
      </c>
      <c r="G22" s="22">
        <f t="shared" si="0"/>
        <v>6.2</v>
      </c>
      <c r="H22" s="85" t="s">
        <v>95</v>
      </c>
      <c r="I22" s="85" t="s">
        <v>96</v>
      </c>
      <c r="J22" s="29">
        <v>144</v>
      </c>
      <c r="K22" s="36">
        <v>36</v>
      </c>
      <c r="L22" s="25" t="str">
        <f t="shared" si="1"/>
        <v/>
      </c>
    </row>
    <row r="23" spans="1:12">
      <c r="A23" s="32" t="s">
        <v>97</v>
      </c>
      <c r="B23" s="33">
        <v>26</v>
      </c>
      <c r="C23" s="33">
        <v>12</v>
      </c>
      <c r="D23" s="32" t="s">
        <v>98</v>
      </c>
      <c r="E23" s="20"/>
      <c r="F23" s="34">
        <v>63.5</v>
      </c>
      <c r="G23" s="22">
        <f t="shared" si="0"/>
        <v>5.29166666666667</v>
      </c>
      <c r="H23" s="85" t="s">
        <v>99</v>
      </c>
      <c r="I23" s="85" t="s">
        <v>100</v>
      </c>
      <c r="J23" s="29">
        <v>160</v>
      </c>
      <c r="K23" s="36">
        <v>20</v>
      </c>
      <c r="L23" s="25" t="str">
        <f t="shared" si="1"/>
        <v/>
      </c>
    </row>
    <row r="24" spans="1:12">
      <c r="A24" s="26" t="s">
        <v>101</v>
      </c>
      <c r="B24" s="20">
        <v>50</v>
      </c>
      <c r="C24" s="20">
        <v>6</v>
      </c>
      <c r="D24" s="26" t="s">
        <v>102</v>
      </c>
      <c r="E24" s="20"/>
      <c r="F24" s="27">
        <v>3.6</v>
      </c>
      <c r="G24" s="22">
        <f t="shared" si="0"/>
        <v>0.6</v>
      </c>
      <c r="H24" s="84" t="s">
        <v>103</v>
      </c>
      <c r="I24" s="84" t="s">
        <v>104</v>
      </c>
      <c r="J24" s="29"/>
      <c r="K24" s="36"/>
      <c r="L24" s="25" t="str">
        <f t="shared" si="1"/>
        <v/>
      </c>
    </row>
    <row r="25" spans="1:12">
      <c r="A25" s="26" t="s">
        <v>105</v>
      </c>
      <c r="B25" s="20">
        <v>26</v>
      </c>
      <c r="C25" s="20">
        <v>24</v>
      </c>
      <c r="D25" s="26" t="s">
        <v>106</v>
      </c>
      <c r="E25" s="20"/>
      <c r="F25" s="27">
        <v>5.52</v>
      </c>
      <c r="G25" s="22">
        <f t="shared" si="0"/>
        <v>0.23</v>
      </c>
      <c r="H25" s="84" t="s">
        <v>107</v>
      </c>
      <c r="I25" s="84" t="s">
        <v>108</v>
      </c>
      <c r="J25" s="29"/>
      <c r="K25" s="36"/>
      <c r="L25" s="25" t="str">
        <f t="shared" si="1"/>
        <v/>
      </c>
    </row>
    <row r="26" spans="1:12">
      <c r="A26" s="26" t="s">
        <v>109</v>
      </c>
      <c r="B26" s="20">
        <v>41</v>
      </c>
      <c r="C26" s="20">
        <v>24</v>
      </c>
      <c r="D26" s="26" t="s">
        <v>110</v>
      </c>
      <c r="E26" s="20"/>
      <c r="F26" s="27">
        <v>5.52</v>
      </c>
      <c r="G26" s="22">
        <f t="shared" si="0"/>
        <v>0.23</v>
      </c>
      <c r="H26" s="84" t="s">
        <v>111</v>
      </c>
      <c r="I26" s="84" t="s">
        <v>112</v>
      </c>
      <c r="J26" s="29"/>
      <c r="K26" s="36"/>
      <c r="L26" s="25" t="str">
        <f t="shared" si="1"/>
        <v/>
      </c>
    </row>
    <row r="27" spans="1:12">
      <c r="A27" s="26" t="s">
        <v>113</v>
      </c>
      <c r="B27" s="20">
        <v>16</v>
      </c>
      <c r="C27" s="20">
        <v>12</v>
      </c>
      <c r="D27" s="26" t="s">
        <v>114</v>
      </c>
      <c r="E27" s="20"/>
      <c r="F27" s="27">
        <v>6.12</v>
      </c>
      <c r="G27" s="22">
        <f t="shared" si="0"/>
        <v>0.51</v>
      </c>
      <c r="H27" s="84" t="s">
        <v>115</v>
      </c>
      <c r="I27" s="84" t="s">
        <v>116</v>
      </c>
      <c r="J27" s="29"/>
      <c r="K27" s="36"/>
      <c r="L27" s="25" t="str">
        <f t="shared" si="1"/>
        <v/>
      </c>
    </row>
    <row r="28" spans="1:12">
      <c r="A28" s="26" t="s">
        <v>117</v>
      </c>
      <c r="B28" s="20">
        <v>32</v>
      </c>
      <c r="C28" s="20">
        <v>24</v>
      </c>
      <c r="D28" s="26" t="s">
        <v>118</v>
      </c>
      <c r="E28" s="20"/>
      <c r="F28" s="27">
        <v>5.52</v>
      </c>
      <c r="G28" s="22">
        <f t="shared" si="0"/>
        <v>0.23</v>
      </c>
      <c r="H28" s="84" t="s">
        <v>119</v>
      </c>
      <c r="I28" s="84" t="s">
        <v>120</v>
      </c>
      <c r="J28" s="29"/>
      <c r="K28" s="36"/>
      <c r="L28" s="25" t="str">
        <f t="shared" si="1"/>
        <v/>
      </c>
    </row>
    <row r="29" spans="1:12">
      <c r="A29" s="26" t="s">
        <v>121</v>
      </c>
      <c r="B29" s="20">
        <v>29</v>
      </c>
      <c r="C29" s="20">
        <v>12</v>
      </c>
      <c r="D29" s="26" t="s">
        <v>122</v>
      </c>
      <c r="E29" s="20"/>
      <c r="F29" s="27">
        <v>7.2</v>
      </c>
      <c r="G29" s="22">
        <f t="shared" si="0"/>
        <v>0.6</v>
      </c>
      <c r="H29" s="84" t="s">
        <v>123</v>
      </c>
      <c r="I29" s="84" t="s">
        <v>124</v>
      </c>
      <c r="J29" s="29"/>
      <c r="K29" s="36"/>
      <c r="L29" s="25" t="str">
        <f t="shared" si="1"/>
        <v/>
      </c>
    </row>
    <row r="30" spans="1:12">
      <c r="A30" s="26" t="s">
        <v>125</v>
      </c>
      <c r="B30" s="20">
        <v>10</v>
      </c>
      <c r="C30" s="20">
        <v>12</v>
      </c>
      <c r="D30" s="26" t="s">
        <v>126</v>
      </c>
      <c r="E30" s="20"/>
      <c r="F30" s="27">
        <v>7.2</v>
      </c>
      <c r="G30" s="22">
        <f t="shared" si="0"/>
        <v>0.6</v>
      </c>
      <c r="H30" s="84" t="s">
        <v>127</v>
      </c>
      <c r="I30" s="84" t="s">
        <v>128</v>
      </c>
      <c r="J30" s="29"/>
      <c r="K30" s="36"/>
      <c r="L30" s="25" t="str">
        <f t="shared" si="1"/>
        <v/>
      </c>
    </row>
    <row r="31" spans="1:12">
      <c r="A31" s="32" t="s">
        <v>129</v>
      </c>
      <c r="B31" s="33">
        <v>1186</v>
      </c>
      <c r="C31" s="33">
        <v>6</v>
      </c>
      <c r="D31" s="32" t="s">
        <v>130</v>
      </c>
      <c r="E31" s="20">
        <v>50</v>
      </c>
      <c r="F31" s="34">
        <v>7.5</v>
      </c>
      <c r="G31" s="22">
        <f t="shared" si="0"/>
        <v>1.25</v>
      </c>
      <c r="H31" s="85" t="s">
        <v>131</v>
      </c>
      <c r="I31" s="85" t="s">
        <v>132</v>
      </c>
      <c r="J31" s="29">
        <v>1300</v>
      </c>
      <c r="K31" s="36">
        <v>50</v>
      </c>
      <c r="L31" s="25">
        <f t="shared" si="1"/>
        <v>375</v>
      </c>
    </row>
    <row r="32" spans="1:12">
      <c r="A32" s="32" t="s">
        <v>133</v>
      </c>
      <c r="B32" s="33">
        <v>260</v>
      </c>
      <c r="C32" s="33">
        <v>6</v>
      </c>
      <c r="D32" s="32" t="s">
        <v>134</v>
      </c>
      <c r="E32" s="20">
        <v>200</v>
      </c>
      <c r="F32" s="34">
        <v>21.6</v>
      </c>
      <c r="G32" s="22">
        <f t="shared" si="0"/>
        <v>3.6</v>
      </c>
      <c r="H32" s="85" t="s">
        <v>135</v>
      </c>
      <c r="I32" s="85" t="s">
        <v>136</v>
      </c>
      <c r="J32" s="29">
        <v>462</v>
      </c>
      <c r="K32" s="36">
        <v>77</v>
      </c>
      <c r="L32" s="25">
        <f t="shared" si="1"/>
        <v>4320</v>
      </c>
    </row>
    <row r="33" spans="1:12">
      <c r="A33" s="32" t="s">
        <v>137</v>
      </c>
      <c r="B33" s="33">
        <v>297</v>
      </c>
      <c r="C33" s="33">
        <v>3</v>
      </c>
      <c r="D33" s="32" t="s">
        <v>138</v>
      </c>
      <c r="E33" s="20"/>
      <c r="F33" s="34">
        <v>21.5</v>
      </c>
      <c r="G33" s="22">
        <f t="shared" si="0"/>
        <v>7.16666666666667</v>
      </c>
      <c r="H33" s="85" t="s">
        <v>139</v>
      </c>
      <c r="I33" s="85" t="s">
        <v>140</v>
      </c>
      <c r="J33" s="29">
        <v>363</v>
      </c>
      <c r="K33" s="36">
        <v>33</v>
      </c>
      <c r="L33" s="25" t="str">
        <f t="shared" si="1"/>
        <v/>
      </c>
    </row>
    <row r="34" spans="1:12">
      <c r="A34" s="32" t="s">
        <v>141</v>
      </c>
      <c r="B34" s="33">
        <v>179</v>
      </c>
      <c r="C34" s="33">
        <v>16</v>
      </c>
      <c r="D34" s="32" t="s">
        <v>142</v>
      </c>
      <c r="E34" s="29"/>
      <c r="F34" s="34">
        <v>12.4</v>
      </c>
      <c r="G34" s="22">
        <f t="shared" si="0"/>
        <v>0.775</v>
      </c>
      <c r="H34" s="85" t="s">
        <v>143</v>
      </c>
      <c r="I34" s="85" t="s">
        <v>144</v>
      </c>
      <c r="J34" s="29">
        <v>48</v>
      </c>
      <c r="K34" s="36">
        <v>12</v>
      </c>
      <c r="L34" s="25" t="str">
        <f t="shared" si="1"/>
        <v/>
      </c>
    </row>
    <row r="35" spans="1:12">
      <c r="A35" s="32" t="s">
        <v>145</v>
      </c>
      <c r="B35" s="33">
        <v>156</v>
      </c>
      <c r="C35" s="33">
        <v>16</v>
      </c>
      <c r="D35" s="32" t="s">
        <v>146</v>
      </c>
      <c r="E35" s="20"/>
      <c r="F35" s="34">
        <v>12.4</v>
      </c>
      <c r="G35" s="22">
        <f t="shared" si="0"/>
        <v>0.775</v>
      </c>
      <c r="H35" s="85" t="s">
        <v>147</v>
      </c>
      <c r="I35" s="85" t="s">
        <v>148</v>
      </c>
      <c r="J35" s="29">
        <v>50</v>
      </c>
      <c r="K35" s="36">
        <v>15</v>
      </c>
      <c r="L35" s="25" t="str">
        <f t="shared" si="1"/>
        <v/>
      </c>
    </row>
    <row r="36" spans="1:12">
      <c r="A36" s="32" t="s">
        <v>149</v>
      </c>
      <c r="B36" s="33">
        <v>200</v>
      </c>
      <c r="C36" s="33">
        <v>12</v>
      </c>
      <c r="D36" s="32" t="s">
        <v>150</v>
      </c>
      <c r="E36" s="29"/>
      <c r="F36" s="39">
        <v>18.72</v>
      </c>
      <c r="G36" s="22">
        <f t="shared" si="0"/>
        <v>1.56</v>
      </c>
      <c r="H36" s="85" t="s">
        <v>151</v>
      </c>
      <c r="I36" s="85" t="s">
        <v>152</v>
      </c>
      <c r="J36" s="29">
        <v>108</v>
      </c>
      <c r="K36" s="36">
        <v>18</v>
      </c>
      <c r="L36" s="25" t="str">
        <f t="shared" si="1"/>
        <v/>
      </c>
    </row>
    <row r="37" spans="1:12">
      <c r="A37" s="32" t="s">
        <v>153</v>
      </c>
      <c r="B37" s="33">
        <v>165</v>
      </c>
      <c r="C37" s="33">
        <v>16</v>
      </c>
      <c r="D37" s="32" t="s">
        <v>154</v>
      </c>
      <c r="E37" s="20"/>
      <c r="F37" s="39">
        <v>24.96</v>
      </c>
      <c r="G37" s="22">
        <f t="shared" si="0"/>
        <v>1.56</v>
      </c>
      <c r="H37" s="85" t="s">
        <v>155</v>
      </c>
      <c r="I37" s="85" t="s">
        <v>156</v>
      </c>
      <c r="J37" s="29">
        <v>90</v>
      </c>
      <c r="K37" s="36">
        <v>15</v>
      </c>
      <c r="L37" s="25" t="str">
        <f t="shared" si="1"/>
        <v/>
      </c>
    </row>
    <row r="38" spans="1:12">
      <c r="A38" s="32" t="s">
        <v>157</v>
      </c>
      <c r="B38" s="33">
        <v>21</v>
      </c>
      <c r="C38" s="33">
        <v>16</v>
      </c>
      <c r="D38" s="32" t="s">
        <v>158</v>
      </c>
      <c r="E38" s="29"/>
      <c r="F38" s="39">
        <v>24.96</v>
      </c>
      <c r="G38" s="22">
        <f t="shared" si="0"/>
        <v>1.56</v>
      </c>
      <c r="H38" s="85" t="s">
        <v>159</v>
      </c>
      <c r="I38" s="85" t="s">
        <v>160</v>
      </c>
      <c r="J38" s="29">
        <v>90</v>
      </c>
      <c r="K38" s="36">
        <v>15</v>
      </c>
      <c r="L38" s="25" t="str">
        <f t="shared" si="1"/>
        <v/>
      </c>
    </row>
    <row r="39" spans="1:12">
      <c r="A39" s="32" t="s">
        <v>161</v>
      </c>
      <c r="B39" s="33">
        <v>60</v>
      </c>
      <c r="C39" s="33">
        <v>16</v>
      </c>
      <c r="D39" s="32" t="s">
        <v>162</v>
      </c>
      <c r="E39" s="29"/>
      <c r="F39" s="39">
        <v>24.96</v>
      </c>
      <c r="G39" s="22">
        <f t="shared" si="0"/>
        <v>1.56</v>
      </c>
      <c r="H39" s="85" t="s">
        <v>163</v>
      </c>
      <c r="I39" s="85" t="s">
        <v>164</v>
      </c>
      <c r="J39" s="29">
        <v>90</v>
      </c>
      <c r="K39" s="36">
        <v>15</v>
      </c>
      <c r="L39" s="25" t="str">
        <f t="shared" si="1"/>
        <v/>
      </c>
    </row>
    <row r="40" spans="1:12">
      <c r="A40" s="32" t="s">
        <v>165</v>
      </c>
      <c r="B40" s="33">
        <v>46</v>
      </c>
      <c r="C40" s="33">
        <v>12</v>
      </c>
      <c r="D40" s="32" t="s">
        <v>166</v>
      </c>
      <c r="E40" s="20"/>
      <c r="F40" s="39">
        <v>8.08</v>
      </c>
      <c r="G40" s="22">
        <f t="shared" si="0"/>
        <v>0.673333333333333</v>
      </c>
      <c r="H40" s="85" t="s">
        <v>167</v>
      </c>
      <c r="I40" s="85" t="s">
        <v>168</v>
      </c>
      <c r="J40" s="29">
        <v>200</v>
      </c>
      <c r="K40" s="36">
        <v>20</v>
      </c>
      <c r="L40" s="25" t="str">
        <f t="shared" si="1"/>
        <v/>
      </c>
    </row>
    <row r="41" spans="1:12">
      <c r="A41" s="32" t="s">
        <v>169</v>
      </c>
      <c r="B41" s="33">
        <v>113</v>
      </c>
      <c r="C41" s="33">
        <v>12</v>
      </c>
      <c r="D41" s="32" t="s">
        <v>170</v>
      </c>
      <c r="E41" s="20"/>
      <c r="F41" s="39">
        <v>8.08</v>
      </c>
      <c r="G41" s="22">
        <f t="shared" si="0"/>
        <v>0.673333333333333</v>
      </c>
      <c r="H41" s="85" t="s">
        <v>171</v>
      </c>
      <c r="I41" s="85" t="s">
        <v>172</v>
      </c>
      <c r="J41" s="29">
        <v>189</v>
      </c>
      <c r="K41" s="36">
        <v>27</v>
      </c>
      <c r="L41" s="25" t="str">
        <f t="shared" si="1"/>
        <v/>
      </c>
    </row>
    <row r="42" spans="1:12">
      <c r="A42" s="32" t="s">
        <v>173</v>
      </c>
      <c r="B42" s="33">
        <v>13</v>
      </c>
      <c r="C42" s="33">
        <v>12</v>
      </c>
      <c r="D42" s="32" t="s">
        <v>174</v>
      </c>
      <c r="E42" s="20"/>
      <c r="F42" s="39">
        <v>8.08</v>
      </c>
      <c r="G42" s="22">
        <f t="shared" si="0"/>
        <v>0.673333333333333</v>
      </c>
      <c r="H42" s="85" t="s">
        <v>175</v>
      </c>
      <c r="I42" s="85" t="s">
        <v>176</v>
      </c>
      <c r="J42" s="29">
        <v>176</v>
      </c>
      <c r="K42" s="36">
        <v>22</v>
      </c>
      <c r="L42" s="25" t="str">
        <f t="shared" si="1"/>
        <v/>
      </c>
    </row>
    <row r="43" spans="1:12">
      <c r="A43" s="32" t="s">
        <v>177</v>
      </c>
      <c r="B43" s="33">
        <v>36</v>
      </c>
      <c r="C43" s="33">
        <v>12</v>
      </c>
      <c r="D43" s="32" t="s">
        <v>178</v>
      </c>
      <c r="E43" s="20"/>
      <c r="F43" s="34">
        <v>8.08</v>
      </c>
      <c r="G43" s="22">
        <f t="shared" si="0"/>
        <v>0.673333333333333</v>
      </c>
      <c r="H43" s="85" t="s">
        <v>179</v>
      </c>
      <c r="I43" s="85" t="s">
        <v>180</v>
      </c>
      <c r="J43" s="29">
        <v>360</v>
      </c>
      <c r="K43" s="36">
        <v>40</v>
      </c>
      <c r="L43" s="25" t="str">
        <f t="shared" si="1"/>
        <v/>
      </c>
    </row>
    <row r="44" spans="1:12">
      <c r="A44" s="32" t="s">
        <v>181</v>
      </c>
      <c r="B44" s="33">
        <v>30</v>
      </c>
      <c r="C44" s="33">
        <v>12</v>
      </c>
      <c r="D44" s="32" t="s">
        <v>182</v>
      </c>
      <c r="E44" s="20"/>
      <c r="F44" s="34">
        <v>8.08</v>
      </c>
      <c r="G44" s="22">
        <f t="shared" si="0"/>
        <v>0.673333333333333</v>
      </c>
      <c r="H44" s="85" t="s">
        <v>183</v>
      </c>
      <c r="I44" s="85" t="s">
        <v>184</v>
      </c>
      <c r="J44" s="29">
        <v>368</v>
      </c>
      <c r="K44" s="36">
        <v>46</v>
      </c>
      <c r="L44" s="25" t="str">
        <f t="shared" si="1"/>
        <v/>
      </c>
    </row>
    <row r="45" spans="1:12">
      <c r="A45" s="32" t="s">
        <v>185</v>
      </c>
      <c r="B45" s="33">
        <v>35</v>
      </c>
      <c r="C45" s="33">
        <v>12</v>
      </c>
      <c r="D45" s="32" t="s">
        <v>186</v>
      </c>
      <c r="E45" s="20"/>
      <c r="F45" s="34">
        <v>8.08</v>
      </c>
      <c r="G45" s="22">
        <f t="shared" si="0"/>
        <v>0.673333333333333</v>
      </c>
      <c r="H45" s="85" t="s">
        <v>187</v>
      </c>
      <c r="I45" s="85" t="s">
        <v>188</v>
      </c>
      <c r="J45" s="29">
        <v>216</v>
      </c>
      <c r="K45" s="36">
        <v>24</v>
      </c>
      <c r="L45" s="25" t="str">
        <f t="shared" si="1"/>
        <v/>
      </c>
    </row>
    <row r="46" spans="1:12">
      <c r="A46" s="32" t="s">
        <v>189</v>
      </c>
      <c r="B46" s="33">
        <v>30</v>
      </c>
      <c r="C46" s="33">
        <v>24</v>
      </c>
      <c r="D46" s="32" t="s">
        <v>190</v>
      </c>
      <c r="E46" s="20"/>
      <c r="F46" s="34">
        <v>16.16</v>
      </c>
      <c r="G46" s="22">
        <f t="shared" si="0"/>
        <v>0.673333333333333</v>
      </c>
      <c r="H46" s="85" t="s">
        <v>191</v>
      </c>
      <c r="I46" s="85" t="s">
        <v>192</v>
      </c>
      <c r="J46" s="29">
        <v>168</v>
      </c>
      <c r="K46" s="36">
        <v>14</v>
      </c>
      <c r="L46" s="25" t="str">
        <f t="shared" si="1"/>
        <v/>
      </c>
    </row>
    <row r="47" spans="1:12">
      <c r="A47" s="32" t="s">
        <v>193</v>
      </c>
      <c r="B47" s="33">
        <v>148</v>
      </c>
      <c r="C47" s="33">
        <v>12</v>
      </c>
      <c r="D47" s="32" t="s">
        <v>194</v>
      </c>
      <c r="E47" s="20"/>
      <c r="F47" s="34">
        <v>8.08</v>
      </c>
      <c r="G47" s="22">
        <f t="shared" si="0"/>
        <v>0.673333333333333</v>
      </c>
      <c r="H47" s="85" t="s">
        <v>195</v>
      </c>
      <c r="I47" s="85" t="s">
        <v>196</v>
      </c>
      <c r="J47" s="29">
        <v>189</v>
      </c>
      <c r="K47" s="36">
        <v>27</v>
      </c>
      <c r="L47" s="25" t="str">
        <f t="shared" si="1"/>
        <v/>
      </c>
    </row>
    <row r="48" spans="1:12">
      <c r="A48" s="32" t="s">
        <v>197</v>
      </c>
      <c r="B48" s="33">
        <v>411</v>
      </c>
      <c r="C48" s="33">
        <v>6</v>
      </c>
      <c r="D48" s="32" t="s">
        <v>198</v>
      </c>
      <c r="E48" s="29"/>
      <c r="F48" s="34">
        <v>6</v>
      </c>
      <c r="G48" s="22">
        <f t="shared" si="0"/>
        <v>1</v>
      </c>
      <c r="H48" s="85" t="s">
        <v>199</v>
      </c>
      <c r="I48" s="85" t="s">
        <v>200</v>
      </c>
      <c r="J48" s="29">
        <v>544</v>
      </c>
      <c r="K48" s="30">
        <v>136</v>
      </c>
      <c r="L48" s="25" t="str">
        <f t="shared" si="1"/>
        <v/>
      </c>
    </row>
    <row r="49" spans="1:12">
      <c r="A49" s="32" t="s">
        <v>201</v>
      </c>
      <c r="B49" s="33">
        <v>32</v>
      </c>
      <c r="C49" s="33">
        <v>12</v>
      </c>
      <c r="D49" s="32" t="s">
        <v>202</v>
      </c>
      <c r="E49" s="29"/>
      <c r="F49" s="34">
        <v>12.6</v>
      </c>
      <c r="G49" s="34">
        <f t="shared" si="0"/>
        <v>1.05</v>
      </c>
      <c r="H49" s="85" t="s">
        <v>203</v>
      </c>
      <c r="I49" s="85" t="s">
        <v>204</v>
      </c>
      <c r="J49" s="29">
        <v>630</v>
      </c>
      <c r="K49" s="36">
        <v>105</v>
      </c>
      <c r="L49" s="40" t="str">
        <f t="shared" si="1"/>
        <v/>
      </c>
    </row>
    <row r="50" spans="1:12">
      <c r="A50" s="32" t="s">
        <v>205</v>
      </c>
      <c r="B50" s="33">
        <v>107</v>
      </c>
      <c r="C50" s="33">
        <v>6</v>
      </c>
      <c r="D50" s="32" t="s">
        <v>206</v>
      </c>
      <c r="E50" s="20"/>
      <c r="F50" s="34">
        <v>12.8</v>
      </c>
      <c r="G50" s="34">
        <f t="shared" si="0"/>
        <v>2.13333333333333</v>
      </c>
      <c r="H50" s="85" t="s">
        <v>207</v>
      </c>
      <c r="I50" s="85" t="s">
        <v>208</v>
      </c>
      <c r="J50" s="29">
        <v>300</v>
      </c>
      <c r="K50" s="36">
        <v>50</v>
      </c>
      <c r="L50" s="25" t="str">
        <f t="shared" si="1"/>
        <v/>
      </c>
    </row>
    <row r="51" spans="1:12">
      <c r="A51" s="32" t="s">
        <v>209</v>
      </c>
      <c r="B51" s="33">
        <v>24</v>
      </c>
      <c r="C51" s="33">
        <v>6</v>
      </c>
      <c r="D51" s="32" t="s">
        <v>210</v>
      </c>
      <c r="E51" s="20"/>
      <c r="F51" s="34">
        <v>4.5</v>
      </c>
      <c r="G51" s="22">
        <f t="shared" si="0"/>
        <v>0.75</v>
      </c>
      <c r="H51" s="85" t="s">
        <v>211</v>
      </c>
      <c r="I51" s="85" t="s">
        <v>212</v>
      </c>
      <c r="J51" s="29">
        <v>648</v>
      </c>
      <c r="K51" s="36">
        <v>54</v>
      </c>
      <c r="L51" s="25" t="str">
        <f t="shared" si="1"/>
        <v/>
      </c>
    </row>
    <row r="52" spans="1:12">
      <c r="A52" s="32" t="s">
        <v>213</v>
      </c>
      <c r="B52" s="33">
        <v>6</v>
      </c>
      <c r="C52" s="33">
        <v>12</v>
      </c>
      <c r="D52" s="32" t="s">
        <v>214</v>
      </c>
      <c r="E52" s="20"/>
      <c r="F52" s="34">
        <v>19.4</v>
      </c>
      <c r="G52" s="22">
        <f t="shared" si="0"/>
        <v>1.61666666666667</v>
      </c>
      <c r="H52" s="85" t="s">
        <v>215</v>
      </c>
      <c r="I52" s="85" t="s">
        <v>216</v>
      </c>
      <c r="J52" s="29"/>
      <c r="K52" s="36"/>
      <c r="L52" s="25" t="str">
        <f t="shared" si="1"/>
        <v/>
      </c>
    </row>
    <row r="53" spans="1:12">
      <c r="A53" s="32" t="s">
        <v>217</v>
      </c>
      <c r="B53" s="33">
        <v>77</v>
      </c>
      <c r="C53" s="33">
        <v>6</v>
      </c>
      <c r="D53" s="32" t="s">
        <v>218</v>
      </c>
      <c r="E53" s="20"/>
      <c r="F53" s="34">
        <v>8.6</v>
      </c>
      <c r="G53" s="22">
        <f t="shared" si="0"/>
        <v>1.43333333333333</v>
      </c>
      <c r="H53" s="85" t="s">
        <v>219</v>
      </c>
      <c r="I53" s="85" t="s">
        <v>220</v>
      </c>
      <c r="J53" s="29">
        <v>1392</v>
      </c>
      <c r="K53" s="36">
        <v>232</v>
      </c>
      <c r="L53" s="25" t="str">
        <f t="shared" si="1"/>
        <v/>
      </c>
    </row>
    <row r="54" spans="1:12">
      <c r="A54" s="32" t="s">
        <v>221</v>
      </c>
      <c r="B54" s="33">
        <v>216</v>
      </c>
      <c r="C54" s="33" t="s">
        <v>222</v>
      </c>
      <c r="D54" s="32" t="s">
        <v>223</v>
      </c>
      <c r="E54" s="20"/>
      <c r="F54" s="34">
        <v>7.2</v>
      </c>
      <c r="G54" s="22">
        <f t="shared" si="0"/>
        <v>1.2</v>
      </c>
      <c r="H54" s="85" t="s">
        <v>224</v>
      </c>
      <c r="I54" s="85" t="s">
        <v>225</v>
      </c>
      <c r="J54" s="29">
        <v>630</v>
      </c>
      <c r="K54" s="36">
        <v>105</v>
      </c>
      <c r="L54" s="25" t="str">
        <f t="shared" si="1"/>
        <v/>
      </c>
    </row>
    <row r="55" spans="1:12">
      <c r="A55" s="32" t="s">
        <v>226</v>
      </c>
      <c r="B55" s="33">
        <v>180</v>
      </c>
      <c r="C55" s="33">
        <v>6</v>
      </c>
      <c r="D55" s="32" t="s">
        <v>227</v>
      </c>
      <c r="E55" s="20"/>
      <c r="F55" s="34">
        <v>12.3</v>
      </c>
      <c r="G55" s="34">
        <f t="shared" si="0"/>
        <v>2.05</v>
      </c>
      <c r="H55" s="85" t="s">
        <v>228</v>
      </c>
      <c r="I55" s="85" t="s">
        <v>229</v>
      </c>
      <c r="J55" s="29">
        <v>300</v>
      </c>
      <c r="K55" s="36">
        <v>50</v>
      </c>
      <c r="L55" s="25" t="str">
        <f t="shared" si="1"/>
        <v/>
      </c>
    </row>
    <row r="56" spans="1:12">
      <c r="A56" s="32" t="s">
        <v>230</v>
      </c>
      <c r="B56" s="33">
        <v>66</v>
      </c>
      <c r="C56" s="33">
        <v>12</v>
      </c>
      <c r="D56" s="32" t="s">
        <v>231</v>
      </c>
      <c r="E56" s="20"/>
      <c r="F56" s="34">
        <v>3.4</v>
      </c>
      <c r="G56" s="22">
        <f t="shared" si="0"/>
        <v>0.283333333333333</v>
      </c>
      <c r="H56" s="85" t="s">
        <v>232</v>
      </c>
      <c r="I56" s="85" t="s">
        <v>233</v>
      </c>
      <c r="J56" s="29">
        <v>432</v>
      </c>
      <c r="K56" s="36">
        <v>108</v>
      </c>
      <c r="L56" s="25" t="str">
        <f t="shared" si="1"/>
        <v/>
      </c>
    </row>
    <row r="57" spans="1:12">
      <c r="A57" s="32" t="s">
        <v>234</v>
      </c>
      <c r="B57" s="33">
        <v>154</v>
      </c>
      <c r="C57" s="33">
        <v>12</v>
      </c>
      <c r="D57" s="32" t="s">
        <v>235</v>
      </c>
      <c r="E57" s="20"/>
      <c r="F57" s="34">
        <v>3.7</v>
      </c>
      <c r="G57" s="22">
        <f t="shared" si="0"/>
        <v>0.308333333333333</v>
      </c>
      <c r="H57" s="85" t="s">
        <v>236</v>
      </c>
      <c r="I57" s="85" t="s">
        <v>237</v>
      </c>
      <c r="J57" s="29">
        <v>360</v>
      </c>
      <c r="K57" s="36">
        <v>72</v>
      </c>
      <c r="L57" s="25" t="str">
        <f t="shared" si="1"/>
        <v/>
      </c>
    </row>
    <row r="58" spans="1:12">
      <c r="A58" s="32" t="s">
        <v>238</v>
      </c>
      <c r="B58" s="33">
        <v>44</v>
      </c>
      <c r="C58" s="33" t="s">
        <v>222</v>
      </c>
      <c r="D58" s="32" t="s">
        <v>239</v>
      </c>
      <c r="E58" s="20"/>
      <c r="F58" s="34">
        <v>8.6</v>
      </c>
      <c r="G58" s="22">
        <f t="shared" si="0"/>
        <v>1.43333333333333</v>
      </c>
      <c r="H58" s="85" t="s">
        <v>240</v>
      </c>
      <c r="I58" s="85" t="s">
        <v>241</v>
      </c>
      <c r="J58" s="29">
        <v>1392</v>
      </c>
      <c r="K58" s="36">
        <v>232</v>
      </c>
      <c r="L58" s="25" t="str">
        <f t="shared" si="1"/>
        <v/>
      </c>
    </row>
    <row r="59" spans="1:12">
      <c r="A59" s="32" t="s">
        <v>242</v>
      </c>
      <c r="B59" s="33">
        <v>129</v>
      </c>
      <c r="C59" s="33" t="s">
        <v>222</v>
      </c>
      <c r="D59" s="32" t="s">
        <v>243</v>
      </c>
      <c r="E59" s="20"/>
      <c r="F59" s="34">
        <v>4.2</v>
      </c>
      <c r="G59" s="22">
        <f t="shared" si="0"/>
        <v>0.7</v>
      </c>
      <c r="H59" s="85" t="s">
        <v>244</v>
      </c>
      <c r="I59" s="85" t="s">
        <v>245</v>
      </c>
      <c r="J59" s="29">
        <v>720</v>
      </c>
      <c r="K59" s="36">
        <v>90</v>
      </c>
      <c r="L59" s="25" t="str">
        <f t="shared" si="1"/>
        <v/>
      </c>
    </row>
    <row r="60" spans="1:12">
      <c r="A60" s="32" t="s">
        <v>246</v>
      </c>
      <c r="B60" s="33">
        <v>46</v>
      </c>
      <c r="C60" s="33">
        <v>6</v>
      </c>
      <c r="D60" s="32" t="s">
        <v>247</v>
      </c>
      <c r="E60" s="20"/>
      <c r="F60" s="34">
        <v>10.4</v>
      </c>
      <c r="G60" s="22">
        <f t="shared" si="0"/>
        <v>1.73333333333333</v>
      </c>
      <c r="H60" s="85" t="s">
        <v>248</v>
      </c>
      <c r="I60" s="85" t="s">
        <v>249</v>
      </c>
      <c r="J60" s="29">
        <v>300</v>
      </c>
      <c r="K60" s="36">
        <v>50</v>
      </c>
      <c r="L60" s="25" t="str">
        <f t="shared" si="1"/>
        <v/>
      </c>
    </row>
    <row r="61" spans="1:12">
      <c r="A61" s="32" t="s">
        <v>250</v>
      </c>
      <c r="B61" s="33">
        <v>152</v>
      </c>
      <c r="C61" s="33">
        <v>12</v>
      </c>
      <c r="D61" s="32" t="s">
        <v>251</v>
      </c>
      <c r="E61" s="20"/>
      <c r="F61" s="34">
        <v>31.25</v>
      </c>
      <c r="G61" s="34">
        <f t="shared" si="0"/>
        <v>2.60416666666667</v>
      </c>
      <c r="H61" s="85" t="s">
        <v>252</v>
      </c>
      <c r="I61" s="85" t="s">
        <v>253</v>
      </c>
      <c r="J61" s="29"/>
      <c r="K61" s="36"/>
      <c r="L61" s="25" t="str">
        <f t="shared" si="1"/>
        <v/>
      </c>
    </row>
    <row r="62" spans="1:12">
      <c r="A62" s="32" t="s">
        <v>254</v>
      </c>
      <c r="B62" s="19">
        <v>27</v>
      </c>
      <c r="C62" s="33">
        <v>12</v>
      </c>
      <c r="D62" s="32" t="s">
        <v>255</v>
      </c>
      <c r="E62" s="20"/>
      <c r="F62" s="34">
        <v>26.4</v>
      </c>
      <c r="G62" s="22">
        <f t="shared" si="0"/>
        <v>2.2</v>
      </c>
      <c r="H62" s="86" t="s">
        <v>256</v>
      </c>
      <c r="I62" s="86" t="s">
        <v>257</v>
      </c>
      <c r="J62" s="19">
        <v>150</v>
      </c>
      <c r="K62" s="36">
        <v>25</v>
      </c>
      <c r="L62" s="25" t="str">
        <f t="shared" si="1"/>
        <v/>
      </c>
    </row>
    <row r="63" spans="1:12">
      <c r="A63" s="32" t="s">
        <v>258</v>
      </c>
      <c r="B63" s="33">
        <v>126</v>
      </c>
      <c r="C63" s="33">
        <v>10</v>
      </c>
      <c r="D63" s="32" t="s">
        <v>259</v>
      </c>
      <c r="E63" s="29"/>
      <c r="F63" s="34">
        <v>3.72</v>
      </c>
      <c r="G63" s="34">
        <f t="shared" si="0"/>
        <v>0.372</v>
      </c>
      <c r="H63" s="85" t="s">
        <v>260</v>
      </c>
      <c r="I63" s="85" t="s">
        <v>261</v>
      </c>
      <c r="J63" s="29">
        <v>1200</v>
      </c>
      <c r="K63" s="36">
        <v>300</v>
      </c>
      <c r="L63" s="40" t="str">
        <f t="shared" si="1"/>
        <v/>
      </c>
    </row>
    <row r="64" spans="1:12">
      <c r="A64" s="32" t="s">
        <v>262</v>
      </c>
      <c r="B64" s="33">
        <v>116</v>
      </c>
      <c r="C64" s="33">
        <v>10</v>
      </c>
      <c r="D64" s="32" t="s">
        <v>263</v>
      </c>
      <c r="E64" s="29"/>
      <c r="F64" s="34">
        <v>3.72</v>
      </c>
      <c r="G64" s="34">
        <f t="shared" si="0"/>
        <v>0.372</v>
      </c>
      <c r="H64" s="85" t="s">
        <v>264</v>
      </c>
      <c r="I64" s="85" t="s">
        <v>265</v>
      </c>
      <c r="J64" s="29">
        <v>1200</v>
      </c>
      <c r="K64" s="36">
        <v>300</v>
      </c>
      <c r="L64" s="40" t="str">
        <f t="shared" si="1"/>
        <v/>
      </c>
    </row>
    <row r="65" spans="1:12">
      <c r="A65" s="32" t="s">
        <v>266</v>
      </c>
      <c r="B65" s="33">
        <v>17</v>
      </c>
      <c r="C65" s="33">
        <v>10</v>
      </c>
      <c r="D65" s="32" t="s">
        <v>267</v>
      </c>
      <c r="E65" s="29"/>
      <c r="F65" s="34">
        <v>8.8</v>
      </c>
      <c r="G65" s="34">
        <f t="shared" si="0"/>
        <v>0.88</v>
      </c>
      <c r="H65" s="85" t="s">
        <v>268</v>
      </c>
      <c r="I65" s="85" t="s">
        <v>269</v>
      </c>
      <c r="J65" s="29">
        <v>768</v>
      </c>
      <c r="K65" s="36">
        <v>192</v>
      </c>
      <c r="L65" s="40" t="str">
        <f t="shared" si="1"/>
        <v/>
      </c>
    </row>
    <row r="66" spans="1:12">
      <c r="A66" s="32" t="s">
        <v>270</v>
      </c>
      <c r="B66" s="33">
        <v>14</v>
      </c>
      <c r="C66" s="33">
        <v>6</v>
      </c>
      <c r="D66" s="32" t="s">
        <v>271</v>
      </c>
      <c r="E66" s="29"/>
      <c r="F66" s="34">
        <v>6.6</v>
      </c>
      <c r="G66" s="34">
        <f t="shared" ref="G66:G129" si="2">F66/C66</f>
        <v>1.1</v>
      </c>
      <c r="H66" s="85" t="s">
        <v>272</v>
      </c>
      <c r="I66" s="85" t="s">
        <v>273</v>
      </c>
      <c r="J66" s="29">
        <v>300</v>
      </c>
      <c r="K66" s="36">
        <v>50</v>
      </c>
      <c r="L66" s="40" t="str">
        <f t="shared" ref="L66:L129" si="3">IF(E66,E66*F66,"")</f>
        <v/>
      </c>
    </row>
    <row r="67" spans="1:12">
      <c r="A67" s="32" t="s">
        <v>274</v>
      </c>
      <c r="B67" s="33">
        <v>13</v>
      </c>
      <c r="C67" s="33">
        <v>6</v>
      </c>
      <c r="D67" s="32" t="s">
        <v>275</v>
      </c>
      <c r="E67" s="29"/>
      <c r="F67" s="34">
        <v>6.95</v>
      </c>
      <c r="G67" s="34">
        <f t="shared" si="2"/>
        <v>1.15833333333333</v>
      </c>
      <c r="H67" s="85" t="s">
        <v>276</v>
      </c>
      <c r="I67" s="85" t="s">
        <v>277</v>
      </c>
      <c r="J67" s="29"/>
      <c r="K67" s="36"/>
      <c r="L67" s="40" t="str">
        <f t="shared" si="3"/>
        <v/>
      </c>
    </row>
    <row r="68" spans="1:12">
      <c r="A68" s="32" t="s">
        <v>278</v>
      </c>
      <c r="B68" s="33">
        <v>71</v>
      </c>
      <c r="C68" s="33">
        <v>6</v>
      </c>
      <c r="D68" s="32" t="s">
        <v>279</v>
      </c>
      <c r="E68" s="29"/>
      <c r="F68" s="34">
        <v>6.4</v>
      </c>
      <c r="G68" s="34">
        <f t="shared" si="2"/>
        <v>1.06666666666667</v>
      </c>
      <c r="H68" s="85" t="s">
        <v>280</v>
      </c>
      <c r="I68" s="85" t="s">
        <v>281</v>
      </c>
      <c r="J68" s="29">
        <v>300</v>
      </c>
      <c r="K68" s="36">
        <v>50</v>
      </c>
      <c r="L68" s="40" t="str">
        <f t="shared" si="3"/>
        <v/>
      </c>
    </row>
    <row r="69" spans="1:12">
      <c r="A69" s="32" t="s">
        <v>282</v>
      </c>
      <c r="B69" s="33">
        <v>14</v>
      </c>
      <c r="C69" s="33">
        <v>6</v>
      </c>
      <c r="D69" s="32" t="s">
        <v>283</v>
      </c>
      <c r="E69" s="29"/>
      <c r="F69" s="34">
        <v>6.6</v>
      </c>
      <c r="G69" s="34">
        <f t="shared" si="2"/>
        <v>1.1</v>
      </c>
      <c r="H69" s="85" t="s">
        <v>284</v>
      </c>
      <c r="I69" s="85" t="s">
        <v>285</v>
      </c>
      <c r="J69" s="29">
        <v>300</v>
      </c>
      <c r="K69" s="36">
        <v>50</v>
      </c>
      <c r="L69" s="40" t="str">
        <f t="shared" si="3"/>
        <v/>
      </c>
    </row>
    <row r="70" spans="1:12">
      <c r="A70" s="32" t="s">
        <v>286</v>
      </c>
      <c r="B70" s="33">
        <v>8</v>
      </c>
      <c r="C70" s="33">
        <v>12</v>
      </c>
      <c r="D70" s="32" t="s">
        <v>287</v>
      </c>
      <c r="E70" s="29"/>
      <c r="F70" s="34">
        <v>11.4</v>
      </c>
      <c r="G70" s="34">
        <f t="shared" si="2"/>
        <v>0.95</v>
      </c>
      <c r="H70" s="85" t="s">
        <v>288</v>
      </c>
      <c r="I70" s="85" t="s">
        <v>289</v>
      </c>
      <c r="J70" s="29">
        <v>238</v>
      </c>
      <c r="K70" s="36">
        <v>34</v>
      </c>
      <c r="L70" s="40" t="str">
        <f t="shared" si="3"/>
        <v/>
      </c>
    </row>
    <row r="71" spans="1:12">
      <c r="A71" s="32" t="s">
        <v>290</v>
      </c>
      <c r="B71" s="33">
        <v>34</v>
      </c>
      <c r="C71" s="33">
        <v>10</v>
      </c>
      <c r="D71" s="32" t="s">
        <v>291</v>
      </c>
      <c r="E71" s="29"/>
      <c r="F71" s="34">
        <v>3.6</v>
      </c>
      <c r="G71" s="34">
        <f t="shared" si="2"/>
        <v>0.36</v>
      </c>
      <c r="H71" s="85" t="s">
        <v>292</v>
      </c>
      <c r="I71" s="85" t="s">
        <v>293</v>
      </c>
      <c r="J71" s="29"/>
      <c r="K71" s="36"/>
      <c r="L71" s="40" t="str">
        <f t="shared" si="3"/>
        <v/>
      </c>
    </row>
    <row r="72" spans="1:12">
      <c r="A72" s="41" t="s">
        <v>294</v>
      </c>
      <c r="B72" s="31">
        <v>120</v>
      </c>
      <c r="C72" s="30">
        <v>40</v>
      </c>
      <c r="D72" s="41" t="s">
        <v>295</v>
      </c>
      <c r="E72" s="20"/>
      <c r="F72" s="34">
        <v>18.6</v>
      </c>
      <c r="G72" s="22">
        <f t="shared" si="2"/>
        <v>0.465</v>
      </c>
      <c r="H72" s="87" t="s">
        <v>296</v>
      </c>
      <c r="I72" s="87" t="s">
        <v>297</v>
      </c>
      <c r="J72" s="31">
        <v>140</v>
      </c>
      <c r="K72" s="36">
        <v>20</v>
      </c>
      <c r="L72" s="25" t="str">
        <f t="shared" si="3"/>
        <v/>
      </c>
    </row>
    <row r="73" spans="1:12">
      <c r="A73" s="32" t="s">
        <v>298</v>
      </c>
      <c r="B73" s="33">
        <v>112</v>
      </c>
      <c r="C73" s="33">
        <v>40</v>
      </c>
      <c r="D73" s="32" t="s">
        <v>299</v>
      </c>
      <c r="E73" s="20"/>
      <c r="F73" s="34">
        <v>18.6</v>
      </c>
      <c r="G73" s="22">
        <f t="shared" si="2"/>
        <v>0.465</v>
      </c>
      <c r="H73" s="85" t="s">
        <v>300</v>
      </c>
      <c r="I73" s="85" t="s">
        <v>301</v>
      </c>
      <c r="J73" s="29">
        <v>140</v>
      </c>
      <c r="K73" s="36">
        <v>20</v>
      </c>
      <c r="L73" s="25" t="str">
        <f t="shared" si="3"/>
        <v/>
      </c>
    </row>
    <row r="74" spans="1:12">
      <c r="A74" s="32" t="s">
        <v>302</v>
      </c>
      <c r="B74" s="33">
        <v>82</v>
      </c>
      <c r="C74" s="33">
        <v>20</v>
      </c>
      <c r="D74" s="32" t="s">
        <v>303</v>
      </c>
      <c r="E74" s="20"/>
      <c r="F74" s="34">
        <v>18.6</v>
      </c>
      <c r="G74" s="22">
        <f t="shared" si="2"/>
        <v>0.93</v>
      </c>
      <c r="H74" s="85" t="s">
        <v>304</v>
      </c>
      <c r="I74" s="85" t="s">
        <v>305</v>
      </c>
      <c r="J74" s="29">
        <v>190</v>
      </c>
      <c r="K74" s="36">
        <v>38</v>
      </c>
      <c r="L74" s="25" t="str">
        <f t="shared" si="3"/>
        <v/>
      </c>
    </row>
    <row r="75" spans="1:12">
      <c r="A75" s="32" t="s">
        <v>306</v>
      </c>
      <c r="B75" s="33">
        <v>33</v>
      </c>
      <c r="C75" s="33">
        <v>20</v>
      </c>
      <c r="D75" s="32" t="s">
        <v>307</v>
      </c>
      <c r="E75" s="20"/>
      <c r="F75" s="34">
        <v>15.8</v>
      </c>
      <c r="G75" s="22">
        <f t="shared" si="2"/>
        <v>0.79</v>
      </c>
      <c r="H75" s="85" t="s">
        <v>308</v>
      </c>
      <c r="I75" s="85" t="s">
        <v>309</v>
      </c>
      <c r="J75" s="29">
        <v>168</v>
      </c>
      <c r="K75" s="36">
        <v>21</v>
      </c>
      <c r="L75" s="25" t="str">
        <f t="shared" si="3"/>
        <v/>
      </c>
    </row>
    <row r="76" spans="1:12">
      <c r="A76" s="32" t="s">
        <v>310</v>
      </c>
      <c r="B76" s="33">
        <v>547</v>
      </c>
      <c r="C76" s="33">
        <v>6</v>
      </c>
      <c r="D76" s="32" t="s">
        <v>311</v>
      </c>
      <c r="E76" s="20"/>
      <c r="F76" s="34">
        <v>9</v>
      </c>
      <c r="G76" s="22">
        <f t="shared" si="2"/>
        <v>1.5</v>
      </c>
      <c r="H76" s="85" t="s">
        <v>312</v>
      </c>
      <c r="I76" s="85" t="s">
        <v>313</v>
      </c>
      <c r="J76" s="29">
        <v>413</v>
      </c>
      <c r="K76" s="36">
        <v>59</v>
      </c>
      <c r="L76" s="25" t="str">
        <f t="shared" si="3"/>
        <v/>
      </c>
    </row>
    <row r="77" spans="1:12">
      <c r="A77" s="32" t="s">
        <v>314</v>
      </c>
      <c r="B77" s="33">
        <v>404</v>
      </c>
      <c r="C77" s="33">
        <v>6</v>
      </c>
      <c r="D77" s="32" t="s">
        <v>315</v>
      </c>
      <c r="E77" s="20"/>
      <c r="F77" s="37">
        <v>7.8</v>
      </c>
      <c r="G77" s="37">
        <f t="shared" si="2"/>
        <v>1.3</v>
      </c>
      <c r="H77" s="85" t="s">
        <v>316</v>
      </c>
      <c r="I77" s="85" t="s">
        <v>317</v>
      </c>
      <c r="J77" s="29">
        <v>413</v>
      </c>
      <c r="K77" s="30">
        <v>59</v>
      </c>
      <c r="L77" s="25" t="str">
        <f t="shared" si="3"/>
        <v/>
      </c>
    </row>
    <row r="78" spans="1:12">
      <c r="A78" s="32" t="s">
        <v>318</v>
      </c>
      <c r="B78" s="33">
        <v>274</v>
      </c>
      <c r="C78" s="33">
        <v>6</v>
      </c>
      <c r="D78" s="32" t="s">
        <v>319</v>
      </c>
      <c r="E78" s="20"/>
      <c r="F78" s="34">
        <v>7.8</v>
      </c>
      <c r="G78" s="22">
        <f t="shared" si="2"/>
        <v>1.3</v>
      </c>
      <c r="H78" s="85" t="s">
        <v>320</v>
      </c>
      <c r="I78" s="85" t="s">
        <v>321</v>
      </c>
      <c r="J78" s="29">
        <v>413</v>
      </c>
      <c r="K78" s="36">
        <v>59</v>
      </c>
      <c r="L78" s="25" t="str">
        <f t="shared" si="3"/>
        <v/>
      </c>
    </row>
    <row r="79" spans="1:12">
      <c r="A79" s="32" t="s">
        <v>322</v>
      </c>
      <c r="B79" s="33">
        <v>447</v>
      </c>
      <c r="C79" s="33">
        <v>6</v>
      </c>
      <c r="D79" s="32" t="s">
        <v>323</v>
      </c>
      <c r="E79" s="20"/>
      <c r="F79" s="34">
        <v>7.8</v>
      </c>
      <c r="G79" s="22">
        <f t="shared" si="2"/>
        <v>1.3</v>
      </c>
      <c r="H79" s="85" t="s">
        <v>324</v>
      </c>
      <c r="I79" s="85" t="s">
        <v>325</v>
      </c>
      <c r="J79" s="29">
        <v>413</v>
      </c>
      <c r="K79" s="36">
        <v>59</v>
      </c>
      <c r="L79" s="25" t="str">
        <f t="shared" si="3"/>
        <v/>
      </c>
    </row>
    <row r="80" spans="1:12">
      <c r="A80" s="32" t="s">
        <v>326</v>
      </c>
      <c r="B80" s="33">
        <v>2</v>
      </c>
      <c r="C80" s="33">
        <v>6</v>
      </c>
      <c r="D80" s="32" t="s">
        <v>327</v>
      </c>
      <c r="E80" s="20"/>
      <c r="F80" s="34">
        <v>7.8</v>
      </c>
      <c r="G80" s="22">
        <f t="shared" si="2"/>
        <v>1.3</v>
      </c>
      <c r="H80" s="85" t="s">
        <v>328</v>
      </c>
      <c r="I80" s="85" t="s">
        <v>329</v>
      </c>
      <c r="J80" s="29">
        <v>413</v>
      </c>
      <c r="K80" s="36">
        <v>59</v>
      </c>
      <c r="L80" s="25" t="str">
        <f t="shared" si="3"/>
        <v/>
      </c>
    </row>
    <row r="81" spans="1:17">
      <c r="A81" s="41" t="s">
        <v>330</v>
      </c>
      <c r="B81" s="31">
        <v>41</v>
      </c>
      <c r="C81" s="30">
        <v>6</v>
      </c>
      <c r="D81" s="41" t="s">
        <v>331</v>
      </c>
      <c r="E81" s="20"/>
      <c r="F81" s="34">
        <v>19.85</v>
      </c>
      <c r="G81" s="22">
        <f t="shared" si="2"/>
        <v>3.30833333333333</v>
      </c>
      <c r="H81" s="87" t="s">
        <v>332</v>
      </c>
      <c r="I81" s="87" t="s">
        <v>333</v>
      </c>
      <c r="J81" s="31">
        <v>132</v>
      </c>
      <c r="K81" s="36"/>
      <c r="L81" s="25" t="str">
        <f t="shared" si="3"/>
        <v/>
      </c>
    </row>
    <row r="82" spans="1:17">
      <c r="A82" s="41" t="s">
        <v>334</v>
      </c>
      <c r="B82" s="31">
        <v>24</v>
      </c>
      <c r="C82" s="30">
        <v>12</v>
      </c>
      <c r="D82" s="41" t="s">
        <v>335</v>
      </c>
      <c r="E82" s="20"/>
      <c r="F82" s="34">
        <v>28</v>
      </c>
      <c r="G82" s="22">
        <f t="shared" si="2"/>
        <v>2.33333333333333</v>
      </c>
      <c r="H82" s="87" t="s">
        <v>336</v>
      </c>
      <c r="I82" s="87" t="s">
        <v>337</v>
      </c>
      <c r="J82" s="31">
        <v>170</v>
      </c>
      <c r="K82" s="36">
        <v>17</v>
      </c>
      <c r="L82" s="25" t="str">
        <f t="shared" si="3"/>
        <v/>
      </c>
    </row>
    <row r="83" spans="1:17">
      <c r="A83" s="41" t="s">
        <v>338</v>
      </c>
      <c r="B83" s="31">
        <v>47</v>
      </c>
      <c r="C83" s="30">
        <v>12</v>
      </c>
      <c r="D83" s="41" t="s">
        <v>339</v>
      </c>
      <c r="E83" s="20"/>
      <c r="F83" s="34">
        <v>28</v>
      </c>
      <c r="G83" s="22">
        <f t="shared" si="2"/>
        <v>2.33333333333333</v>
      </c>
      <c r="H83" s="87" t="s">
        <v>340</v>
      </c>
      <c r="I83" s="87" t="s">
        <v>341</v>
      </c>
      <c r="J83" s="31">
        <v>170</v>
      </c>
      <c r="K83" s="36">
        <v>17</v>
      </c>
      <c r="L83" s="25" t="str">
        <f t="shared" si="3"/>
        <v/>
      </c>
    </row>
    <row r="84" spans="1:17">
      <c r="A84" s="41" t="s">
        <v>342</v>
      </c>
      <c r="B84" s="31">
        <v>39</v>
      </c>
      <c r="C84" s="30">
        <v>12</v>
      </c>
      <c r="D84" s="41" t="s">
        <v>343</v>
      </c>
      <c r="E84" s="20"/>
      <c r="F84" s="34">
        <v>28</v>
      </c>
      <c r="G84" s="22">
        <f t="shared" si="2"/>
        <v>2.33333333333333</v>
      </c>
      <c r="H84" s="87" t="s">
        <v>344</v>
      </c>
      <c r="I84" s="87" t="s">
        <v>345</v>
      </c>
      <c r="J84" s="31">
        <v>170</v>
      </c>
      <c r="K84" s="36">
        <v>17</v>
      </c>
      <c r="L84" s="25" t="str">
        <f t="shared" si="3"/>
        <v/>
      </c>
    </row>
    <row r="85" spans="1:17">
      <c r="A85" s="32" t="s">
        <v>346</v>
      </c>
      <c r="B85" s="33">
        <v>19</v>
      </c>
      <c r="C85" s="33">
        <v>12</v>
      </c>
      <c r="D85" s="32" t="s">
        <v>347</v>
      </c>
      <c r="E85" s="20"/>
      <c r="F85" s="34">
        <v>17.6</v>
      </c>
      <c r="G85" s="22">
        <f t="shared" si="2"/>
        <v>1.46666666666667</v>
      </c>
      <c r="H85" s="88" t="s">
        <v>348</v>
      </c>
      <c r="I85" s="85" t="s">
        <v>349</v>
      </c>
      <c r="J85" s="29">
        <v>240</v>
      </c>
      <c r="K85" s="36">
        <v>40</v>
      </c>
      <c r="L85" s="25" t="str">
        <f t="shared" si="3"/>
        <v/>
      </c>
    </row>
    <row r="86" spans="1:17">
      <c r="A86" s="32" t="s">
        <v>350</v>
      </c>
      <c r="B86" s="33">
        <v>35</v>
      </c>
      <c r="C86" s="33">
        <v>12</v>
      </c>
      <c r="D86" s="32" t="s">
        <v>351</v>
      </c>
      <c r="E86" s="20"/>
      <c r="F86" s="34">
        <v>17.6</v>
      </c>
      <c r="G86" s="22">
        <f t="shared" si="2"/>
        <v>1.46666666666667</v>
      </c>
      <c r="H86" s="88" t="s">
        <v>352</v>
      </c>
      <c r="I86" s="85" t="s">
        <v>353</v>
      </c>
      <c r="J86" s="29">
        <v>240</v>
      </c>
      <c r="K86" s="36">
        <v>40</v>
      </c>
      <c r="L86" s="25" t="str">
        <f t="shared" si="3"/>
        <v/>
      </c>
    </row>
    <row r="87" spans="1:17">
      <c r="A87" s="32" t="s">
        <v>354</v>
      </c>
      <c r="B87" s="33">
        <v>101</v>
      </c>
      <c r="C87" s="33">
        <v>12</v>
      </c>
      <c r="D87" s="32" t="s">
        <v>355</v>
      </c>
      <c r="E87" s="20"/>
      <c r="F87" s="37">
        <v>40.8</v>
      </c>
      <c r="G87" s="37">
        <f t="shared" si="2"/>
        <v>3.4</v>
      </c>
      <c r="H87" s="85" t="s">
        <v>356</v>
      </c>
      <c r="I87" s="85" t="s">
        <v>357</v>
      </c>
      <c r="J87" s="29">
        <v>150</v>
      </c>
      <c r="K87" s="30">
        <v>15</v>
      </c>
      <c r="L87" s="25" t="str">
        <f t="shared" si="3"/>
        <v/>
      </c>
    </row>
    <row r="88" spans="1:17">
      <c r="A88" s="41" t="s">
        <v>358</v>
      </c>
      <c r="B88" s="30">
        <v>75</v>
      </c>
      <c r="C88" s="30">
        <v>6</v>
      </c>
      <c r="D88" s="41" t="s">
        <v>359</v>
      </c>
      <c r="E88" s="29"/>
      <c r="F88" s="43">
        <v>10.8</v>
      </c>
      <c r="G88" s="43">
        <f t="shared" si="2"/>
        <v>1.8</v>
      </c>
      <c r="H88" s="44">
        <v>5010724527481</v>
      </c>
      <c r="I88" s="89" t="s">
        <v>360</v>
      </c>
      <c r="J88" s="36">
        <v>400</v>
      </c>
      <c r="K88" s="36">
        <v>80</v>
      </c>
      <c r="L88" s="46" t="str">
        <f t="shared" si="3"/>
        <v/>
      </c>
      <c r="Q88" s="47"/>
    </row>
    <row r="89" spans="1:17">
      <c r="A89" s="41" t="s">
        <v>361</v>
      </c>
      <c r="B89" s="30">
        <v>36</v>
      </c>
      <c r="C89" s="30">
        <v>6</v>
      </c>
      <c r="D89" s="41" t="s">
        <v>362</v>
      </c>
      <c r="E89" s="29"/>
      <c r="F89" s="48">
        <v>10.8</v>
      </c>
      <c r="G89" s="48">
        <f t="shared" si="2"/>
        <v>1.8</v>
      </c>
      <c r="H89" s="44">
        <v>5010724539811</v>
      </c>
      <c r="I89" s="45">
        <v>5010724839812</v>
      </c>
      <c r="J89" s="36">
        <v>400</v>
      </c>
      <c r="K89" s="36">
        <v>80</v>
      </c>
      <c r="L89" s="46" t="str">
        <f t="shared" si="3"/>
        <v/>
      </c>
      <c r="Q89" s="47"/>
    </row>
    <row r="90" spans="1:17">
      <c r="A90" s="32" t="s">
        <v>363</v>
      </c>
      <c r="B90" s="33">
        <v>160</v>
      </c>
      <c r="C90" s="33">
        <v>6</v>
      </c>
      <c r="D90" s="32" t="s">
        <v>364</v>
      </c>
      <c r="E90" s="20"/>
      <c r="F90" s="34">
        <v>16.5</v>
      </c>
      <c r="G90" s="22">
        <f t="shared" si="2"/>
        <v>2.75</v>
      </c>
      <c r="H90" s="85" t="s">
        <v>365</v>
      </c>
      <c r="I90" s="85" t="s">
        <v>366</v>
      </c>
      <c r="J90" s="29">
        <v>189</v>
      </c>
      <c r="K90" s="36">
        <v>63</v>
      </c>
      <c r="L90" s="25" t="str">
        <f t="shared" si="3"/>
        <v/>
      </c>
    </row>
    <row r="91" spans="1:17">
      <c r="A91" s="32" t="s">
        <v>367</v>
      </c>
      <c r="B91" s="33">
        <v>325</v>
      </c>
      <c r="C91" s="33">
        <v>6</v>
      </c>
      <c r="D91" s="32" t="s">
        <v>368</v>
      </c>
      <c r="E91" s="20"/>
      <c r="F91" s="34">
        <v>16.5</v>
      </c>
      <c r="G91" s="22">
        <f t="shared" si="2"/>
        <v>2.75</v>
      </c>
      <c r="H91" s="85" t="s">
        <v>369</v>
      </c>
      <c r="I91" s="85" t="s">
        <v>370</v>
      </c>
      <c r="J91" s="29">
        <v>189</v>
      </c>
      <c r="K91" s="36">
        <v>63</v>
      </c>
      <c r="L91" s="25" t="str">
        <f t="shared" si="3"/>
        <v/>
      </c>
    </row>
    <row r="92" spans="1:17">
      <c r="A92" s="32" t="s">
        <v>371</v>
      </c>
      <c r="B92" s="33">
        <v>53</v>
      </c>
      <c r="C92" s="33">
        <v>24</v>
      </c>
      <c r="D92" s="32" t="s">
        <v>372</v>
      </c>
      <c r="E92" s="20"/>
      <c r="F92" s="34">
        <v>21</v>
      </c>
      <c r="G92" s="22">
        <f t="shared" si="2"/>
        <v>0.875</v>
      </c>
      <c r="H92" s="85" t="s">
        <v>373</v>
      </c>
      <c r="I92" s="85" t="s">
        <v>374</v>
      </c>
      <c r="J92" s="29"/>
      <c r="K92" s="36"/>
      <c r="L92" s="25" t="str">
        <f t="shared" si="3"/>
        <v/>
      </c>
    </row>
    <row r="93" spans="1:17">
      <c r="A93" s="32" t="s">
        <v>375</v>
      </c>
      <c r="B93" s="33">
        <v>923</v>
      </c>
      <c r="C93" s="33">
        <v>8</v>
      </c>
      <c r="D93" s="32" t="s">
        <v>376</v>
      </c>
      <c r="E93" s="20"/>
      <c r="F93" s="34">
        <v>6.9</v>
      </c>
      <c r="G93" s="22">
        <f t="shared" si="2"/>
        <v>0.8625</v>
      </c>
      <c r="H93" s="85" t="s">
        <v>377</v>
      </c>
      <c r="I93" s="85" t="s">
        <v>378</v>
      </c>
      <c r="J93" s="29">
        <v>480</v>
      </c>
      <c r="K93" s="36">
        <v>48</v>
      </c>
      <c r="L93" s="25" t="str">
        <f t="shared" si="3"/>
        <v/>
      </c>
    </row>
    <row r="94" spans="1:17">
      <c r="A94" s="32" t="s">
        <v>379</v>
      </c>
      <c r="B94" s="33">
        <v>89</v>
      </c>
      <c r="C94" s="33">
        <v>6</v>
      </c>
      <c r="D94" s="32" t="s">
        <v>380</v>
      </c>
      <c r="E94" s="20"/>
      <c r="F94" s="34">
        <v>3.99</v>
      </c>
      <c r="G94" s="22">
        <f t="shared" si="2"/>
        <v>0.665</v>
      </c>
      <c r="H94" s="85" t="s">
        <v>381</v>
      </c>
      <c r="I94" s="85" t="s">
        <v>382</v>
      </c>
      <c r="J94" s="29">
        <v>424</v>
      </c>
      <c r="K94" s="36">
        <v>53</v>
      </c>
      <c r="L94" s="25" t="str">
        <f t="shared" si="3"/>
        <v/>
      </c>
    </row>
    <row r="95" spans="1:17">
      <c r="A95" s="32" t="s">
        <v>383</v>
      </c>
      <c r="B95" s="33">
        <v>116</v>
      </c>
      <c r="C95" s="33">
        <v>6</v>
      </c>
      <c r="D95" s="32" t="s">
        <v>384</v>
      </c>
      <c r="E95" s="20"/>
      <c r="F95" s="34">
        <v>14.95</v>
      </c>
      <c r="G95" s="22">
        <f t="shared" si="2"/>
        <v>2.49166666666667</v>
      </c>
      <c r="H95" s="85" t="s">
        <v>385</v>
      </c>
      <c r="I95" s="85" t="s">
        <v>386</v>
      </c>
      <c r="J95" s="29">
        <v>456</v>
      </c>
      <c r="K95" s="36">
        <v>57</v>
      </c>
      <c r="L95" s="25" t="str">
        <f t="shared" si="3"/>
        <v/>
      </c>
    </row>
    <row r="96" spans="1:17">
      <c r="A96" s="32" t="s">
        <v>387</v>
      </c>
      <c r="B96" s="33">
        <v>332</v>
      </c>
      <c r="C96" s="33">
        <v>6</v>
      </c>
      <c r="D96" s="32" t="s">
        <v>388</v>
      </c>
      <c r="E96" s="29"/>
      <c r="F96" s="34">
        <v>14.95</v>
      </c>
      <c r="G96" s="22">
        <f t="shared" si="2"/>
        <v>2.49166666666667</v>
      </c>
      <c r="H96" s="90" t="s">
        <v>389</v>
      </c>
      <c r="I96" s="90" t="s">
        <v>390</v>
      </c>
      <c r="J96" s="29">
        <v>456</v>
      </c>
      <c r="K96" s="36">
        <v>57</v>
      </c>
      <c r="L96" s="25" t="str">
        <f t="shared" si="3"/>
        <v/>
      </c>
    </row>
    <row r="97" spans="1:12">
      <c r="A97" s="32" t="s">
        <v>391</v>
      </c>
      <c r="B97" s="33">
        <v>191</v>
      </c>
      <c r="C97" s="33">
        <v>6</v>
      </c>
      <c r="D97" s="32" t="s">
        <v>392</v>
      </c>
      <c r="E97" s="20"/>
      <c r="F97" s="34">
        <v>14.95</v>
      </c>
      <c r="G97" s="22">
        <f t="shared" si="2"/>
        <v>2.49166666666667</v>
      </c>
      <c r="H97" s="85" t="s">
        <v>393</v>
      </c>
      <c r="I97" s="85" t="s">
        <v>394</v>
      </c>
      <c r="J97" s="29">
        <v>456</v>
      </c>
      <c r="K97" s="36">
        <v>57</v>
      </c>
      <c r="L97" s="25" t="str">
        <f t="shared" si="3"/>
        <v/>
      </c>
    </row>
    <row r="98" spans="1:12">
      <c r="A98" s="32" t="s">
        <v>395</v>
      </c>
      <c r="B98" s="33">
        <v>103</v>
      </c>
      <c r="C98" s="33">
        <v>6</v>
      </c>
      <c r="D98" s="32" t="s">
        <v>396</v>
      </c>
      <c r="E98" s="29"/>
      <c r="F98" s="34">
        <v>15.8</v>
      </c>
      <c r="G98" s="34">
        <f t="shared" si="2"/>
        <v>2.63333333333333</v>
      </c>
      <c r="H98" s="85" t="s">
        <v>397</v>
      </c>
      <c r="I98" s="85" t="s">
        <v>398</v>
      </c>
      <c r="J98" s="29">
        <v>456</v>
      </c>
      <c r="K98" s="36">
        <v>57</v>
      </c>
      <c r="L98" s="40" t="str">
        <f t="shared" si="3"/>
        <v/>
      </c>
    </row>
    <row r="99" spans="1:12">
      <c r="A99" s="32" t="s">
        <v>399</v>
      </c>
      <c r="B99" s="33">
        <v>233</v>
      </c>
      <c r="C99" s="33">
        <v>12</v>
      </c>
      <c r="D99" s="32" t="s">
        <v>400</v>
      </c>
      <c r="E99" s="29"/>
      <c r="F99" s="34">
        <v>15.8</v>
      </c>
      <c r="G99" s="22">
        <f t="shared" si="2"/>
        <v>1.31666666666667</v>
      </c>
      <c r="H99" s="90" t="s">
        <v>401</v>
      </c>
      <c r="I99" s="90" t="s">
        <v>402</v>
      </c>
      <c r="J99" s="29">
        <v>480</v>
      </c>
      <c r="K99" s="36">
        <v>120</v>
      </c>
      <c r="L99" s="40" t="str">
        <f t="shared" si="3"/>
        <v/>
      </c>
    </row>
    <row r="100" spans="1:12">
      <c r="A100" s="32" t="s">
        <v>403</v>
      </c>
      <c r="B100" s="33">
        <v>503</v>
      </c>
      <c r="C100" s="33">
        <v>12</v>
      </c>
      <c r="D100" s="41" t="s">
        <v>404</v>
      </c>
      <c r="E100" s="20"/>
      <c r="F100" s="37">
        <v>15.8</v>
      </c>
      <c r="G100" s="38">
        <f t="shared" si="2"/>
        <v>1.31666666666667</v>
      </c>
      <c r="H100" s="90" t="s">
        <v>405</v>
      </c>
      <c r="I100" s="90" t="s">
        <v>406</v>
      </c>
      <c r="J100" s="29">
        <v>480</v>
      </c>
      <c r="K100" s="36">
        <v>120</v>
      </c>
      <c r="L100" s="25" t="str">
        <f t="shared" si="3"/>
        <v/>
      </c>
    </row>
    <row r="101" spans="1:12">
      <c r="A101" s="32" t="s">
        <v>407</v>
      </c>
      <c r="B101" s="33">
        <v>165</v>
      </c>
      <c r="C101" s="33">
        <v>12</v>
      </c>
      <c r="D101" s="32" t="s">
        <v>408</v>
      </c>
      <c r="E101" s="29"/>
      <c r="F101" s="34">
        <v>15.8</v>
      </c>
      <c r="G101" s="22">
        <f t="shared" si="2"/>
        <v>1.31666666666667</v>
      </c>
      <c r="H101" s="90" t="s">
        <v>409</v>
      </c>
      <c r="I101" s="90" t="s">
        <v>410</v>
      </c>
      <c r="J101" s="29">
        <v>480</v>
      </c>
      <c r="K101" s="36">
        <v>120</v>
      </c>
      <c r="L101" s="40" t="str">
        <f t="shared" si="3"/>
        <v/>
      </c>
    </row>
    <row r="102" spans="1:12">
      <c r="A102" s="32" t="s">
        <v>411</v>
      </c>
      <c r="B102" s="33">
        <v>299</v>
      </c>
      <c r="C102" s="33">
        <v>12</v>
      </c>
      <c r="D102" s="41" t="s">
        <v>412</v>
      </c>
      <c r="E102" s="20"/>
      <c r="F102" s="34">
        <v>15.8</v>
      </c>
      <c r="G102" s="22">
        <f t="shared" si="2"/>
        <v>1.31666666666667</v>
      </c>
      <c r="H102" s="90" t="s">
        <v>413</v>
      </c>
      <c r="I102" s="90" t="s">
        <v>414</v>
      </c>
      <c r="J102" s="29">
        <v>480</v>
      </c>
      <c r="K102" s="36">
        <v>120</v>
      </c>
      <c r="L102" s="25" t="str">
        <f t="shared" si="3"/>
        <v/>
      </c>
    </row>
    <row r="103" spans="1:12">
      <c r="A103" s="32" t="s">
        <v>415</v>
      </c>
      <c r="B103" s="33">
        <v>665</v>
      </c>
      <c r="C103" s="33">
        <v>12</v>
      </c>
      <c r="D103" s="41" t="s">
        <v>416</v>
      </c>
      <c r="E103" s="20"/>
      <c r="F103" s="34">
        <v>15.8</v>
      </c>
      <c r="G103" s="22">
        <f t="shared" si="2"/>
        <v>1.31666666666667</v>
      </c>
      <c r="H103" s="90" t="s">
        <v>417</v>
      </c>
      <c r="I103" s="90" t="s">
        <v>418</v>
      </c>
      <c r="J103" s="29">
        <v>480</v>
      </c>
      <c r="K103" s="36">
        <v>120</v>
      </c>
      <c r="L103" s="25" t="str">
        <f t="shared" si="3"/>
        <v/>
      </c>
    </row>
    <row r="104" spans="1:12">
      <c r="A104" s="32" t="s">
        <v>419</v>
      </c>
      <c r="B104" s="33">
        <v>95</v>
      </c>
      <c r="C104" s="33">
        <v>12</v>
      </c>
      <c r="D104" s="41" t="s">
        <v>420</v>
      </c>
      <c r="E104" s="20"/>
      <c r="F104" s="34">
        <v>15.8</v>
      </c>
      <c r="G104" s="22">
        <f t="shared" si="2"/>
        <v>1.31666666666667</v>
      </c>
      <c r="H104" s="90" t="s">
        <v>421</v>
      </c>
      <c r="I104" s="90" t="s">
        <v>422</v>
      </c>
      <c r="J104" s="29">
        <v>480</v>
      </c>
      <c r="K104" s="36">
        <v>120</v>
      </c>
      <c r="L104" s="25" t="str">
        <f t="shared" si="3"/>
        <v/>
      </c>
    </row>
    <row r="105" spans="1:12">
      <c r="A105" s="32" t="s">
        <v>423</v>
      </c>
      <c r="B105" s="33">
        <v>65</v>
      </c>
      <c r="C105" s="33">
        <v>12</v>
      </c>
      <c r="D105" s="41" t="s">
        <v>424</v>
      </c>
      <c r="E105" s="20"/>
      <c r="F105" s="34">
        <v>15.8</v>
      </c>
      <c r="G105" s="22">
        <f t="shared" si="2"/>
        <v>1.31666666666667</v>
      </c>
      <c r="H105" s="90" t="s">
        <v>425</v>
      </c>
      <c r="I105" s="90" t="s">
        <v>426</v>
      </c>
      <c r="J105" s="29">
        <v>480</v>
      </c>
      <c r="K105" s="36">
        <v>120</v>
      </c>
      <c r="L105" s="25" t="str">
        <f t="shared" si="3"/>
        <v/>
      </c>
    </row>
    <row r="106" spans="1:12">
      <c r="A106" s="32" t="s">
        <v>427</v>
      </c>
      <c r="B106" s="33">
        <v>168</v>
      </c>
      <c r="C106" s="33">
        <v>12</v>
      </c>
      <c r="D106" s="41" t="s">
        <v>428</v>
      </c>
      <c r="E106" s="20"/>
      <c r="F106" s="34">
        <v>15.8</v>
      </c>
      <c r="G106" s="22">
        <f t="shared" si="2"/>
        <v>1.31666666666667</v>
      </c>
      <c r="H106" s="90" t="s">
        <v>429</v>
      </c>
      <c r="I106" s="90" t="s">
        <v>430</v>
      </c>
      <c r="J106" s="29">
        <v>480</v>
      </c>
      <c r="K106" s="36">
        <v>120</v>
      </c>
      <c r="L106" s="25" t="str">
        <f t="shared" si="3"/>
        <v/>
      </c>
    </row>
    <row r="107" spans="1:12">
      <c r="A107" s="32" t="s">
        <v>431</v>
      </c>
      <c r="B107" s="33">
        <v>67</v>
      </c>
      <c r="C107" s="33">
        <v>12</v>
      </c>
      <c r="D107" s="41" t="s">
        <v>432</v>
      </c>
      <c r="E107" s="20"/>
      <c r="F107" s="34">
        <v>15.8</v>
      </c>
      <c r="G107" s="22">
        <f t="shared" si="2"/>
        <v>1.31666666666667</v>
      </c>
      <c r="H107" s="90" t="s">
        <v>433</v>
      </c>
      <c r="I107" s="90" t="s">
        <v>434</v>
      </c>
      <c r="J107" s="29">
        <v>480</v>
      </c>
      <c r="K107" s="36">
        <v>120</v>
      </c>
      <c r="L107" s="25" t="str">
        <f t="shared" si="3"/>
        <v/>
      </c>
    </row>
    <row r="108" spans="1:12">
      <c r="A108" s="32" t="s">
        <v>435</v>
      </c>
      <c r="B108" s="33">
        <v>55</v>
      </c>
      <c r="C108" s="33">
        <v>12</v>
      </c>
      <c r="D108" s="41" t="s">
        <v>436</v>
      </c>
      <c r="E108" s="20"/>
      <c r="F108" s="34">
        <v>15.8</v>
      </c>
      <c r="G108" s="22">
        <f t="shared" si="2"/>
        <v>1.31666666666667</v>
      </c>
      <c r="H108" s="90" t="s">
        <v>437</v>
      </c>
      <c r="I108" s="90" t="s">
        <v>438</v>
      </c>
      <c r="J108" s="29">
        <v>480</v>
      </c>
      <c r="K108" s="36">
        <v>120</v>
      </c>
      <c r="L108" s="25" t="str">
        <f t="shared" si="3"/>
        <v/>
      </c>
    </row>
    <row r="109" spans="1:12">
      <c r="A109" s="32" t="s">
        <v>439</v>
      </c>
      <c r="B109" s="33">
        <v>300</v>
      </c>
      <c r="C109" s="33">
        <v>12</v>
      </c>
      <c r="D109" s="41" t="s">
        <v>440</v>
      </c>
      <c r="E109" s="20"/>
      <c r="F109" s="34">
        <v>15.8</v>
      </c>
      <c r="G109" s="22">
        <f t="shared" si="2"/>
        <v>1.31666666666667</v>
      </c>
      <c r="H109" s="90" t="s">
        <v>441</v>
      </c>
      <c r="I109" s="90" t="s">
        <v>442</v>
      </c>
      <c r="J109" s="29">
        <v>480</v>
      </c>
      <c r="K109" s="36">
        <v>120</v>
      </c>
      <c r="L109" s="25" t="str">
        <f t="shared" si="3"/>
        <v/>
      </c>
    </row>
    <row r="110" spans="1:12">
      <c r="A110" s="32" t="s">
        <v>443</v>
      </c>
      <c r="B110" s="33">
        <v>94</v>
      </c>
      <c r="C110" s="33">
        <v>12</v>
      </c>
      <c r="D110" s="41" t="s">
        <v>444</v>
      </c>
      <c r="E110" s="20"/>
      <c r="F110" s="34">
        <v>24.15</v>
      </c>
      <c r="G110" s="22">
        <f t="shared" si="2"/>
        <v>2.0125</v>
      </c>
      <c r="H110" s="90" t="s">
        <v>445</v>
      </c>
      <c r="I110" s="90" t="s">
        <v>446</v>
      </c>
      <c r="J110" s="29"/>
      <c r="K110" s="36"/>
      <c r="L110" s="25" t="str">
        <f t="shared" si="3"/>
        <v/>
      </c>
    </row>
    <row r="111" spans="1:12">
      <c r="A111" s="32" t="s">
        <v>447</v>
      </c>
      <c r="B111" s="33">
        <v>77</v>
      </c>
      <c r="C111" s="33">
        <v>12</v>
      </c>
      <c r="D111" s="41" t="s">
        <v>448</v>
      </c>
      <c r="E111" s="20"/>
      <c r="F111" s="34">
        <v>24.15</v>
      </c>
      <c r="G111" s="22">
        <f t="shared" si="2"/>
        <v>2.0125</v>
      </c>
      <c r="H111" s="90" t="s">
        <v>449</v>
      </c>
      <c r="I111" s="90" t="s">
        <v>450</v>
      </c>
      <c r="J111" s="29"/>
      <c r="K111" s="36"/>
      <c r="L111" s="25" t="str">
        <f t="shared" si="3"/>
        <v/>
      </c>
    </row>
    <row r="112" spans="1:12">
      <c r="A112" s="32" t="s">
        <v>451</v>
      </c>
      <c r="B112" s="33">
        <v>79</v>
      </c>
      <c r="C112" s="33">
        <v>12</v>
      </c>
      <c r="D112" s="41" t="s">
        <v>452</v>
      </c>
      <c r="E112" s="20"/>
      <c r="F112" s="34">
        <v>24.15</v>
      </c>
      <c r="G112" s="22">
        <f t="shared" si="2"/>
        <v>2.0125</v>
      </c>
      <c r="H112" s="90" t="s">
        <v>453</v>
      </c>
      <c r="I112" s="90" t="s">
        <v>454</v>
      </c>
      <c r="J112" s="29"/>
      <c r="K112" s="36"/>
      <c r="L112" s="25" t="str">
        <f t="shared" si="3"/>
        <v/>
      </c>
    </row>
    <row r="113" spans="1:12">
      <c r="A113" s="32" t="s">
        <v>455</v>
      </c>
      <c r="B113" s="33">
        <v>580</v>
      </c>
      <c r="C113" s="33">
        <v>12</v>
      </c>
      <c r="D113" s="32" t="s">
        <v>456</v>
      </c>
      <c r="E113" s="20"/>
      <c r="F113" s="34">
        <v>15.8</v>
      </c>
      <c r="G113" s="22">
        <f t="shared" si="2"/>
        <v>1.31666666666667</v>
      </c>
      <c r="H113" s="90" t="s">
        <v>457</v>
      </c>
      <c r="I113" s="90" t="s">
        <v>458</v>
      </c>
      <c r="J113" s="29">
        <v>504</v>
      </c>
      <c r="K113" s="36">
        <v>126</v>
      </c>
      <c r="L113" s="25" t="str">
        <f t="shared" si="3"/>
        <v/>
      </c>
    </row>
    <row r="114" spans="1:12">
      <c r="A114" s="32" t="s">
        <v>459</v>
      </c>
      <c r="B114" s="33">
        <v>15</v>
      </c>
      <c r="C114" s="33">
        <v>12</v>
      </c>
      <c r="D114" s="32" t="s">
        <v>460</v>
      </c>
      <c r="E114" s="20"/>
      <c r="F114" s="34">
        <v>15.8</v>
      </c>
      <c r="G114" s="22">
        <f t="shared" si="2"/>
        <v>1.31666666666667</v>
      </c>
      <c r="H114" s="90" t="s">
        <v>461</v>
      </c>
      <c r="I114" s="90" t="s">
        <v>462</v>
      </c>
      <c r="J114" s="29">
        <v>504</v>
      </c>
      <c r="K114" s="36">
        <v>126</v>
      </c>
      <c r="L114" s="25" t="str">
        <f t="shared" si="3"/>
        <v/>
      </c>
    </row>
    <row r="115" spans="1:12">
      <c r="A115" s="32" t="s">
        <v>463</v>
      </c>
      <c r="B115" s="33">
        <v>233</v>
      </c>
      <c r="C115" s="33">
        <v>12</v>
      </c>
      <c r="D115" s="32" t="s">
        <v>464</v>
      </c>
      <c r="E115" s="20"/>
      <c r="F115" s="34">
        <v>15.8</v>
      </c>
      <c r="G115" s="22">
        <f t="shared" si="2"/>
        <v>1.31666666666667</v>
      </c>
      <c r="H115" s="49"/>
      <c r="I115" s="49"/>
      <c r="J115" s="29">
        <v>504</v>
      </c>
      <c r="K115" s="36">
        <v>126</v>
      </c>
      <c r="L115" s="25" t="str">
        <f t="shared" si="3"/>
        <v/>
      </c>
    </row>
    <row r="116" spans="1:12">
      <c r="A116" s="41" t="s">
        <v>465</v>
      </c>
      <c r="B116" s="31">
        <v>368</v>
      </c>
      <c r="C116" s="30">
        <v>6</v>
      </c>
      <c r="D116" s="41" t="s">
        <v>466</v>
      </c>
      <c r="E116" s="20"/>
      <c r="F116" s="34">
        <v>4.2</v>
      </c>
      <c r="G116" s="22">
        <f t="shared" si="2"/>
        <v>0.7</v>
      </c>
      <c r="H116" s="87" t="s">
        <v>467</v>
      </c>
      <c r="I116" s="87" t="s">
        <v>468</v>
      </c>
      <c r="J116" s="31">
        <v>318</v>
      </c>
      <c r="K116" s="36">
        <v>53</v>
      </c>
      <c r="L116" s="40" t="str">
        <f t="shared" si="3"/>
        <v/>
      </c>
    </row>
    <row r="117" spans="1:12">
      <c r="A117" s="41" t="s">
        <v>469</v>
      </c>
      <c r="B117" s="31">
        <v>91</v>
      </c>
      <c r="C117" s="30">
        <v>6</v>
      </c>
      <c r="D117" s="41" t="s">
        <v>470</v>
      </c>
      <c r="E117" s="29"/>
      <c r="F117" s="37">
        <v>4.2</v>
      </c>
      <c r="G117" s="37">
        <f t="shared" si="2"/>
        <v>0.7</v>
      </c>
      <c r="H117" s="87" t="s">
        <v>471</v>
      </c>
      <c r="I117" s="87" t="s">
        <v>472</v>
      </c>
      <c r="J117" s="31">
        <v>318</v>
      </c>
      <c r="K117" s="31">
        <v>53</v>
      </c>
      <c r="L117" s="40" t="str">
        <f t="shared" si="3"/>
        <v/>
      </c>
    </row>
    <row r="118" spans="1:12">
      <c r="A118" s="41" t="s">
        <v>473</v>
      </c>
      <c r="B118" s="31">
        <v>2</v>
      </c>
      <c r="C118" s="30">
        <v>6</v>
      </c>
      <c r="D118" s="41" t="s">
        <v>474</v>
      </c>
      <c r="E118" s="29"/>
      <c r="F118" s="34">
        <v>4.5</v>
      </c>
      <c r="G118" s="34">
        <f t="shared" si="2"/>
        <v>0.75</v>
      </c>
      <c r="H118" s="87" t="s">
        <v>475</v>
      </c>
      <c r="I118" s="87" t="s">
        <v>476</v>
      </c>
      <c r="J118" s="31"/>
      <c r="K118" s="31"/>
      <c r="L118" s="40" t="str">
        <f t="shared" si="3"/>
        <v/>
      </c>
    </row>
    <row r="119" spans="1:12">
      <c r="A119" s="32" t="s">
        <v>477</v>
      </c>
      <c r="B119" s="33">
        <v>120</v>
      </c>
      <c r="C119" s="33">
        <v>6</v>
      </c>
      <c r="D119" s="32" t="s">
        <v>478</v>
      </c>
      <c r="E119" s="20"/>
      <c r="F119" s="34">
        <v>4.14</v>
      </c>
      <c r="G119" s="22">
        <f t="shared" si="2"/>
        <v>0.69</v>
      </c>
      <c r="H119" s="85" t="s">
        <v>479</v>
      </c>
      <c r="I119" s="85" t="s">
        <v>480</v>
      </c>
      <c r="J119" s="29">
        <v>220</v>
      </c>
      <c r="K119" s="36">
        <v>55</v>
      </c>
      <c r="L119" s="25" t="str">
        <f t="shared" si="3"/>
        <v/>
      </c>
    </row>
    <row r="120" spans="1:12">
      <c r="A120" s="32" t="s">
        <v>481</v>
      </c>
      <c r="B120" s="33">
        <v>64</v>
      </c>
      <c r="C120" s="33">
        <v>6</v>
      </c>
      <c r="D120" s="32" t="s">
        <v>482</v>
      </c>
      <c r="E120" s="20"/>
      <c r="F120" s="34">
        <v>4.14</v>
      </c>
      <c r="G120" s="22">
        <f t="shared" si="2"/>
        <v>0.69</v>
      </c>
      <c r="H120" s="85" t="s">
        <v>483</v>
      </c>
      <c r="I120" s="85" t="s">
        <v>484</v>
      </c>
      <c r="J120" s="29">
        <v>220</v>
      </c>
      <c r="K120" s="36">
        <v>55</v>
      </c>
      <c r="L120" s="25" t="str">
        <f t="shared" si="3"/>
        <v/>
      </c>
    </row>
    <row r="121" spans="1:12">
      <c r="A121" s="32" t="s">
        <v>485</v>
      </c>
      <c r="B121" s="33">
        <v>14</v>
      </c>
      <c r="C121" s="33">
        <v>6</v>
      </c>
      <c r="D121" s="32" t="s">
        <v>486</v>
      </c>
      <c r="E121" s="20"/>
      <c r="F121" s="34">
        <v>4.14</v>
      </c>
      <c r="G121" s="22">
        <f t="shared" si="2"/>
        <v>0.69</v>
      </c>
      <c r="H121" s="85" t="s">
        <v>487</v>
      </c>
      <c r="I121" s="85" t="s">
        <v>488</v>
      </c>
      <c r="J121" s="29">
        <v>220</v>
      </c>
      <c r="K121" s="36">
        <v>55</v>
      </c>
      <c r="L121" s="25" t="str">
        <f t="shared" si="3"/>
        <v/>
      </c>
    </row>
    <row r="122" spans="1:12">
      <c r="A122" s="32" t="s">
        <v>489</v>
      </c>
      <c r="B122" s="33">
        <v>85</v>
      </c>
      <c r="C122" s="33">
        <v>6</v>
      </c>
      <c r="D122" s="32" t="s">
        <v>490</v>
      </c>
      <c r="E122" s="20"/>
      <c r="F122" s="34">
        <v>4.14</v>
      </c>
      <c r="G122" s="22">
        <f t="shared" si="2"/>
        <v>0.69</v>
      </c>
      <c r="H122" s="85" t="s">
        <v>491</v>
      </c>
      <c r="I122" s="85" t="s">
        <v>492</v>
      </c>
      <c r="J122" s="29">
        <v>220</v>
      </c>
      <c r="K122" s="36">
        <v>55</v>
      </c>
      <c r="L122" s="25" t="str">
        <f t="shared" si="3"/>
        <v/>
      </c>
    </row>
    <row r="123" spans="1:12">
      <c r="A123" s="32" t="s">
        <v>493</v>
      </c>
      <c r="B123" s="33">
        <v>66</v>
      </c>
      <c r="C123" s="33">
        <v>6</v>
      </c>
      <c r="D123" s="32" t="s">
        <v>494</v>
      </c>
      <c r="E123" s="20"/>
      <c r="F123" s="34">
        <v>4.14</v>
      </c>
      <c r="G123" s="22">
        <f t="shared" si="2"/>
        <v>0.69</v>
      </c>
      <c r="H123" s="85" t="s">
        <v>495</v>
      </c>
      <c r="I123" s="85" t="s">
        <v>496</v>
      </c>
      <c r="J123" s="29">
        <v>220</v>
      </c>
      <c r="K123" s="36">
        <v>55</v>
      </c>
      <c r="L123" s="25" t="str">
        <f t="shared" si="3"/>
        <v/>
      </c>
    </row>
    <row r="124" spans="1:12">
      <c r="A124" s="32" t="s">
        <v>497</v>
      </c>
      <c r="B124" s="33">
        <v>44</v>
      </c>
      <c r="C124" s="33">
        <v>6</v>
      </c>
      <c r="D124" s="32" t="s">
        <v>498</v>
      </c>
      <c r="E124" s="29"/>
      <c r="F124" s="34">
        <v>4.4</v>
      </c>
      <c r="G124" s="22">
        <f t="shared" si="2"/>
        <v>0.733333333333333</v>
      </c>
      <c r="H124" s="85" t="s">
        <v>499</v>
      </c>
      <c r="I124" s="85" t="s">
        <v>500</v>
      </c>
      <c r="J124" s="29">
        <v>625</v>
      </c>
      <c r="K124" s="30">
        <v>125</v>
      </c>
      <c r="L124" s="25" t="str">
        <f t="shared" si="3"/>
        <v/>
      </c>
    </row>
    <row r="125" spans="1:12">
      <c r="A125" s="32" t="s">
        <v>501</v>
      </c>
      <c r="B125" s="33">
        <v>65</v>
      </c>
      <c r="C125" s="33">
        <v>6</v>
      </c>
      <c r="D125" s="32" t="s">
        <v>502</v>
      </c>
      <c r="E125" s="20"/>
      <c r="F125" s="34">
        <v>4.4</v>
      </c>
      <c r="G125" s="22">
        <f t="shared" si="2"/>
        <v>0.733333333333333</v>
      </c>
      <c r="H125" s="85" t="s">
        <v>503</v>
      </c>
      <c r="I125" s="85" t="s">
        <v>504</v>
      </c>
      <c r="J125" s="29">
        <v>625</v>
      </c>
      <c r="K125" s="30">
        <v>125</v>
      </c>
      <c r="L125" s="25" t="str">
        <f t="shared" si="3"/>
        <v/>
      </c>
    </row>
    <row r="126" spans="1:12">
      <c r="A126" s="32" t="s">
        <v>505</v>
      </c>
      <c r="B126" s="33">
        <v>51</v>
      </c>
      <c r="C126" s="33">
        <v>6</v>
      </c>
      <c r="D126" s="32" t="s">
        <v>506</v>
      </c>
      <c r="E126" s="20"/>
      <c r="F126" s="34">
        <v>4.4</v>
      </c>
      <c r="G126" s="22">
        <f t="shared" si="2"/>
        <v>0.733333333333333</v>
      </c>
      <c r="H126" s="85" t="s">
        <v>507</v>
      </c>
      <c r="I126" s="85" t="s">
        <v>508</v>
      </c>
      <c r="J126" s="29">
        <v>625</v>
      </c>
      <c r="K126" s="30">
        <v>125</v>
      </c>
      <c r="L126" s="25" t="str">
        <f t="shared" si="3"/>
        <v/>
      </c>
    </row>
    <row r="127" spans="1:12">
      <c r="A127" s="32" t="s">
        <v>509</v>
      </c>
      <c r="B127" s="33">
        <v>313</v>
      </c>
      <c r="C127" s="33">
        <v>6</v>
      </c>
      <c r="D127" s="32" t="s">
        <v>510</v>
      </c>
      <c r="E127" s="20"/>
      <c r="F127" s="34">
        <v>4.8</v>
      </c>
      <c r="G127" s="22">
        <f t="shared" si="2"/>
        <v>0.8</v>
      </c>
      <c r="H127" s="85" t="s">
        <v>511</v>
      </c>
      <c r="I127" s="85" t="s">
        <v>512</v>
      </c>
      <c r="J127" s="29">
        <v>1056</v>
      </c>
      <c r="K127" s="36">
        <v>96</v>
      </c>
      <c r="L127" s="25" t="str">
        <f t="shared" si="3"/>
        <v/>
      </c>
    </row>
    <row r="128" spans="1:12">
      <c r="A128" s="32" t="s">
        <v>513</v>
      </c>
      <c r="B128" s="19">
        <v>372</v>
      </c>
      <c r="C128" s="33">
        <v>6</v>
      </c>
      <c r="D128" s="32" t="s">
        <v>514</v>
      </c>
      <c r="E128" s="20"/>
      <c r="F128" s="34">
        <v>9.6</v>
      </c>
      <c r="G128" s="22">
        <f t="shared" si="2"/>
        <v>1.6</v>
      </c>
      <c r="H128" s="85" t="s">
        <v>515</v>
      </c>
      <c r="I128" s="85" t="s">
        <v>516</v>
      </c>
      <c r="J128" s="19">
        <v>432</v>
      </c>
      <c r="K128" s="36">
        <v>72</v>
      </c>
      <c r="L128" s="25" t="str">
        <f t="shared" si="3"/>
        <v/>
      </c>
    </row>
    <row r="129" spans="1:14">
      <c r="A129" s="41" t="s">
        <v>517</v>
      </c>
      <c r="B129" s="31">
        <v>621</v>
      </c>
      <c r="C129" s="30">
        <v>6</v>
      </c>
      <c r="D129" s="41" t="s">
        <v>518</v>
      </c>
      <c r="E129" s="36"/>
      <c r="F129" s="48">
        <v>9.6</v>
      </c>
      <c r="G129" s="48">
        <f t="shared" si="2"/>
        <v>1.6</v>
      </c>
      <c r="H129" s="87" t="s">
        <v>519</v>
      </c>
      <c r="I129" s="87" t="s">
        <v>520</v>
      </c>
      <c r="J129" s="31">
        <v>637</v>
      </c>
      <c r="K129" s="30">
        <v>91</v>
      </c>
      <c r="L129" s="25" t="str">
        <f t="shared" si="3"/>
        <v/>
      </c>
      <c r="N129" s="50"/>
    </row>
    <row r="130" spans="1:14">
      <c r="A130" s="32" t="s">
        <v>521</v>
      </c>
      <c r="B130" s="33">
        <v>414</v>
      </c>
      <c r="C130" s="33">
        <v>6</v>
      </c>
      <c r="D130" s="32" t="s">
        <v>522</v>
      </c>
      <c r="E130" s="29"/>
      <c r="F130" s="34">
        <v>10.2</v>
      </c>
      <c r="G130" s="22">
        <f t="shared" ref="G130:G193" si="4">F130/C130</f>
        <v>1.7</v>
      </c>
      <c r="H130" s="85" t="s">
        <v>523</v>
      </c>
      <c r="I130" s="85" t="s">
        <v>524</v>
      </c>
      <c r="J130" s="29">
        <v>378</v>
      </c>
      <c r="K130" s="36">
        <v>63</v>
      </c>
      <c r="L130" s="40" t="str">
        <f t="shared" ref="L130:L193" si="5">IF(E130,E130*F130,"")</f>
        <v/>
      </c>
    </row>
    <row r="131" spans="1:14">
      <c r="A131" s="41" t="s">
        <v>525</v>
      </c>
      <c r="B131" s="31">
        <v>413</v>
      </c>
      <c r="C131" s="30">
        <v>6</v>
      </c>
      <c r="D131" s="41" t="s">
        <v>526</v>
      </c>
      <c r="E131" s="20"/>
      <c r="F131" s="34">
        <v>10.8</v>
      </c>
      <c r="G131" s="34">
        <f t="shared" si="4"/>
        <v>1.8</v>
      </c>
      <c r="H131" s="87" t="s">
        <v>527</v>
      </c>
      <c r="I131" s="87" t="s">
        <v>528</v>
      </c>
      <c r="J131" s="31">
        <v>378</v>
      </c>
      <c r="K131" s="30">
        <v>63</v>
      </c>
      <c r="L131" s="25" t="str">
        <f t="shared" si="5"/>
        <v/>
      </c>
    </row>
    <row r="132" spans="1:14">
      <c r="A132" s="32" t="s">
        <v>529</v>
      </c>
      <c r="B132" s="19">
        <v>367</v>
      </c>
      <c r="C132" s="33">
        <v>6</v>
      </c>
      <c r="D132" s="32" t="s">
        <v>530</v>
      </c>
      <c r="E132" s="20"/>
      <c r="F132" s="34">
        <v>13.2</v>
      </c>
      <c r="G132" s="34">
        <f t="shared" si="4"/>
        <v>2.2</v>
      </c>
      <c r="H132" s="85" t="s">
        <v>531</v>
      </c>
      <c r="I132" s="85" t="s">
        <v>532</v>
      </c>
      <c r="J132" s="19">
        <v>378</v>
      </c>
      <c r="K132" s="36">
        <v>63</v>
      </c>
      <c r="L132" s="40" t="str">
        <f t="shared" si="5"/>
        <v/>
      </c>
    </row>
    <row r="133" spans="1:14">
      <c r="A133" s="32" t="s">
        <v>533</v>
      </c>
      <c r="B133" s="33">
        <v>187</v>
      </c>
      <c r="C133" s="33">
        <v>6</v>
      </c>
      <c r="D133" s="32" t="s">
        <v>534</v>
      </c>
      <c r="E133" s="29"/>
      <c r="F133" s="34">
        <v>13.2</v>
      </c>
      <c r="G133" s="34">
        <f t="shared" si="4"/>
        <v>2.2</v>
      </c>
      <c r="H133" s="85" t="s">
        <v>535</v>
      </c>
      <c r="I133" s="85" t="s">
        <v>536</v>
      </c>
      <c r="J133" s="29">
        <v>432</v>
      </c>
      <c r="K133" s="30">
        <v>72</v>
      </c>
      <c r="L133" s="40" t="str">
        <f t="shared" si="5"/>
        <v/>
      </c>
    </row>
    <row r="134" spans="1:14">
      <c r="A134" s="32" t="s">
        <v>537</v>
      </c>
      <c r="B134" s="33">
        <v>112</v>
      </c>
      <c r="C134" s="33">
        <v>6</v>
      </c>
      <c r="D134" s="32" t="s">
        <v>538</v>
      </c>
      <c r="E134" s="29"/>
      <c r="F134" s="34">
        <v>11.75</v>
      </c>
      <c r="G134" s="34">
        <f t="shared" si="4"/>
        <v>1.95833333333333</v>
      </c>
      <c r="H134" s="85" t="s">
        <v>539</v>
      </c>
      <c r="I134" s="85" t="s">
        <v>540</v>
      </c>
      <c r="J134" s="29">
        <v>378</v>
      </c>
      <c r="K134" s="36">
        <v>63</v>
      </c>
      <c r="L134" s="25" t="str">
        <f t="shared" si="5"/>
        <v/>
      </c>
    </row>
    <row r="135" spans="1:14">
      <c r="A135" s="32" t="s">
        <v>541</v>
      </c>
      <c r="B135" s="19">
        <v>69</v>
      </c>
      <c r="C135" s="33">
        <v>6</v>
      </c>
      <c r="D135" s="32" t="s">
        <v>542</v>
      </c>
      <c r="E135" s="20"/>
      <c r="F135" s="37">
        <v>18.4</v>
      </c>
      <c r="G135" s="37">
        <f t="shared" si="4"/>
        <v>3.06666666666667</v>
      </c>
      <c r="H135" s="85" t="s">
        <v>543</v>
      </c>
      <c r="I135" s="85" t="s">
        <v>544</v>
      </c>
      <c r="J135" s="19">
        <v>378</v>
      </c>
      <c r="K135" s="36">
        <v>63</v>
      </c>
      <c r="L135" s="25" t="str">
        <f t="shared" si="5"/>
        <v/>
      </c>
    </row>
    <row r="136" spans="1:14">
      <c r="A136" s="32" t="s">
        <v>545</v>
      </c>
      <c r="B136" s="19">
        <v>37</v>
      </c>
      <c r="C136" s="33">
        <v>4</v>
      </c>
      <c r="D136" s="32" t="s">
        <v>546</v>
      </c>
      <c r="E136" s="29"/>
      <c r="F136" s="34">
        <v>11.8</v>
      </c>
      <c r="G136" s="34">
        <f t="shared" si="4"/>
        <v>2.95</v>
      </c>
      <c r="H136" s="85" t="s">
        <v>547</v>
      </c>
      <c r="I136" s="85" t="s">
        <v>548</v>
      </c>
      <c r="J136" s="19">
        <v>208</v>
      </c>
      <c r="K136" s="30">
        <v>104</v>
      </c>
      <c r="L136" s="40" t="str">
        <f t="shared" si="5"/>
        <v/>
      </c>
    </row>
    <row r="137" spans="1:14">
      <c r="A137" s="32" t="s">
        <v>549</v>
      </c>
      <c r="B137" s="19">
        <v>51</v>
      </c>
      <c r="C137" s="33">
        <v>6</v>
      </c>
      <c r="D137" s="41" t="s">
        <v>550</v>
      </c>
      <c r="E137" s="29"/>
      <c r="F137" s="34">
        <v>18.8</v>
      </c>
      <c r="G137" s="34">
        <f t="shared" si="4"/>
        <v>3.13333333333333</v>
      </c>
      <c r="H137" s="85" t="s">
        <v>551</v>
      </c>
      <c r="I137" s="85" t="s">
        <v>552</v>
      </c>
      <c r="J137" s="19">
        <v>306</v>
      </c>
      <c r="K137" s="51"/>
      <c r="L137" s="40" t="str">
        <f t="shared" si="5"/>
        <v/>
      </c>
    </row>
    <row r="138" spans="1:14">
      <c r="A138" s="32" t="s">
        <v>553</v>
      </c>
      <c r="B138" s="19">
        <v>18</v>
      </c>
      <c r="C138" s="33">
        <v>12</v>
      </c>
      <c r="D138" s="32" t="s">
        <v>554</v>
      </c>
      <c r="E138" s="29"/>
      <c r="F138" s="34">
        <v>15.4</v>
      </c>
      <c r="G138" s="34">
        <f t="shared" si="4"/>
        <v>1.28333333333333</v>
      </c>
      <c r="H138" s="85" t="s">
        <v>555</v>
      </c>
      <c r="I138" s="85" t="s">
        <v>556</v>
      </c>
      <c r="J138" s="19">
        <v>198</v>
      </c>
      <c r="K138" s="36">
        <v>33</v>
      </c>
      <c r="L138" s="40" t="str">
        <f t="shared" si="5"/>
        <v/>
      </c>
    </row>
    <row r="139" spans="1:14">
      <c r="A139" s="32" t="s">
        <v>557</v>
      </c>
      <c r="B139" s="33">
        <v>148</v>
      </c>
      <c r="C139" s="33">
        <v>12</v>
      </c>
      <c r="D139" s="32" t="s">
        <v>558</v>
      </c>
      <c r="E139" s="20"/>
      <c r="F139" s="34">
        <v>3.3</v>
      </c>
      <c r="G139" s="22">
        <f t="shared" si="4"/>
        <v>0.275</v>
      </c>
      <c r="H139" s="85" t="s">
        <v>559</v>
      </c>
      <c r="I139" s="85" t="s">
        <v>560</v>
      </c>
      <c r="J139" s="29">
        <v>640</v>
      </c>
      <c r="K139" s="30">
        <v>80</v>
      </c>
      <c r="L139" s="25" t="str">
        <f t="shared" si="5"/>
        <v/>
      </c>
    </row>
    <row r="140" spans="1:14">
      <c r="A140" s="32" t="s">
        <v>561</v>
      </c>
      <c r="B140" s="33">
        <v>13</v>
      </c>
      <c r="C140" s="33">
        <v>12</v>
      </c>
      <c r="D140" s="32" t="s">
        <v>562</v>
      </c>
      <c r="E140" s="20"/>
      <c r="F140" s="34">
        <v>3.75</v>
      </c>
      <c r="G140" s="22">
        <f t="shared" si="4"/>
        <v>0.3125</v>
      </c>
      <c r="H140" s="85" t="s">
        <v>563</v>
      </c>
      <c r="I140" s="85" t="s">
        <v>564</v>
      </c>
      <c r="J140" s="29">
        <v>640</v>
      </c>
      <c r="K140" s="36">
        <v>80</v>
      </c>
      <c r="L140" s="25" t="str">
        <f t="shared" si="5"/>
        <v/>
      </c>
    </row>
    <row r="141" spans="1:14">
      <c r="A141" s="32" t="s">
        <v>565</v>
      </c>
      <c r="B141" s="19">
        <v>103</v>
      </c>
      <c r="C141" s="33">
        <v>12</v>
      </c>
      <c r="D141" s="32" t="s">
        <v>566</v>
      </c>
      <c r="E141" s="20"/>
      <c r="F141" s="34">
        <v>3.6</v>
      </c>
      <c r="G141" s="22">
        <f t="shared" si="4"/>
        <v>0.3</v>
      </c>
      <c r="H141" s="85" t="s">
        <v>567</v>
      </c>
      <c r="I141" s="85" t="s">
        <v>568</v>
      </c>
      <c r="J141" s="19">
        <v>640</v>
      </c>
      <c r="K141" s="36">
        <v>80</v>
      </c>
      <c r="L141" s="25" t="str">
        <f t="shared" si="5"/>
        <v/>
      </c>
    </row>
    <row r="142" spans="1:14">
      <c r="A142" s="32" t="s">
        <v>569</v>
      </c>
      <c r="B142" s="33">
        <v>214</v>
      </c>
      <c r="C142" s="33">
        <v>12</v>
      </c>
      <c r="D142" s="32" t="s">
        <v>570</v>
      </c>
      <c r="E142" s="20"/>
      <c r="F142" s="34">
        <v>4.4</v>
      </c>
      <c r="G142" s="22">
        <f t="shared" si="4"/>
        <v>0.366666666666667</v>
      </c>
      <c r="H142" s="85" t="s">
        <v>571</v>
      </c>
      <c r="I142" s="85" t="s">
        <v>572</v>
      </c>
      <c r="J142" s="29">
        <v>640</v>
      </c>
      <c r="K142" s="36">
        <v>80</v>
      </c>
      <c r="L142" s="25" t="str">
        <f t="shared" si="5"/>
        <v/>
      </c>
    </row>
    <row r="143" spans="1:14">
      <c r="A143" s="32" t="s">
        <v>573</v>
      </c>
      <c r="B143" s="33">
        <v>264</v>
      </c>
      <c r="C143" s="33">
        <v>12</v>
      </c>
      <c r="D143" s="32" t="s">
        <v>574</v>
      </c>
      <c r="E143" s="20"/>
      <c r="F143" s="34">
        <v>4.8</v>
      </c>
      <c r="G143" s="22">
        <f t="shared" si="4"/>
        <v>0.4</v>
      </c>
      <c r="H143" s="85" t="s">
        <v>575</v>
      </c>
      <c r="I143" s="85" t="s">
        <v>576</v>
      </c>
      <c r="J143" s="29">
        <v>640</v>
      </c>
      <c r="K143" s="36">
        <v>80</v>
      </c>
      <c r="L143" s="25" t="str">
        <f t="shared" si="5"/>
        <v/>
      </c>
    </row>
    <row r="144" spans="1:14">
      <c r="A144" s="32" t="s">
        <v>577</v>
      </c>
      <c r="B144" s="33">
        <v>337</v>
      </c>
      <c r="C144" s="33">
        <v>12</v>
      </c>
      <c r="D144" s="32" t="s">
        <v>578</v>
      </c>
      <c r="E144" s="20"/>
      <c r="F144" s="34">
        <v>5.6</v>
      </c>
      <c r="G144" s="22">
        <f t="shared" si="4"/>
        <v>0.466666666666667</v>
      </c>
      <c r="H144" s="85" t="s">
        <v>579</v>
      </c>
      <c r="I144" s="85" t="s">
        <v>580</v>
      </c>
      <c r="J144" s="29">
        <v>640</v>
      </c>
      <c r="K144" s="36">
        <v>80</v>
      </c>
      <c r="L144" s="25" t="str">
        <f t="shared" si="5"/>
        <v/>
      </c>
    </row>
    <row r="145" spans="1:14">
      <c r="A145" s="32" t="s">
        <v>581</v>
      </c>
      <c r="B145" s="33">
        <v>546</v>
      </c>
      <c r="C145" s="33">
        <v>12</v>
      </c>
      <c r="D145" s="32" t="s">
        <v>582</v>
      </c>
      <c r="E145" s="20"/>
      <c r="F145" s="34">
        <v>5.6</v>
      </c>
      <c r="G145" s="22">
        <f t="shared" si="4"/>
        <v>0.466666666666667</v>
      </c>
      <c r="H145" s="85" t="s">
        <v>583</v>
      </c>
      <c r="I145" s="85" t="s">
        <v>584</v>
      </c>
      <c r="J145" s="29">
        <v>660</v>
      </c>
      <c r="K145" s="36">
        <v>132</v>
      </c>
      <c r="L145" s="25" t="str">
        <f t="shared" si="5"/>
        <v/>
      </c>
    </row>
    <row r="146" spans="1:14">
      <c r="A146" s="32" t="s">
        <v>585</v>
      </c>
      <c r="B146" s="33">
        <v>371</v>
      </c>
      <c r="C146" s="33">
        <v>12</v>
      </c>
      <c r="D146" s="32" t="s">
        <v>586</v>
      </c>
      <c r="E146" s="20"/>
      <c r="F146" s="34">
        <v>6.75</v>
      </c>
      <c r="G146" s="22">
        <f t="shared" si="4"/>
        <v>0.5625</v>
      </c>
      <c r="H146" s="85" t="s">
        <v>587</v>
      </c>
      <c r="I146" s="85" t="s">
        <v>588</v>
      </c>
      <c r="J146" s="29">
        <v>640</v>
      </c>
      <c r="K146" s="36">
        <v>80</v>
      </c>
      <c r="L146" s="25" t="str">
        <f t="shared" si="5"/>
        <v/>
      </c>
    </row>
    <row r="147" spans="1:14">
      <c r="A147" s="32" t="s">
        <v>589</v>
      </c>
      <c r="B147" s="33">
        <v>111</v>
      </c>
      <c r="C147" s="33">
        <v>12</v>
      </c>
      <c r="D147" s="32" t="s">
        <v>590</v>
      </c>
      <c r="E147" s="29"/>
      <c r="F147" s="34">
        <v>7.2</v>
      </c>
      <c r="G147" s="22">
        <f t="shared" si="4"/>
        <v>0.6</v>
      </c>
      <c r="H147" s="85" t="s">
        <v>591</v>
      </c>
      <c r="I147" s="85" t="s">
        <v>592</v>
      </c>
      <c r="J147" s="29">
        <v>640</v>
      </c>
      <c r="K147" s="36">
        <v>80</v>
      </c>
      <c r="L147" s="25" t="str">
        <f t="shared" si="5"/>
        <v/>
      </c>
    </row>
    <row r="148" spans="1:14">
      <c r="A148" s="32" t="s">
        <v>593</v>
      </c>
      <c r="B148" s="33">
        <v>16</v>
      </c>
      <c r="C148" s="33">
        <v>12</v>
      </c>
      <c r="D148" s="32" t="s">
        <v>594</v>
      </c>
      <c r="E148" s="20"/>
      <c r="F148" s="34">
        <v>7.44</v>
      </c>
      <c r="G148" s="22">
        <f t="shared" si="4"/>
        <v>0.62</v>
      </c>
      <c r="H148" s="85" t="s">
        <v>595</v>
      </c>
      <c r="I148" s="85" t="s">
        <v>596</v>
      </c>
      <c r="J148" s="33">
        <v>290</v>
      </c>
      <c r="K148" s="36">
        <v>29</v>
      </c>
      <c r="L148" s="25" t="str">
        <f t="shared" si="5"/>
        <v/>
      </c>
    </row>
    <row r="149" spans="1:14">
      <c r="A149" s="32" t="s">
        <v>597</v>
      </c>
      <c r="B149" s="33">
        <v>107</v>
      </c>
      <c r="C149" s="33">
        <v>12</v>
      </c>
      <c r="D149" s="32" t="s">
        <v>598</v>
      </c>
      <c r="E149" s="20"/>
      <c r="F149" s="34">
        <v>6</v>
      </c>
      <c r="G149" s="22">
        <f t="shared" si="4"/>
        <v>0.5</v>
      </c>
      <c r="H149" s="85" t="s">
        <v>599</v>
      </c>
      <c r="I149" s="85" t="s">
        <v>600</v>
      </c>
      <c r="J149" s="33">
        <v>640</v>
      </c>
      <c r="K149" s="36">
        <v>80</v>
      </c>
      <c r="L149" s="25" t="str">
        <f t="shared" si="5"/>
        <v/>
      </c>
    </row>
    <row r="150" spans="1:14">
      <c r="A150" s="32" t="s">
        <v>601</v>
      </c>
      <c r="B150" s="33">
        <v>3</v>
      </c>
      <c r="C150" s="33">
        <v>12</v>
      </c>
      <c r="D150" s="32" t="s">
        <v>602</v>
      </c>
      <c r="E150" s="20"/>
      <c r="F150" s="34">
        <v>5.88</v>
      </c>
      <c r="G150" s="22">
        <f t="shared" si="4"/>
        <v>0.49</v>
      </c>
      <c r="H150" s="85" t="s">
        <v>603</v>
      </c>
      <c r="I150" s="85" t="s">
        <v>604</v>
      </c>
      <c r="J150" s="33">
        <v>480</v>
      </c>
      <c r="K150" s="30">
        <v>96</v>
      </c>
      <c r="L150" s="25" t="str">
        <f t="shared" si="5"/>
        <v/>
      </c>
    </row>
    <row r="151" spans="1:14">
      <c r="A151" s="32" t="s">
        <v>605</v>
      </c>
      <c r="B151" s="33">
        <v>16</v>
      </c>
      <c r="C151" s="33">
        <v>12</v>
      </c>
      <c r="D151" s="32" t="s">
        <v>606</v>
      </c>
      <c r="E151" s="20"/>
      <c r="F151" s="34">
        <v>5.88</v>
      </c>
      <c r="G151" s="22">
        <f t="shared" si="4"/>
        <v>0.49</v>
      </c>
      <c r="H151" s="85" t="s">
        <v>607</v>
      </c>
      <c r="I151" s="85" t="s">
        <v>608</v>
      </c>
      <c r="J151" s="33"/>
      <c r="K151" s="30"/>
      <c r="L151" s="25" t="str">
        <f t="shared" si="5"/>
        <v/>
      </c>
    </row>
    <row r="152" spans="1:14">
      <c r="A152" s="32" t="s">
        <v>609</v>
      </c>
      <c r="B152" s="33">
        <v>23</v>
      </c>
      <c r="C152" s="33">
        <v>12</v>
      </c>
      <c r="D152" s="32" t="s">
        <v>610</v>
      </c>
      <c r="E152" s="20"/>
      <c r="F152" s="34">
        <v>7.2</v>
      </c>
      <c r="G152" s="34">
        <f t="shared" si="4"/>
        <v>0.6</v>
      </c>
      <c r="H152" s="85" t="s">
        <v>611</v>
      </c>
      <c r="I152" s="85" t="s">
        <v>612</v>
      </c>
      <c r="J152" s="29">
        <v>260</v>
      </c>
      <c r="K152" s="36">
        <v>52</v>
      </c>
      <c r="L152" s="25" t="str">
        <f t="shared" si="5"/>
        <v/>
      </c>
    </row>
    <row r="153" spans="1:14">
      <c r="A153" s="32" t="s">
        <v>613</v>
      </c>
      <c r="B153" s="33">
        <v>5</v>
      </c>
      <c r="C153" s="33">
        <v>12</v>
      </c>
      <c r="D153" s="32" t="s">
        <v>614</v>
      </c>
      <c r="E153" s="20"/>
      <c r="F153" s="34">
        <v>7.2</v>
      </c>
      <c r="G153" s="34">
        <f t="shared" si="4"/>
        <v>0.6</v>
      </c>
      <c r="H153" s="85" t="s">
        <v>615</v>
      </c>
      <c r="I153" s="85" t="s">
        <v>616</v>
      </c>
      <c r="J153" s="29">
        <v>260</v>
      </c>
      <c r="K153" s="36">
        <v>52</v>
      </c>
      <c r="L153" s="25" t="str">
        <f t="shared" si="5"/>
        <v/>
      </c>
    </row>
    <row r="154" spans="1:14">
      <c r="A154" s="32" t="s">
        <v>617</v>
      </c>
      <c r="B154" s="33">
        <v>49</v>
      </c>
      <c r="C154" s="33">
        <v>12</v>
      </c>
      <c r="D154" s="32" t="s">
        <v>618</v>
      </c>
      <c r="E154" s="20"/>
      <c r="F154" s="34">
        <v>7.5</v>
      </c>
      <c r="G154" s="34">
        <f t="shared" si="4"/>
        <v>0.625</v>
      </c>
      <c r="H154" s="85" t="s">
        <v>619</v>
      </c>
      <c r="I154" s="85" t="s">
        <v>620</v>
      </c>
      <c r="J154" s="29">
        <v>260</v>
      </c>
      <c r="K154" s="36">
        <v>52</v>
      </c>
      <c r="L154" s="25" t="str">
        <f t="shared" si="5"/>
        <v/>
      </c>
    </row>
    <row r="155" spans="1:14">
      <c r="A155" s="32" t="s">
        <v>621</v>
      </c>
      <c r="B155" s="33">
        <v>469</v>
      </c>
      <c r="C155" s="33">
        <v>12</v>
      </c>
      <c r="D155" s="32" t="s">
        <v>622</v>
      </c>
      <c r="E155" s="20"/>
      <c r="F155" s="34">
        <v>7.95</v>
      </c>
      <c r="G155" s="22">
        <f t="shared" si="4"/>
        <v>0.6625</v>
      </c>
      <c r="H155" s="85" t="s">
        <v>623</v>
      </c>
      <c r="I155" s="85" t="s">
        <v>624</v>
      </c>
      <c r="J155" s="29">
        <v>384</v>
      </c>
      <c r="K155" s="36">
        <v>48</v>
      </c>
      <c r="L155" s="25" t="str">
        <f t="shared" si="5"/>
        <v/>
      </c>
    </row>
    <row r="156" spans="1:14">
      <c r="A156" s="32" t="s">
        <v>625</v>
      </c>
      <c r="B156" s="33">
        <v>1515</v>
      </c>
      <c r="C156" s="33">
        <v>12</v>
      </c>
      <c r="D156" s="32" t="s">
        <v>626</v>
      </c>
      <c r="E156" s="20"/>
      <c r="F156" s="34">
        <v>8.28</v>
      </c>
      <c r="G156" s="22">
        <f t="shared" si="4"/>
        <v>0.69</v>
      </c>
      <c r="H156" s="91" t="s">
        <v>627</v>
      </c>
      <c r="I156" s="86" t="s">
        <v>628</v>
      </c>
      <c r="J156" s="33">
        <v>384</v>
      </c>
      <c r="K156" s="30">
        <v>48</v>
      </c>
      <c r="L156" s="25" t="str">
        <f t="shared" si="5"/>
        <v/>
      </c>
      <c r="N156" s="53"/>
    </row>
    <row r="157" spans="1:14">
      <c r="A157" s="32" t="s">
        <v>629</v>
      </c>
      <c r="B157" s="33">
        <v>436</v>
      </c>
      <c r="C157" s="33">
        <v>12</v>
      </c>
      <c r="D157" s="32" t="s">
        <v>630</v>
      </c>
      <c r="E157" s="20"/>
      <c r="F157" s="34">
        <v>8.28</v>
      </c>
      <c r="G157" s="22">
        <f t="shared" si="4"/>
        <v>0.69</v>
      </c>
      <c r="H157" s="85" t="s">
        <v>631</v>
      </c>
      <c r="I157" s="85" t="s">
        <v>632</v>
      </c>
      <c r="J157" s="33">
        <v>384</v>
      </c>
      <c r="K157" s="30">
        <v>48</v>
      </c>
      <c r="L157" s="25" t="str">
        <f t="shared" si="5"/>
        <v/>
      </c>
    </row>
    <row r="158" spans="1:14">
      <c r="A158" s="32" t="s">
        <v>633</v>
      </c>
      <c r="B158" s="33">
        <v>595</v>
      </c>
      <c r="C158" s="33">
        <v>12</v>
      </c>
      <c r="D158" s="32" t="s">
        <v>634</v>
      </c>
      <c r="E158" s="20"/>
      <c r="F158" s="34">
        <v>9.6</v>
      </c>
      <c r="G158" s="22">
        <f t="shared" si="4"/>
        <v>0.8</v>
      </c>
      <c r="H158" s="85" t="s">
        <v>635</v>
      </c>
      <c r="I158" s="85" t="s">
        <v>636</v>
      </c>
      <c r="J158" s="29">
        <v>384</v>
      </c>
      <c r="K158" s="36">
        <v>48</v>
      </c>
      <c r="L158" s="25" t="str">
        <f t="shared" si="5"/>
        <v/>
      </c>
    </row>
    <row r="159" spans="1:14">
      <c r="A159" s="32" t="s">
        <v>637</v>
      </c>
      <c r="B159" s="33">
        <v>440</v>
      </c>
      <c r="C159" s="33">
        <v>12</v>
      </c>
      <c r="D159" s="32" t="s">
        <v>638</v>
      </c>
      <c r="E159" s="20"/>
      <c r="F159" s="34">
        <v>9.6</v>
      </c>
      <c r="G159" s="22">
        <f t="shared" si="4"/>
        <v>0.8</v>
      </c>
      <c r="H159" s="85" t="s">
        <v>639</v>
      </c>
      <c r="I159" s="85" t="s">
        <v>640</v>
      </c>
      <c r="J159" s="29">
        <v>384</v>
      </c>
      <c r="K159" s="36">
        <v>48</v>
      </c>
      <c r="L159" s="25" t="str">
        <f t="shared" si="5"/>
        <v/>
      </c>
    </row>
    <row r="160" spans="1:14">
      <c r="A160" s="32" t="s">
        <v>641</v>
      </c>
      <c r="B160" s="33">
        <v>786</v>
      </c>
      <c r="C160" s="33">
        <v>12</v>
      </c>
      <c r="D160" s="32" t="s">
        <v>642</v>
      </c>
      <c r="E160" s="20"/>
      <c r="F160" s="34">
        <v>9.6</v>
      </c>
      <c r="G160" s="22">
        <f t="shared" si="4"/>
        <v>0.8</v>
      </c>
      <c r="H160" s="85" t="s">
        <v>643</v>
      </c>
      <c r="I160" s="85" t="s">
        <v>644</v>
      </c>
      <c r="J160" s="29">
        <v>384</v>
      </c>
      <c r="K160" s="36">
        <v>48</v>
      </c>
      <c r="L160" s="25" t="str">
        <f t="shared" si="5"/>
        <v/>
      </c>
    </row>
    <row r="161" spans="1:12">
      <c r="A161" s="32" t="s">
        <v>645</v>
      </c>
      <c r="B161" s="33">
        <v>52</v>
      </c>
      <c r="C161" s="33">
        <v>12</v>
      </c>
      <c r="D161" s="32" t="s">
        <v>646</v>
      </c>
      <c r="E161" s="20"/>
      <c r="F161" s="34">
        <v>9.6</v>
      </c>
      <c r="G161" s="22">
        <f t="shared" si="4"/>
        <v>0.8</v>
      </c>
      <c r="H161" s="85" t="s">
        <v>647</v>
      </c>
      <c r="I161" s="85" t="s">
        <v>648</v>
      </c>
      <c r="J161" s="29">
        <v>384</v>
      </c>
      <c r="K161" s="36">
        <v>48</v>
      </c>
      <c r="L161" s="25" t="str">
        <f t="shared" si="5"/>
        <v/>
      </c>
    </row>
    <row r="162" spans="1:12">
      <c r="A162" s="32" t="s">
        <v>649</v>
      </c>
      <c r="B162" s="33">
        <v>306</v>
      </c>
      <c r="C162" s="33">
        <v>12</v>
      </c>
      <c r="D162" s="32" t="s">
        <v>650</v>
      </c>
      <c r="E162" s="20"/>
      <c r="F162" s="34">
        <v>9.6</v>
      </c>
      <c r="G162" s="34">
        <f t="shared" si="4"/>
        <v>0.8</v>
      </c>
      <c r="H162" s="85" t="s">
        <v>651</v>
      </c>
      <c r="I162" s="85" t="s">
        <v>652</v>
      </c>
      <c r="J162" s="29">
        <v>384</v>
      </c>
      <c r="K162" s="36">
        <v>48</v>
      </c>
      <c r="L162" s="25" t="str">
        <f t="shared" si="5"/>
        <v/>
      </c>
    </row>
    <row r="163" spans="1:12">
      <c r="A163" s="32" t="s">
        <v>653</v>
      </c>
      <c r="B163" s="33">
        <v>1206</v>
      </c>
      <c r="C163" s="33">
        <v>6</v>
      </c>
      <c r="D163" s="32" t="s">
        <v>654</v>
      </c>
      <c r="E163" s="20"/>
      <c r="F163" s="34">
        <v>8.4</v>
      </c>
      <c r="G163" s="34">
        <f t="shared" si="4"/>
        <v>1.4</v>
      </c>
      <c r="H163" s="85" t="s">
        <v>655</v>
      </c>
      <c r="I163" s="85" t="s">
        <v>656</v>
      </c>
      <c r="J163" s="29">
        <v>400</v>
      </c>
      <c r="K163" s="36">
        <v>80</v>
      </c>
      <c r="L163" s="25" t="str">
        <f t="shared" si="5"/>
        <v/>
      </c>
    </row>
    <row r="164" spans="1:12">
      <c r="A164" s="32" t="s">
        <v>657</v>
      </c>
      <c r="B164" s="33">
        <v>297</v>
      </c>
      <c r="C164" s="33">
        <v>6</v>
      </c>
      <c r="D164" s="32" t="s">
        <v>658</v>
      </c>
      <c r="E164" s="20"/>
      <c r="F164" s="34">
        <v>8.4</v>
      </c>
      <c r="G164" s="34">
        <f t="shared" si="4"/>
        <v>1.4</v>
      </c>
      <c r="H164" s="85" t="s">
        <v>659</v>
      </c>
      <c r="I164" s="85" t="s">
        <v>660</v>
      </c>
      <c r="J164" s="36">
        <v>400</v>
      </c>
      <c r="K164" s="36">
        <v>80</v>
      </c>
      <c r="L164" s="25" t="str">
        <f t="shared" si="5"/>
        <v/>
      </c>
    </row>
    <row r="165" spans="1:12">
      <c r="A165" s="32" t="s">
        <v>661</v>
      </c>
      <c r="B165" s="33">
        <v>4</v>
      </c>
      <c r="C165" s="33">
        <v>6</v>
      </c>
      <c r="D165" s="32" t="s">
        <v>662</v>
      </c>
      <c r="E165" s="20"/>
      <c r="F165" s="34">
        <v>10.5</v>
      </c>
      <c r="G165" s="34">
        <f t="shared" si="4"/>
        <v>1.75</v>
      </c>
      <c r="H165" s="85" t="s">
        <v>663</v>
      </c>
      <c r="I165" s="85" t="s">
        <v>664</v>
      </c>
      <c r="J165" s="29">
        <v>400</v>
      </c>
      <c r="K165" s="36">
        <v>80</v>
      </c>
      <c r="L165" s="25" t="str">
        <f t="shared" si="5"/>
        <v/>
      </c>
    </row>
    <row r="166" spans="1:12">
      <c r="A166" s="32" t="s">
        <v>665</v>
      </c>
      <c r="B166" s="33">
        <v>32</v>
      </c>
      <c r="C166" s="33">
        <v>10</v>
      </c>
      <c r="D166" s="32" t="s">
        <v>666</v>
      </c>
      <c r="E166" s="20"/>
      <c r="F166" s="34">
        <v>5.95</v>
      </c>
      <c r="G166" s="22">
        <f t="shared" si="4"/>
        <v>0.595</v>
      </c>
      <c r="H166" s="85" t="s">
        <v>667</v>
      </c>
      <c r="I166" s="85" t="s">
        <v>668</v>
      </c>
      <c r="J166" s="29"/>
      <c r="K166" s="36"/>
      <c r="L166" s="25" t="str">
        <f t="shared" si="5"/>
        <v/>
      </c>
    </row>
    <row r="167" spans="1:12">
      <c r="A167" s="32" t="s">
        <v>669</v>
      </c>
      <c r="B167" s="33">
        <v>8</v>
      </c>
      <c r="C167" s="33">
        <v>10</v>
      </c>
      <c r="D167" s="32" t="s">
        <v>670</v>
      </c>
      <c r="E167" s="20"/>
      <c r="F167" s="34">
        <v>2.1</v>
      </c>
      <c r="G167" s="22">
        <f t="shared" si="4"/>
        <v>0.21</v>
      </c>
      <c r="H167" s="85" t="s">
        <v>671</v>
      </c>
      <c r="I167" s="85" t="s">
        <v>672</v>
      </c>
      <c r="J167" s="29"/>
      <c r="K167" s="36"/>
      <c r="L167" s="25" t="str">
        <f t="shared" si="5"/>
        <v/>
      </c>
    </row>
    <row r="168" spans="1:12">
      <c r="A168" s="32" t="s">
        <v>673</v>
      </c>
      <c r="B168" s="33">
        <v>41</v>
      </c>
      <c r="C168" s="33">
        <v>10</v>
      </c>
      <c r="D168" s="32" t="s">
        <v>674</v>
      </c>
      <c r="E168" s="20"/>
      <c r="F168" s="34">
        <v>2.5</v>
      </c>
      <c r="G168" s="22">
        <f t="shared" si="4"/>
        <v>0.25</v>
      </c>
      <c r="H168" s="85" t="s">
        <v>675</v>
      </c>
      <c r="I168" s="85" t="s">
        <v>676</v>
      </c>
      <c r="J168" s="29"/>
      <c r="K168" s="36"/>
      <c r="L168" s="25" t="str">
        <f t="shared" si="5"/>
        <v/>
      </c>
    </row>
    <row r="169" spans="1:12">
      <c r="A169" s="32" t="s">
        <v>677</v>
      </c>
      <c r="B169" s="33">
        <v>17</v>
      </c>
      <c r="C169" s="33">
        <v>10</v>
      </c>
      <c r="D169" s="32" t="s">
        <v>678</v>
      </c>
      <c r="E169" s="20"/>
      <c r="F169" s="34">
        <v>5.4</v>
      </c>
      <c r="G169" s="22">
        <f t="shared" si="4"/>
        <v>0.54</v>
      </c>
      <c r="H169" s="85" t="s">
        <v>679</v>
      </c>
      <c r="I169" s="85" t="s">
        <v>680</v>
      </c>
      <c r="J169" s="29"/>
      <c r="K169" s="36"/>
      <c r="L169" s="25" t="str">
        <f t="shared" si="5"/>
        <v/>
      </c>
    </row>
    <row r="170" spans="1:12">
      <c r="A170" s="32" t="s">
        <v>681</v>
      </c>
      <c r="B170" s="33">
        <v>0</v>
      </c>
      <c r="C170" s="33">
        <v>10</v>
      </c>
      <c r="D170" s="32" t="s">
        <v>682</v>
      </c>
      <c r="E170" s="20"/>
      <c r="F170" s="34">
        <v>3.5</v>
      </c>
      <c r="G170" s="22">
        <f t="shared" si="4"/>
        <v>0.35</v>
      </c>
      <c r="H170" s="85" t="s">
        <v>683</v>
      </c>
      <c r="I170" s="85" t="s">
        <v>684</v>
      </c>
      <c r="J170" s="29"/>
      <c r="K170" s="24"/>
      <c r="L170" s="25" t="str">
        <f t="shared" si="5"/>
        <v/>
      </c>
    </row>
    <row r="171" spans="1:12">
      <c r="A171" s="32" t="s">
        <v>685</v>
      </c>
      <c r="B171" s="33">
        <v>98</v>
      </c>
      <c r="C171" s="33">
        <v>8</v>
      </c>
      <c r="D171" s="32" t="s">
        <v>686</v>
      </c>
      <c r="E171" s="20"/>
      <c r="F171" s="34">
        <v>18</v>
      </c>
      <c r="G171" s="22">
        <f t="shared" si="4"/>
        <v>2.25</v>
      </c>
      <c r="H171" s="85" t="s">
        <v>687</v>
      </c>
      <c r="I171" s="85" t="s">
        <v>688</v>
      </c>
      <c r="J171" s="29"/>
      <c r="K171" s="24"/>
      <c r="L171" s="25" t="str">
        <f t="shared" si="5"/>
        <v/>
      </c>
    </row>
    <row r="172" spans="1:12">
      <c r="A172" s="32" t="s">
        <v>689</v>
      </c>
      <c r="B172" s="33">
        <v>101</v>
      </c>
      <c r="C172" s="33">
        <v>8</v>
      </c>
      <c r="D172" s="32" t="s">
        <v>690</v>
      </c>
      <c r="E172" s="20"/>
      <c r="F172" s="34">
        <v>18</v>
      </c>
      <c r="G172" s="22">
        <f t="shared" si="4"/>
        <v>2.25</v>
      </c>
      <c r="H172" s="85" t="s">
        <v>691</v>
      </c>
      <c r="I172" s="85" t="s">
        <v>692</v>
      </c>
      <c r="J172" s="29"/>
      <c r="K172" s="24"/>
      <c r="L172" s="25" t="str">
        <f t="shared" si="5"/>
        <v/>
      </c>
    </row>
    <row r="173" spans="1:12">
      <c r="A173" s="32" t="s">
        <v>693</v>
      </c>
      <c r="B173" s="33">
        <v>10</v>
      </c>
      <c r="C173" s="33">
        <v>6</v>
      </c>
      <c r="D173" s="32" t="s">
        <v>694</v>
      </c>
      <c r="E173" s="20"/>
      <c r="F173" s="34">
        <v>4.2</v>
      </c>
      <c r="G173" s="22">
        <f t="shared" si="4"/>
        <v>0.7</v>
      </c>
      <c r="H173" s="85" t="s">
        <v>695</v>
      </c>
      <c r="I173" s="85" t="s">
        <v>696</v>
      </c>
      <c r="J173" s="29">
        <v>640</v>
      </c>
      <c r="K173" s="24">
        <v>64</v>
      </c>
      <c r="L173" s="25" t="str">
        <f t="shared" si="5"/>
        <v/>
      </c>
    </row>
    <row r="174" spans="1:12">
      <c r="A174" s="32" t="s">
        <v>697</v>
      </c>
      <c r="B174" s="33">
        <v>94</v>
      </c>
      <c r="C174" s="33">
        <v>6</v>
      </c>
      <c r="D174" s="32" t="s">
        <v>698</v>
      </c>
      <c r="E174" s="20"/>
      <c r="F174" s="34">
        <v>3.84</v>
      </c>
      <c r="G174" s="22">
        <f t="shared" si="4"/>
        <v>0.64</v>
      </c>
      <c r="H174" s="85" t="s">
        <v>699</v>
      </c>
      <c r="I174" s="85" t="s">
        <v>700</v>
      </c>
      <c r="J174" s="29">
        <v>312</v>
      </c>
      <c r="K174" s="24">
        <v>52</v>
      </c>
      <c r="L174" s="25" t="str">
        <f t="shared" si="5"/>
        <v/>
      </c>
    </row>
    <row r="175" spans="1:12">
      <c r="A175" s="32" t="s">
        <v>701</v>
      </c>
      <c r="B175" s="33">
        <v>69</v>
      </c>
      <c r="C175" s="33">
        <v>6</v>
      </c>
      <c r="D175" s="32" t="s">
        <v>702</v>
      </c>
      <c r="E175" s="20"/>
      <c r="F175" s="34">
        <v>3.84</v>
      </c>
      <c r="G175" s="22">
        <f t="shared" si="4"/>
        <v>0.64</v>
      </c>
      <c r="H175" s="85" t="s">
        <v>703</v>
      </c>
      <c r="I175" s="85" t="s">
        <v>704</v>
      </c>
      <c r="J175" s="29">
        <v>312</v>
      </c>
      <c r="K175" s="24">
        <v>52</v>
      </c>
      <c r="L175" s="25" t="str">
        <f t="shared" si="5"/>
        <v/>
      </c>
    </row>
    <row r="176" spans="1:12">
      <c r="A176" s="32" t="s">
        <v>705</v>
      </c>
      <c r="B176" s="33">
        <v>53</v>
      </c>
      <c r="C176" s="33">
        <v>12</v>
      </c>
      <c r="D176" s="32" t="s">
        <v>706</v>
      </c>
      <c r="E176" s="20"/>
      <c r="F176" s="34">
        <v>7.2</v>
      </c>
      <c r="G176" s="22">
        <f t="shared" si="4"/>
        <v>0.6</v>
      </c>
      <c r="H176" s="85" t="s">
        <v>707</v>
      </c>
      <c r="I176" s="85" t="s">
        <v>708</v>
      </c>
      <c r="J176" s="29"/>
      <c r="K176" s="24"/>
      <c r="L176" s="25" t="str">
        <f t="shared" si="5"/>
        <v/>
      </c>
    </row>
    <row r="177" spans="1:12">
      <c r="A177" s="41" t="s">
        <v>709</v>
      </c>
      <c r="B177" s="31">
        <v>55</v>
      </c>
      <c r="C177" s="30">
        <v>6</v>
      </c>
      <c r="D177" s="41" t="s">
        <v>710</v>
      </c>
      <c r="E177" s="20"/>
      <c r="F177" s="34">
        <v>3.75</v>
      </c>
      <c r="G177" s="22">
        <f t="shared" si="4"/>
        <v>0.625</v>
      </c>
      <c r="H177" s="87" t="s">
        <v>711</v>
      </c>
      <c r="I177" s="87" t="s">
        <v>712</v>
      </c>
      <c r="J177" s="31">
        <v>410</v>
      </c>
      <c r="K177" s="24">
        <v>82</v>
      </c>
      <c r="L177" s="25" t="str">
        <f t="shared" si="5"/>
        <v/>
      </c>
    </row>
    <row r="178" spans="1:12">
      <c r="A178" s="32" t="s">
        <v>713</v>
      </c>
      <c r="B178" s="33">
        <v>0</v>
      </c>
      <c r="C178" s="33">
        <v>6</v>
      </c>
      <c r="D178" s="32" t="s">
        <v>714</v>
      </c>
      <c r="E178" s="20"/>
      <c r="F178" s="37">
        <v>12.8</v>
      </c>
      <c r="G178" s="38">
        <f t="shared" si="4"/>
        <v>2.13333333333333</v>
      </c>
      <c r="H178" s="90" t="s">
        <v>715</v>
      </c>
      <c r="I178" s="90" t="s">
        <v>716</v>
      </c>
      <c r="J178" s="29">
        <v>424</v>
      </c>
      <c r="K178" s="51"/>
      <c r="L178" s="40" t="str">
        <f t="shared" si="5"/>
        <v/>
      </c>
    </row>
    <row r="179" spans="1:12">
      <c r="A179" s="32" t="s">
        <v>717</v>
      </c>
      <c r="B179" s="33">
        <v>92</v>
      </c>
      <c r="C179" s="33">
        <v>6</v>
      </c>
      <c r="D179" s="32" t="s">
        <v>718</v>
      </c>
      <c r="E179" s="20"/>
      <c r="F179" s="37">
        <v>16.8</v>
      </c>
      <c r="G179" s="38">
        <f t="shared" si="4"/>
        <v>2.8</v>
      </c>
      <c r="H179" s="90" t="s">
        <v>719</v>
      </c>
      <c r="I179" s="90" t="s">
        <v>720</v>
      </c>
      <c r="J179" s="29">
        <v>252</v>
      </c>
      <c r="K179" s="36">
        <v>42</v>
      </c>
      <c r="L179" s="40" t="str">
        <f t="shared" si="5"/>
        <v/>
      </c>
    </row>
    <row r="180" spans="1:12">
      <c r="A180" s="41" t="s">
        <v>721</v>
      </c>
      <c r="B180" s="31">
        <v>4</v>
      </c>
      <c r="C180" s="30">
        <v>8</v>
      </c>
      <c r="D180" s="41" t="s">
        <v>722</v>
      </c>
      <c r="E180" s="20"/>
      <c r="F180" s="34">
        <v>7.8</v>
      </c>
      <c r="G180" s="22">
        <f t="shared" si="4"/>
        <v>0.975</v>
      </c>
      <c r="H180" s="87" t="s">
        <v>723</v>
      </c>
      <c r="I180" s="87" t="s">
        <v>724</v>
      </c>
      <c r="J180" s="31">
        <v>180</v>
      </c>
      <c r="K180" s="36">
        <v>36</v>
      </c>
      <c r="L180" s="40" t="str">
        <f t="shared" si="5"/>
        <v/>
      </c>
    </row>
    <row r="181" spans="1:12">
      <c r="A181" s="41" t="s">
        <v>725</v>
      </c>
      <c r="B181" s="31">
        <v>48</v>
      </c>
      <c r="C181" s="30">
        <v>8</v>
      </c>
      <c r="D181" s="41" t="s">
        <v>726</v>
      </c>
      <c r="E181" s="20"/>
      <c r="F181" s="34">
        <v>7.8</v>
      </c>
      <c r="G181" s="22">
        <f t="shared" si="4"/>
        <v>0.975</v>
      </c>
      <c r="H181" s="87" t="s">
        <v>727</v>
      </c>
      <c r="I181" s="87" t="s">
        <v>728</v>
      </c>
      <c r="J181" s="31">
        <v>180</v>
      </c>
      <c r="K181" s="36">
        <v>36</v>
      </c>
      <c r="L181" s="40" t="str">
        <f t="shared" si="5"/>
        <v/>
      </c>
    </row>
    <row r="182" spans="1:12">
      <c r="A182" s="41" t="s">
        <v>729</v>
      </c>
      <c r="B182" s="31">
        <v>7</v>
      </c>
      <c r="C182" s="30">
        <v>24</v>
      </c>
      <c r="D182" s="41" t="s">
        <v>730</v>
      </c>
      <c r="E182" s="20"/>
      <c r="F182" s="34">
        <v>14.4</v>
      </c>
      <c r="G182" s="22">
        <f t="shared" si="4"/>
        <v>0.6</v>
      </c>
      <c r="H182" s="87" t="s">
        <v>731</v>
      </c>
      <c r="I182" s="87" t="s">
        <v>732</v>
      </c>
      <c r="J182" s="31">
        <v>80</v>
      </c>
      <c r="K182" s="36">
        <v>16</v>
      </c>
      <c r="L182" s="40" t="str">
        <f t="shared" si="5"/>
        <v/>
      </c>
    </row>
    <row r="183" spans="1:12">
      <c r="A183" s="32" t="s">
        <v>733</v>
      </c>
      <c r="B183" s="33">
        <v>200</v>
      </c>
      <c r="C183" s="33">
        <v>9</v>
      </c>
      <c r="D183" s="32" t="s">
        <v>734</v>
      </c>
      <c r="E183" s="29"/>
      <c r="F183" s="34">
        <v>7.65</v>
      </c>
      <c r="G183" s="34">
        <f t="shared" si="4"/>
        <v>0.85</v>
      </c>
      <c r="H183" s="85" t="s">
        <v>735</v>
      </c>
      <c r="I183" s="85" t="s">
        <v>736</v>
      </c>
      <c r="J183" s="29">
        <v>120</v>
      </c>
      <c r="K183" s="24">
        <v>24</v>
      </c>
      <c r="L183" s="25" t="str">
        <f t="shared" si="5"/>
        <v/>
      </c>
    </row>
    <row r="184" spans="1:12">
      <c r="A184" s="32" t="s">
        <v>737</v>
      </c>
      <c r="B184" s="33">
        <v>114</v>
      </c>
      <c r="C184" s="33">
        <v>9</v>
      </c>
      <c r="D184" s="32" t="s">
        <v>738</v>
      </c>
      <c r="E184" s="29"/>
      <c r="F184" s="34">
        <v>7.65</v>
      </c>
      <c r="G184" s="34">
        <f t="shared" si="4"/>
        <v>0.85</v>
      </c>
      <c r="H184" s="85" t="s">
        <v>739</v>
      </c>
      <c r="I184" s="85" t="s">
        <v>740</v>
      </c>
      <c r="J184" s="29">
        <v>120</v>
      </c>
      <c r="K184" s="24">
        <v>24</v>
      </c>
      <c r="L184" s="25" t="str">
        <f t="shared" si="5"/>
        <v/>
      </c>
    </row>
    <row r="185" spans="1:12">
      <c r="A185" s="32" t="s">
        <v>741</v>
      </c>
      <c r="B185" s="33">
        <v>172</v>
      </c>
      <c r="C185" s="33">
        <v>9</v>
      </c>
      <c r="D185" s="32" t="s">
        <v>742</v>
      </c>
      <c r="E185" s="29"/>
      <c r="F185" s="34">
        <v>7.65</v>
      </c>
      <c r="G185" s="34">
        <f t="shared" si="4"/>
        <v>0.85</v>
      </c>
      <c r="H185" s="85" t="s">
        <v>743</v>
      </c>
      <c r="I185" s="85" t="s">
        <v>744</v>
      </c>
      <c r="J185" s="29">
        <v>120</v>
      </c>
      <c r="K185" s="24">
        <v>24</v>
      </c>
      <c r="L185" s="25" t="str">
        <f t="shared" si="5"/>
        <v/>
      </c>
    </row>
    <row r="186" spans="1:12">
      <c r="A186" s="32" t="s">
        <v>745</v>
      </c>
      <c r="B186" s="33">
        <v>181</v>
      </c>
      <c r="C186" s="33">
        <v>9</v>
      </c>
      <c r="D186" s="32" t="s">
        <v>746</v>
      </c>
      <c r="E186" s="29"/>
      <c r="F186" s="34">
        <v>7.65</v>
      </c>
      <c r="G186" s="34">
        <f t="shared" si="4"/>
        <v>0.85</v>
      </c>
      <c r="H186" s="85" t="s">
        <v>747</v>
      </c>
      <c r="I186" s="85" t="s">
        <v>748</v>
      </c>
      <c r="J186" s="29">
        <v>120</v>
      </c>
      <c r="K186" s="24">
        <v>24</v>
      </c>
      <c r="L186" s="25" t="str">
        <f t="shared" si="5"/>
        <v/>
      </c>
    </row>
    <row r="187" spans="1:12">
      <c r="A187" s="32" t="s">
        <v>749</v>
      </c>
      <c r="B187" s="33">
        <v>190</v>
      </c>
      <c r="C187" s="33">
        <v>12</v>
      </c>
      <c r="D187" s="32" t="s">
        <v>750</v>
      </c>
      <c r="E187" s="29"/>
      <c r="F187" s="34">
        <v>26.3</v>
      </c>
      <c r="G187" s="34">
        <f t="shared" si="4"/>
        <v>2.19166666666667</v>
      </c>
      <c r="H187" s="85" t="s">
        <v>751</v>
      </c>
      <c r="I187" s="85" t="s">
        <v>752</v>
      </c>
      <c r="J187" s="29">
        <v>390</v>
      </c>
      <c r="K187" s="36">
        <v>39</v>
      </c>
      <c r="L187" s="25" t="str">
        <f t="shared" si="5"/>
        <v/>
      </c>
    </row>
    <row r="188" spans="1:12">
      <c r="A188" s="32" t="s">
        <v>753</v>
      </c>
      <c r="B188" s="33">
        <v>780</v>
      </c>
      <c r="C188" s="33">
        <v>12</v>
      </c>
      <c r="D188" s="32" t="s">
        <v>754</v>
      </c>
      <c r="E188" s="29"/>
      <c r="F188" s="34">
        <v>26.3</v>
      </c>
      <c r="G188" s="34">
        <f t="shared" si="4"/>
        <v>2.19166666666667</v>
      </c>
      <c r="H188" s="85" t="s">
        <v>755</v>
      </c>
      <c r="I188" s="85" t="s">
        <v>756</v>
      </c>
      <c r="J188" s="29">
        <v>390</v>
      </c>
      <c r="K188" s="36">
        <v>39</v>
      </c>
      <c r="L188" s="25" t="str">
        <f t="shared" si="5"/>
        <v/>
      </c>
    </row>
    <row r="189" spans="1:12">
      <c r="A189" s="32" t="s">
        <v>757</v>
      </c>
      <c r="B189" s="33">
        <v>175</v>
      </c>
      <c r="C189" s="33">
        <v>12</v>
      </c>
      <c r="D189" s="32" t="s">
        <v>758</v>
      </c>
      <c r="E189" s="29"/>
      <c r="F189" s="37">
        <v>23.4</v>
      </c>
      <c r="G189" s="37">
        <f t="shared" si="4"/>
        <v>1.95</v>
      </c>
      <c r="H189" s="85" t="s">
        <v>759</v>
      </c>
      <c r="I189" s="85" t="s">
        <v>760</v>
      </c>
      <c r="J189" s="29">
        <v>68</v>
      </c>
      <c r="K189" s="36">
        <v>408</v>
      </c>
      <c r="L189" s="25" t="str">
        <f t="shared" si="5"/>
        <v/>
      </c>
    </row>
    <row r="190" spans="1:12">
      <c r="A190" s="32" t="s">
        <v>761</v>
      </c>
      <c r="B190" s="33">
        <v>606</v>
      </c>
      <c r="C190" s="33">
        <v>6</v>
      </c>
      <c r="D190" s="32" t="s">
        <v>762</v>
      </c>
      <c r="E190" s="29"/>
      <c r="F190" s="34">
        <v>6.72</v>
      </c>
      <c r="G190" s="22">
        <f t="shared" si="4"/>
        <v>1.12</v>
      </c>
      <c r="H190" s="85" t="s">
        <v>763</v>
      </c>
      <c r="I190" s="85" t="s">
        <v>764</v>
      </c>
      <c r="J190" s="29"/>
      <c r="K190" s="36"/>
      <c r="L190" s="25" t="str">
        <f t="shared" si="5"/>
        <v/>
      </c>
    </row>
    <row r="191" spans="1:12">
      <c r="A191" s="32" t="s">
        <v>765</v>
      </c>
      <c r="B191" s="33">
        <v>631</v>
      </c>
      <c r="C191" s="33">
        <v>6</v>
      </c>
      <c r="D191" s="32" t="s">
        <v>766</v>
      </c>
      <c r="E191" s="20"/>
      <c r="F191" s="34">
        <v>12.75</v>
      </c>
      <c r="G191" s="22">
        <f t="shared" si="4"/>
        <v>2.125</v>
      </c>
      <c r="H191" s="85" t="s">
        <v>767</v>
      </c>
      <c r="I191" s="85" t="s">
        <v>768</v>
      </c>
      <c r="J191" s="29">
        <v>504</v>
      </c>
      <c r="K191" s="36">
        <v>168</v>
      </c>
      <c r="L191" s="25" t="str">
        <f t="shared" si="5"/>
        <v/>
      </c>
    </row>
    <row r="192" spans="1:12">
      <c r="A192" s="32" t="s">
        <v>769</v>
      </c>
      <c r="B192" s="33">
        <v>826</v>
      </c>
      <c r="C192" s="33">
        <v>6</v>
      </c>
      <c r="D192" s="32" t="s">
        <v>770</v>
      </c>
      <c r="E192" s="20"/>
      <c r="F192" s="34">
        <v>16.95</v>
      </c>
      <c r="G192" s="22">
        <f t="shared" si="4"/>
        <v>2.825</v>
      </c>
      <c r="H192" s="85" t="s">
        <v>771</v>
      </c>
      <c r="I192" s="85" t="s">
        <v>772</v>
      </c>
      <c r="J192" s="29">
        <v>588</v>
      </c>
      <c r="K192" s="36">
        <v>98</v>
      </c>
      <c r="L192" s="25" t="str">
        <f t="shared" si="5"/>
        <v/>
      </c>
    </row>
    <row r="193" spans="1:12">
      <c r="A193" s="32" t="s">
        <v>773</v>
      </c>
      <c r="B193" s="33">
        <v>9</v>
      </c>
      <c r="C193" s="33">
        <v>6</v>
      </c>
      <c r="D193" s="32" t="s">
        <v>774</v>
      </c>
      <c r="E193" s="20"/>
      <c r="F193" s="37">
        <v>16.95</v>
      </c>
      <c r="G193" s="38">
        <f t="shared" si="4"/>
        <v>2.825</v>
      </c>
      <c r="H193" s="85" t="s">
        <v>775</v>
      </c>
      <c r="I193" s="85" t="s">
        <v>776</v>
      </c>
      <c r="J193" s="29">
        <v>588</v>
      </c>
      <c r="K193" s="36">
        <v>98</v>
      </c>
      <c r="L193" s="25" t="str">
        <f t="shared" si="5"/>
        <v/>
      </c>
    </row>
    <row r="194" spans="1:12">
      <c r="A194" s="32" t="s">
        <v>777</v>
      </c>
      <c r="B194" s="33">
        <v>116</v>
      </c>
      <c r="C194" s="33">
        <v>6</v>
      </c>
      <c r="D194" s="32" t="s">
        <v>778</v>
      </c>
      <c r="E194" s="20"/>
      <c r="F194" s="37">
        <v>7.8</v>
      </c>
      <c r="G194" s="38">
        <f t="shared" ref="G194:G257" si="6">F194/C194</f>
        <v>1.3</v>
      </c>
      <c r="H194" s="35"/>
      <c r="I194" s="35"/>
      <c r="J194" s="29">
        <v>648</v>
      </c>
      <c r="K194" s="36">
        <v>216</v>
      </c>
      <c r="L194" s="25" t="str">
        <f t="shared" ref="L194:L257" si="7">IF(E194,E194*F194,"")</f>
        <v/>
      </c>
    </row>
    <row r="195" spans="1:12">
      <c r="A195" s="32" t="s">
        <v>779</v>
      </c>
      <c r="B195" s="33">
        <v>1545</v>
      </c>
      <c r="C195" s="33">
        <v>6</v>
      </c>
      <c r="D195" s="32" t="s">
        <v>780</v>
      </c>
      <c r="E195" s="20"/>
      <c r="F195" s="34">
        <v>10.95</v>
      </c>
      <c r="G195" s="22">
        <f t="shared" si="6"/>
        <v>1.825</v>
      </c>
      <c r="H195" s="85" t="s">
        <v>781</v>
      </c>
      <c r="I195" s="85" t="s">
        <v>782</v>
      </c>
      <c r="J195" s="29">
        <v>816</v>
      </c>
      <c r="K195" s="36">
        <v>204</v>
      </c>
      <c r="L195" s="25" t="str">
        <f t="shared" si="7"/>
        <v/>
      </c>
    </row>
    <row r="196" spans="1:12">
      <c r="A196" s="32" t="s">
        <v>783</v>
      </c>
      <c r="B196" s="33">
        <v>1400</v>
      </c>
      <c r="C196" s="33">
        <v>6</v>
      </c>
      <c r="D196" s="32" t="s">
        <v>784</v>
      </c>
      <c r="E196" s="20"/>
      <c r="F196" s="34">
        <v>13.4</v>
      </c>
      <c r="G196" s="22">
        <f t="shared" si="6"/>
        <v>2.23333333333333</v>
      </c>
      <c r="H196" s="85" t="s">
        <v>785</v>
      </c>
      <c r="I196" s="85" t="s">
        <v>786</v>
      </c>
      <c r="J196" s="29">
        <v>504</v>
      </c>
      <c r="K196" s="36">
        <v>168</v>
      </c>
      <c r="L196" s="25" t="str">
        <f t="shared" si="7"/>
        <v/>
      </c>
    </row>
    <row r="197" spans="1:12">
      <c r="A197" s="32" t="s">
        <v>787</v>
      </c>
      <c r="B197" s="33">
        <v>25</v>
      </c>
      <c r="C197" s="33">
        <v>12</v>
      </c>
      <c r="D197" s="32" t="s">
        <v>788</v>
      </c>
      <c r="E197" s="20"/>
      <c r="F197" s="34">
        <v>16.4</v>
      </c>
      <c r="G197" s="34">
        <f t="shared" si="6"/>
        <v>1.36666666666667</v>
      </c>
      <c r="H197" s="85" t="s">
        <v>789</v>
      </c>
      <c r="I197" s="85" t="s">
        <v>790</v>
      </c>
      <c r="J197" s="29">
        <v>192</v>
      </c>
      <c r="K197" s="36">
        <v>24</v>
      </c>
      <c r="L197" s="25" t="str">
        <f t="shared" si="7"/>
        <v/>
      </c>
    </row>
    <row r="198" spans="1:12">
      <c r="A198" s="32" t="s">
        <v>791</v>
      </c>
      <c r="B198" s="33">
        <v>13</v>
      </c>
      <c r="C198" s="33">
        <v>12</v>
      </c>
      <c r="D198" s="32" t="s">
        <v>792</v>
      </c>
      <c r="E198" s="20"/>
      <c r="F198" s="34">
        <v>16.4</v>
      </c>
      <c r="G198" s="34">
        <f t="shared" si="6"/>
        <v>1.36666666666667</v>
      </c>
      <c r="H198" s="85" t="s">
        <v>793</v>
      </c>
      <c r="I198" s="85" t="s">
        <v>794</v>
      </c>
      <c r="J198" s="29">
        <v>192</v>
      </c>
      <c r="K198" s="36">
        <v>24</v>
      </c>
      <c r="L198" s="25" t="str">
        <f t="shared" si="7"/>
        <v/>
      </c>
    </row>
    <row r="199" spans="1:12">
      <c r="A199" s="32" t="s">
        <v>795</v>
      </c>
      <c r="B199" s="33">
        <v>22</v>
      </c>
      <c r="C199" s="33">
        <v>12</v>
      </c>
      <c r="D199" s="32" t="s">
        <v>796</v>
      </c>
      <c r="E199" s="20"/>
      <c r="F199" s="34">
        <v>16.4</v>
      </c>
      <c r="G199" s="34">
        <f t="shared" si="6"/>
        <v>1.36666666666667</v>
      </c>
      <c r="H199" s="85" t="s">
        <v>797</v>
      </c>
      <c r="I199" s="85" t="s">
        <v>798</v>
      </c>
      <c r="J199" s="29">
        <v>192</v>
      </c>
      <c r="K199" s="36">
        <v>24</v>
      </c>
      <c r="L199" s="25" t="str">
        <f t="shared" si="7"/>
        <v/>
      </c>
    </row>
    <row r="200" spans="1:12">
      <c r="A200" s="32" t="s">
        <v>799</v>
      </c>
      <c r="B200" s="33">
        <v>93</v>
      </c>
      <c r="C200" s="33">
        <v>12</v>
      </c>
      <c r="D200" s="32" t="s">
        <v>800</v>
      </c>
      <c r="E200" s="20"/>
      <c r="F200" s="34">
        <v>16.4</v>
      </c>
      <c r="G200" s="22">
        <f t="shared" si="6"/>
        <v>1.36666666666667</v>
      </c>
      <c r="H200" s="85" t="s">
        <v>801</v>
      </c>
      <c r="I200" s="85" t="s">
        <v>802</v>
      </c>
      <c r="J200" s="29">
        <v>192</v>
      </c>
      <c r="K200" s="36">
        <v>24</v>
      </c>
      <c r="L200" s="25" t="str">
        <f t="shared" si="7"/>
        <v/>
      </c>
    </row>
    <row r="201" spans="1:12">
      <c r="A201" s="32" t="s">
        <v>803</v>
      </c>
      <c r="B201" s="33">
        <v>10</v>
      </c>
      <c r="C201" s="33">
        <v>12</v>
      </c>
      <c r="D201" s="32" t="s">
        <v>804</v>
      </c>
      <c r="E201" s="20"/>
      <c r="F201" s="34">
        <v>16.4</v>
      </c>
      <c r="G201" s="34">
        <f t="shared" si="6"/>
        <v>1.36666666666667</v>
      </c>
      <c r="H201" s="85" t="s">
        <v>805</v>
      </c>
      <c r="I201" s="85" t="s">
        <v>806</v>
      </c>
      <c r="J201" s="29">
        <v>192</v>
      </c>
      <c r="K201" s="36">
        <v>24</v>
      </c>
      <c r="L201" s="25" t="str">
        <f t="shared" si="7"/>
        <v/>
      </c>
    </row>
    <row r="202" spans="1:12">
      <c r="A202" s="32" t="s">
        <v>807</v>
      </c>
      <c r="B202" s="33">
        <v>96</v>
      </c>
      <c r="C202" s="33">
        <v>12</v>
      </c>
      <c r="D202" s="32" t="s">
        <v>808</v>
      </c>
      <c r="E202" s="20"/>
      <c r="F202" s="34">
        <v>16.4</v>
      </c>
      <c r="G202" s="34">
        <f t="shared" si="6"/>
        <v>1.36666666666667</v>
      </c>
      <c r="H202" s="85" t="s">
        <v>809</v>
      </c>
      <c r="I202" s="85" t="s">
        <v>810</v>
      </c>
      <c r="J202" s="29">
        <v>192</v>
      </c>
      <c r="K202" s="36">
        <v>24</v>
      </c>
      <c r="L202" s="25" t="str">
        <f t="shared" si="7"/>
        <v/>
      </c>
    </row>
    <row r="203" spans="1:12">
      <c r="A203" s="32" t="s">
        <v>811</v>
      </c>
      <c r="B203" s="33">
        <v>11</v>
      </c>
      <c r="C203" s="33">
        <v>12</v>
      </c>
      <c r="D203" s="32" t="s">
        <v>812</v>
      </c>
      <c r="E203" s="29"/>
      <c r="F203" s="34">
        <v>16.4</v>
      </c>
      <c r="G203" s="34">
        <f t="shared" si="6"/>
        <v>1.36666666666667</v>
      </c>
      <c r="H203" s="85" t="s">
        <v>813</v>
      </c>
      <c r="I203" s="85" t="s">
        <v>814</v>
      </c>
      <c r="J203" s="29">
        <v>192</v>
      </c>
      <c r="K203" s="36">
        <v>24</v>
      </c>
      <c r="L203" s="25" t="str">
        <f t="shared" si="7"/>
        <v/>
      </c>
    </row>
    <row r="204" spans="1:12">
      <c r="A204" s="32" t="s">
        <v>815</v>
      </c>
      <c r="B204" s="33">
        <v>67</v>
      </c>
      <c r="C204" s="33">
        <v>20</v>
      </c>
      <c r="D204" s="32" t="s">
        <v>816</v>
      </c>
      <c r="E204" s="29"/>
      <c r="F204" s="34">
        <v>13.9</v>
      </c>
      <c r="G204" s="34">
        <f t="shared" si="6"/>
        <v>0.695</v>
      </c>
      <c r="H204" s="85" t="s">
        <v>817</v>
      </c>
      <c r="I204" s="85" t="s">
        <v>818</v>
      </c>
      <c r="J204" s="29"/>
      <c r="K204" s="24"/>
      <c r="L204" s="25" t="str">
        <f t="shared" si="7"/>
        <v/>
      </c>
    </row>
    <row r="205" spans="1:12">
      <c r="A205" s="32" t="s">
        <v>819</v>
      </c>
      <c r="B205" s="33">
        <v>268</v>
      </c>
      <c r="C205" s="33">
        <v>12</v>
      </c>
      <c r="D205" s="32" t="s">
        <v>820</v>
      </c>
      <c r="E205" s="29"/>
      <c r="F205" s="37">
        <v>18</v>
      </c>
      <c r="G205" s="37">
        <f t="shared" si="6"/>
        <v>1.5</v>
      </c>
      <c r="H205" s="85" t="s">
        <v>821</v>
      </c>
      <c r="I205" s="85" t="s">
        <v>822</v>
      </c>
      <c r="J205" s="29">
        <v>180</v>
      </c>
      <c r="K205" s="36">
        <v>30</v>
      </c>
      <c r="L205" s="40" t="str">
        <f t="shared" si="7"/>
        <v/>
      </c>
    </row>
    <row r="206" spans="1:12">
      <c r="A206" s="41" t="s">
        <v>823</v>
      </c>
      <c r="B206" s="31">
        <v>653</v>
      </c>
      <c r="C206" s="30">
        <v>12</v>
      </c>
      <c r="D206" s="41" t="s">
        <v>824</v>
      </c>
      <c r="E206" s="20"/>
      <c r="F206" s="54">
        <v>26.4</v>
      </c>
      <c r="G206" s="22">
        <f t="shared" si="6"/>
        <v>2.2</v>
      </c>
      <c r="H206" s="87" t="s">
        <v>825</v>
      </c>
      <c r="I206" s="87" t="s">
        <v>826</v>
      </c>
      <c r="J206" s="31">
        <v>85</v>
      </c>
      <c r="K206" s="36">
        <v>17</v>
      </c>
      <c r="L206" s="25" t="str">
        <f t="shared" si="7"/>
        <v/>
      </c>
    </row>
    <row r="207" spans="1:12">
      <c r="A207" s="41" t="s">
        <v>827</v>
      </c>
      <c r="B207" s="31">
        <v>986</v>
      </c>
      <c r="C207" s="30">
        <v>6</v>
      </c>
      <c r="D207" s="41" t="s">
        <v>828</v>
      </c>
      <c r="E207" s="20"/>
      <c r="F207" s="54">
        <v>15.99</v>
      </c>
      <c r="G207" s="22">
        <f t="shared" si="6"/>
        <v>2.665</v>
      </c>
      <c r="H207" s="87" t="s">
        <v>829</v>
      </c>
      <c r="I207" s="87" t="s">
        <v>830</v>
      </c>
      <c r="J207" s="31">
        <v>104</v>
      </c>
      <c r="K207" s="36">
        <v>26</v>
      </c>
      <c r="L207" s="25" t="str">
        <f t="shared" si="7"/>
        <v/>
      </c>
    </row>
    <row r="208" spans="1:12">
      <c r="A208" s="32" t="s">
        <v>831</v>
      </c>
      <c r="B208" s="33">
        <v>1067</v>
      </c>
      <c r="C208" s="33">
        <v>6</v>
      </c>
      <c r="D208" s="32" t="s">
        <v>832</v>
      </c>
      <c r="E208" s="20"/>
      <c r="F208" s="34">
        <v>6.6</v>
      </c>
      <c r="G208" s="22">
        <f t="shared" si="6"/>
        <v>1.1</v>
      </c>
      <c r="H208" s="85" t="s">
        <v>833</v>
      </c>
      <c r="I208" s="85" t="s">
        <v>834</v>
      </c>
      <c r="J208" s="29">
        <v>370</v>
      </c>
      <c r="K208" s="36">
        <v>37</v>
      </c>
      <c r="L208" s="25" t="str">
        <f t="shared" si="7"/>
        <v/>
      </c>
    </row>
    <row r="209" spans="1:12">
      <c r="A209" s="32" t="s">
        <v>835</v>
      </c>
      <c r="B209" s="33">
        <v>46</v>
      </c>
      <c r="C209" s="33">
        <v>24</v>
      </c>
      <c r="D209" s="32" t="s">
        <v>836</v>
      </c>
      <c r="E209" s="20"/>
      <c r="F209" s="34">
        <v>26.5</v>
      </c>
      <c r="G209" s="22">
        <f t="shared" si="6"/>
        <v>1.10416666666667</v>
      </c>
      <c r="H209" s="85" t="s">
        <v>837</v>
      </c>
      <c r="I209" s="85" t="s">
        <v>838</v>
      </c>
      <c r="J209" s="29">
        <v>133</v>
      </c>
      <c r="K209" s="36">
        <v>19</v>
      </c>
      <c r="L209" s="25" t="str">
        <f t="shared" si="7"/>
        <v/>
      </c>
    </row>
    <row r="210" spans="1:12">
      <c r="A210" s="32" t="s">
        <v>839</v>
      </c>
      <c r="B210" s="33">
        <v>427</v>
      </c>
      <c r="C210" s="33">
        <v>12</v>
      </c>
      <c r="D210" s="32" t="s">
        <v>840</v>
      </c>
      <c r="E210" s="20"/>
      <c r="F210" s="34">
        <v>26.5</v>
      </c>
      <c r="G210" s="34">
        <f t="shared" si="6"/>
        <v>2.20833333333333</v>
      </c>
      <c r="H210" s="85" t="s">
        <v>841</v>
      </c>
      <c r="I210" s="85" t="s">
        <v>842</v>
      </c>
      <c r="J210" s="29">
        <v>133</v>
      </c>
      <c r="K210" s="30">
        <v>19</v>
      </c>
      <c r="L210" s="40" t="str">
        <f t="shared" si="7"/>
        <v/>
      </c>
    </row>
    <row r="211" spans="1:12">
      <c r="A211" s="32" t="s">
        <v>843</v>
      </c>
      <c r="B211" s="33">
        <v>248</v>
      </c>
      <c r="C211" s="33">
        <v>8</v>
      </c>
      <c r="D211" s="32" t="s">
        <v>844</v>
      </c>
      <c r="E211" s="20"/>
      <c r="F211" s="37">
        <v>25.5</v>
      </c>
      <c r="G211" s="38">
        <f t="shared" si="6"/>
        <v>3.1875</v>
      </c>
      <c r="H211" s="85" t="s">
        <v>845</v>
      </c>
      <c r="I211" s="85" t="s">
        <v>846</v>
      </c>
      <c r="J211" s="29">
        <v>133</v>
      </c>
      <c r="K211" s="36">
        <v>19</v>
      </c>
      <c r="L211" s="25" t="str">
        <f t="shared" si="7"/>
        <v/>
      </c>
    </row>
    <row r="212" spans="1:12">
      <c r="A212" s="32" t="s">
        <v>847</v>
      </c>
      <c r="B212" s="33">
        <v>266</v>
      </c>
      <c r="C212" s="33">
        <v>8</v>
      </c>
      <c r="D212" s="32" t="s">
        <v>848</v>
      </c>
      <c r="E212" s="20"/>
      <c r="F212" s="37">
        <v>25.5</v>
      </c>
      <c r="G212" s="38">
        <f t="shared" si="6"/>
        <v>3.1875</v>
      </c>
      <c r="H212" s="85" t="s">
        <v>849</v>
      </c>
      <c r="I212" s="85" t="s">
        <v>850</v>
      </c>
      <c r="J212" s="29">
        <v>133</v>
      </c>
      <c r="K212" s="36">
        <v>19</v>
      </c>
      <c r="L212" s="25" t="str">
        <f t="shared" si="7"/>
        <v/>
      </c>
    </row>
    <row r="213" spans="1:12">
      <c r="A213" s="32" t="s">
        <v>851</v>
      </c>
      <c r="B213" s="33">
        <v>4</v>
      </c>
      <c r="C213" s="33">
        <v>4</v>
      </c>
      <c r="D213" s="32" t="s">
        <v>852</v>
      </c>
      <c r="E213" s="20"/>
      <c r="F213" s="34">
        <v>9.6</v>
      </c>
      <c r="G213" s="22">
        <f t="shared" si="6"/>
        <v>2.4</v>
      </c>
      <c r="H213" s="85" t="s">
        <v>853</v>
      </c>
      <c r="I213" s="85" t="s">
        <v>854</v>
      </c>
      <c r="J213" s="29">
        <v>480</v>
      </c>
      <c r="K213" s="36">
        <v>48</v>
      </c>
      <c r="L213" s="25" t="str">
        <f t="shared" si="7"/>
        <v/>
      </c>
    </row>
    <row r="214" s="2" customFormat="1" spans="1:12">
      <c r="A214" s="32" t="s">
        <v>855</v>
      </c>
      <c r="B214" s="33">
        <v>585</v>
      </c>
      <c r="C214" s="33">
        <v>6</v>
      </c>
      <c r="D214" s="32" t="s">
        <v>856</v>
      </c>
      <c r="E214" s="20"/>
      <c r="F214" s="34">
        <v>6</v>
      </c>
      <c r="G214" s="22">
        <f t="shared" si="6"/>
        <v>1</v>
      </c>
      <c r="H214" s="85" t="s">
        <v>857</v>
      </c>
      <c r="I214" s="85" t="s">
        <v>858</v>
      </c>
      <c r="J214" s="29">
        <v>360</v>
      </c>
      <c r="K214" s="36">
        <v>45</v>
      </c>
      <c r="L214" s="25" t="str">
        <f t="shared" si="7"/>
        <v/>
      </c>
    </row>
    <row r="215" s="2" customFormat="1" spans="1:12">
      <c r="A215" s="32" t="s">
        <v>859</v>
      </c>
      <c r="B215" s="33">
        <v>279</v>
      </c>
      <c r="C215" s="33">
        <v>6</v>
      </c>
      <c r="D215" s="32" t="s">
        <v>860</v>
      </c>
      <c r="E215" s="20"/>
      <c r="F215" s="34">
        <v>6</v>
      </c>
      <c r="G215" s="22">
        <f t="shared" si="6"/>
        <v>1</v>
      </c>
      <c r="H215" s="85" t="s">
        <v>861</v>
      </c>
      <c r="I215" s="85" t="s">
        <v>862</v>
      </c>
      <c r="J215" s="29">
        <v>360</v>
      </c>
      <c r="K215" s="36">
        <v>45</v>
      </c>
      <c r="L215" s="25" t="str">
        <f t="shared" si="7"/>
        <v/>
      </c>
    </row>
    <row r="216" s="2" customFormat="1" spans="1:12">
      <c r="A216" s="32" t="s">
        <v>863</v>
      </c>
      <c r="B216" s="33">
        <v>111</v>
      </c>
      <c r="C216" s="33">
        <v>6</v>
      </c>
      <c r="D216" s="32" t="s">
        <v>864</v>
      </c>
      <c r="E216" s="20"/>
      <c r="F216" s="34">
        <v>6.75</v>
      </c>
      <c r="G216" s="22">
        <f t="shared" si="6"/>
        <v>1.125</v>
      </c>
      <c r="H216" s="85" t="s">
        <v>865</v>
      </c>
      <c r="I216" s="85" t="s">
        <v>866</v>
      </c>
      <c r="J216" s="29">
        <v>408</v>
      </c>
      <c r="K216" s="36">
        <v>51</v>
      </c>
      <c r="L216" s="25" t="str">
        <f t="shared" si="7"/>
        <v/>
      </c>
    </row>
    <row r="217" s="2" customFormat="1" spans="1:12">
      <c r="A217" s="32" t="s">
        <v>867</v>
      </c>
      <c r="B217" s="33">
        <v>152</v>
      </c>
      <c r="C217" s="33">
        <v>6</v>
      </c>
      <c r="D217" s="32" t="s">
        <v>868</v>
      </c>
      <c r="E217" s="20"/>
      <c r="F217" s="34">
        <v>10.8</v>
      </c>
      <c r="G217" s="22">
        <f t="shared" si="6"/>
        <v>1.8</v>
      </c>
      <c r="H217" s="85" t="s">
        <v>869</v>
      </c>
      <c r="I217" s="85" t="s">
        <v>870</v>
      </c>
      <c r="J217" s="29">
        <v>270</v>
      </c>
      <c r="K217" s="36">
        <v>27</v>
      </c>
      <c r="L217" s="25" t="str">
        <f t="shared" si="7"/>
        <v/>
      </c>
    </row>
    <row r="218" s="2" customFormat="1" spans="1:12">
      <c r="A218" s="32" t="s">
        <v>871</v>
      </c>
      <c r="B218" s="33">
        <v>91</v>
      </c>
      <c r="C218" s="33">
        <v>6</v>
      </c>
      <c r="D218" s="32" t="s">
        <v>872</v>
      </c>
      <c r="E218" s="20"/>
      <c r="F218" s="34">
        <v>10.8</v>
      </c>
      <c r="G218" s="22">
        <f t="shared" si="6"/>
        <v>1.8</v>
      </c>
      <c r="H218" s="85" t="s">
        <v>873</v>
      </c>
      <c r="I218" s="85" t="s">
        <v>874</v>
      </c>
      <c r="J218" s="29">
        <v>270</v>
      </c>
      <c r="K218" s="36">
        <v>27</v>
      </c>
      <c r="L218" s="25" t="str">
        <f t="shared" si="7"/>
        <v/>
      </c>
    </row>
    <row r="219" spans="1:12">
      <c r="A219" s="32" t="s">
        <v>875</v>
      </c>
      <c r="B219" s="33">
        <v>121</v>
      </c>
      <c r="C219" s="33">
        <v>6</v>
      </c>
      <c r="D219" s="32" t="s">
        <v>876</v>
      </c>
      <c r="E219" s="20"/>
      <c r="F219" s="37">
        <v>10.8</v>
      </c>
      <c r="G219" s="38">
        <f t="shared" si="6"/>
        <v>1.8</v>
      </c>
      <c r="H219" s="85" t="s">
        <v>877</v>
      </c>
      <c r="I219" s="85" t="s">
        <v>878</v>
      </c>
      <c r="J219" s="29">
        <v>189</v>
      </c>
      <c r="K219" s="36">
        <v>27</v>
      </c>
      <c r="L219" s="25" t="str">
        <f t="shared" si="7"/>
        <v/>
      </c>
    </row>
    <row r="220" spans="1:12">
      <c r="A220" s="32" t="s">
        <v>879</v>
      </c>
      <c r="B220" s="33">
        <v>397</v>
      </c>
      <c r="C220" s="33">
        <v>6</v>
      </c>
      <c r="D220" s="32" t="s">
        <v>880</v>
      </c>
      <c r="E220" s="20"/>
      <c r="F220" s="37">
        <v>10.8</v>
      </c>
      <c r="G220" s="38">
        <f t="shared" si="6"/>
        <v>1.8</v>
      </c>
      <c r="H220" s="85" t="s">
        <v>881</v>
      </c>
      <c r="I220" s="85" t="s">
        <v>882</v>
      </c>
      <c r="J220" s="29">
        <v>270</v>
      </c>
      <c r="K220" s="36">
        <v>27</v>
      </c>
      <c r="L220" s="25" t="str">
        <f t="shared" si="7"/>
        <v/>
      </c>
    </row>
    <row r="221" s="2" customFormat="1" spans="1:12">
      <c r="A221" s="32" t="s">
        <v>883</v>
      </c>
      <c r="B221" s="33">
        <v>179</v>
      </c>
      <c r="C221" s="33">
        <v>6</v>
      </c>
      <c r="D221" s="32" t="s">
        <v>884</v>
      </c>
      <c r="E221" s="20"/>
      <c r="F221" s="34">
        <v>10.8</v>
      </c>
      <c r="G221" s="22">
        <f t="shared" si="6"/>
        <v>1.8</v>
      </c>
      <c r="H221" s="85" t="s">
        <v>885</v>
      </c>
      <c r="I221" s="85" t="s">
        <v>886</v>
      </c>
      <c r="J221" s="29">
        <v>270</v>
      </c>
      <c r="K221" s="36">
        <v>27</v>
      </c>
      <c r="L221" s="25" t="str">
        <f t="shared" si="7"/>
        <v/>
      </c>
    </row>
    <row r="222" s="2" customFormat="1" spans="1:12">
      <c r="A222" s="32" t="s">
        <v>887</v>
      </c>
      <c r="B222" s="33">
        <v>40</v>
      </c>
      <c r="C222" s="33">
        <v>12</v>
      </c>
      <c r="D222" s="32" t="s">
        <v>888</v>
      </c>
      <c r="E222" s="20"/>
      <c r="F222" s="34">
        <v>8.8</v>
      </c>
      <c r="G222" s="22">
        <f t="shared" si="6"/>
        <v>0.733333333333333</v>
      </c>
      <c r="H222" s="85" t="s">
        <v>889</v>
      </c>
      <c r="I222" s="85" t="s">
        <v>890</v>
      </c>
      <c r="J222" s="29">
        <v>80</v>
      </c>
      <c r="K222" s="36">
        <v>20</v>
      </c>
      <c r="L222" s="25" t="str">
        <f t="shared" si="7"/>
        <v/>
      </c>
    </row>
    <row r="223" s="2" customFormat="1" spans="1:12">
      <c r="A223" s="32" t="s">
        <v>891</v>
      </c>
      <c r="B223" s="33">
        <v>39</v>
      </c>
      <c r="C223" s="33">
        <v>12</v>
      </c>
      <c r="D223" s="32" t="s">
        <v>892</v>
      </c>
      <c r="E223" s="20"/>
      <c r="F223" s="34">
        <v>8.8</v>
      </c>
      <c r="G223" s="22">
        <f t="shared" si="6"/>
        <v>0.733333333333333</v>
      </c>
      <c r="H223" s="85" t="s">
        <v>893</v>
      </c>
      <c r="I223" s="85" t="s">
        <v>894</v>
      </c>
      <c r="J223" s="29">
        <v>80</v>
      </c>
      <c r="K223" s="36">
        <v>20</v>
      </c>
      <c r="L223" s="25" t="str">
        <f t="shared" si="7"/>
        <v/>
      </c>
    </row>
    <row r="224" spans="1:12">
      <c r="A224" s="32" t="s">
        <v>895</v>
      </c>
      <c r="B224" s="33">
        <v>180</v>
      </c>
      <c r="C224" s="33">
        <v>6</v>
      </c>
      <c r="D224" s="32" t="s">
        <v>896</v>
      </c>
      <c r="E224" s="20"/>
      <c r="F224" s="34">
        <v>7.4</v>
      </c>
      <c r="G224" s="22">
        <f t="shared" si="6"/>
        <v>1.23333333333333</v>
      </c>
      <c r="H224" s="85" t="s">
        <v>897</v>
      </c>
      <c r="I224" s="85" t="s">
        <v>898</v>
      </c>
      <c r="J224" s="29">
        <v>360</v>
      </c>
      <c r="K224" s="36">
        <v>72</v>
      </c>
      <c r="L224" s="25" t="str">
        <f t="shared" si="7"/>
        <v/>
      </c>
    </row>
    <row r="225" spans="1:12">
      <c r="A225" s="32" t="s">
        <v>899</v>
      </c>
      <c r="B225" s="33">
        <v>188</v>
      </c>
      <c r="C225" s="33">
        <v>6</v>
      </c>
      <c r="D225" s="32" t="s">
        <v>900</v>
      </c>
      <c r="E225" s="29"/>
      <c r="F225" s="37">
        <v>7.4</v>
      </c>
      <c r="G225" s="38">
        <f t="shared" si="6"/>
        <v>1.23333333333333</v>
      </c>
      <c r="H225" s="85" t="s">
        <v>901</v>
      </c>
      <c r="I225" s="85" t="s">
        <v>902</v>
      </c>
      <c r="J225" s="29">
        <v>360</v>
      </c>
      <c r="K225" s="30">
        <v>72</v>
      </c>
      <c r="L225" s="25" t="str">
        <f t="shared" si="7"/>
        <v/>
      </c>
    </row>
    <row r="226" spans="1:12">
      <c r="A226" s="32" t="s">
        <v>903</v>
      </c>
      <c r="B226" s="33">
        <v>80</v>
      </c>
      <c r="C226" s="33">
        <v>6</v>
      </c>
      <c r="D226" s="32" t="s">
        <v>904</v>
      </c>
      <c r="E226" s="20"/>
      <c r="F226" s="34">
        <v>7.4</v>
      </c>
      <c r="G226" s="22">
        <f t="shared" si="6"/>
        <v>1.23333333333333</v>
      </c>
      <c r="H226" s="85" t="s">
        <v>905</v>
      </c>
      <c r="I226" s="85" t="s">
        <v>906</v>
      </c>
      <c r="J226" s="29">
        <v>360</v>
      </c>
      <c r="K226" s="36">
        <v>72</v>
      </c>
      <c r="L226" s="25" t="str">
        <f t="shared" si="7"/>
        <v/>
      </c>
    </row>
    <row r="227" spans="1:12">
      <c r="A227" s="32" t="s">
        <v>907</v>
      </c>
      <c r="B227" s="33">
        <v>272</v>
      </c>
      <c r="C227" s="33">
        <v>6</v>
      </c>
      <c r="D227" s="32" t="s">
        <v>908</v>
      </c>
      <c r="E227" s="20"/>
      <c r="F227" s="34">
        <v>7.4</v>
      </c>
      <c r="G227" s="22">
        <f t="shared" si="6"/>
        <v>1.23333333333333</v>
      </c>
      <c r="H227" s="85" t="s">
        <v>909</v>
      </c>
      <c r="I227" s="85" t="s">
        <v>910</v>
      </c>
      <c r="J227" s="29">
        <v>360</v>
      </c>
      <c r="K227" s="36">
        <v>72</v>
      </c>
      <c r="L227" s="25" t="str">
        <f t="shared" si="7"/>
        <v/>
      </c>
    </row>
    <row r="228" spans="1:12">
      <c r="A228" s="32" t="s">
        <v>911</v>
      </c>
      <c r="B228" s="33">
        <v>143</v>
      </c>
      <c r="C228" s="33">
        <v>6</v>
      </c>
      <c r="D228" s="32" t="s">
        <v>912</v>
      </c>
      <c r="E228" s="20"/>
      <c r="F228" s="34">
        <v>7.4</v>
      </c>
      <c r="G228" s="22">
        <f t="shared" si="6"/>
        <v>1.23333333333333</v>
      </c>
      <c r="H228" s="85" t="s">
        <v>913</v>
      </c>
      <c r="I228" s="85" t="s">
        <v>914</v>
      </c>
      <c r="J228" s="29">
        <v>360</v>
      </c>
      <c r="K228" s="36">
        <v>72</v>
      </c>
      <c r="L228" s="25" t="str">
        <f t="shared" si="7"/>
        <v/>
      </c>
    </row>
    <row r="229" spans="1:12">
      <c r="A229" s="32" t="s">
        <v>915</v>
      </c>
      <c r="B229" s="33">
        <v>66</v>
      </c>
      <c r="C229" s="33">
        <v>6</v>
      </c>
      <c r="D229" s="32" t="s">
        <v>916</v>
      </c>
      <c r="E229" s="20"/>
      <c r="F229" s="34">
        <v>7.4</v>
      </c>
      <c r="G229" s="22">
        <f t="shared" si="6"/>
        <v>1.23333333333333</v>
      </c>
      <c r="H229" s="85" t="s">
        <v>917</v>
      </c>
      <c r="I229" s="85" t="s">
        <v>918</v>
      </c>
      <c r="J229" s="29">
        <v>320</v>
      </c>
      <c r="K229" s="36">
        <v>80</v>
      </c>
      <c r="L229" s="25" t="str">
        <f t="shared" si="7"/>
        <v/>
      </c>
    </row>
    <row r="230" spans="1:12">
      <c r="A230" s="32" t="s">
        <v>919</v>
      </c>
      <c r="B230" s="33">
        <v>129</v>
      </c>
      <c r="C230" s="33">
        <v>6</v>
      </c>
      <c r="D230" s="32" t="s">
        <v>920</v>
      </c>
      <c r="E230" s="20"/>
      <c r="F230" s="34">
        <v>7.4</v>
      </c>
      <c r="G230" s="22">
        <f t="shared" si="6"/>
        <v>1.23333333333333</v>
      </c>
      <c r="H230" s="85" t="s">
        <v>921</v>
      </c>
      <c r="I230" s="85" t="s">
        <v>922</v>
      </c>
      <c r="J230" s="29">
        <v>320</v>
      </c>
      <c r="K230" s="36">
        <v>80</v>
      </c>
      <c r="L230" s="25" t="str">
        <f t="shared" si="7"/>
        <v/>
      </c>
    </row>
    <row r="231" spans="1:12">
      <c r="A231" s="32" t="s">
        <v>923</v>
      </c>
      <c r="B231" s="33">
        <v>601</v>
      </c>
      <c r="C231" s="33">
        <v>6</v>
      </c>
      <c r="D231" s="32" t="s">
        <v>924</v>
      </c>
      <c r="E231" s="20"/>
      <c r="F231" s="34">
        <v>6.6</v>
      </c>
      <c r="G231" s="22">
        <f t="shared" si="6"/>
        <v>1.1</v>
      </c>
      <c r="H231" s="85" t="s">
        <v>925</v>
      </c>
      <c r="I231" s="85" t="s">
        <v>926</v>
      </c>
      <c r="J231" s="29">
        <v>320</v>
      </c>
      <c r="K231" s="36">
        <v>80</v>
      </c>
      <c r="L231" s="25" t="str">
        <f t="shared" si="7"/>
        <v/>
      </c>
    </row>
    <row r="232" spans="1:12">
      <c r="A232" s="32" t="s">
        <v>927</v>
      </c>
      <c r="B232" s="33">
        <v>59</v>
      </c>
      <c r="C232" s="33">
        <v>6</v>
      </c>
      <c r="D232" s="32" t="s">
        <v>928</v>
      </c>
      <c r="E232" s="20"/>
      <c r="F232" s="34">
        <v>6.6</v>
      </c>
      <c r="G232" s="22">
        <f t="shared" si="6"/>
        <v>1.1</v>
      </c>
      <c r="H232" s="85" t="s">
        <v>929</v>
      </c>
      <c r="I232" s="85" t="s">
        <v>930</v>
      </c>
      <c r="J232" s="29">
        <v>320</v>
      </c>
      <c r="K232" s="36">
        <v>80</v>
      </c>
      <c r="L232" s="25" t="str">
        <f t="shared" si="7"/>
        <v/>
      </c>
    </row>
    <row r="233" spans="1:12">
      <c r="A233" s="32" t="s">
        <v>931</v>
      </c>
      <c r="B233" s="33">
        <v>46</v>
      </c>
      <c r="C233" s="33">
        <v>6</v>
      </c>
      <c r="D233" s="32" t="s">
        <v>932</v>
      </c>
      <c r="E233" s="20"/>
      <c r="F233" s="34">
        <v>12</v>
      </c>
      <c r="G233" s="22">
        <f t="shared" si="6"/>
        <v>2</v>
      </c>
      <c r="H233" s="85" t="s">
        <v>933</v>
      </c>
      <c r="I233" s="85" t="s">
        <v>934</v>
      </c>
      <c r="J233" s="29">
        <v>200</v>
      </c>
      <c r="K233" s="36">
        <v>40</v>
      </c>
      <c r="L233" s="25" t="str">
        <f t="shared" si="7"/>
        <v/>
      </c>
    </row>
    <row r="234" spans="1:12">
      <c r="A234" s="32" t="s">
        <v>935</v>
      </c>
      <c r="B234" s="33">
        <v>54</v>
      </c>
      <c r="C234" s="33">
        <v>6</v>
      </c>
      <c r="D234" s="32" t="s">
        <v>936</v>
      </c>
      <c r="E234" s="20"/>
      <c r="F234" s="34">
        <v>12</v>
      </c>
      <c r="G234" s="22">
        <f t="shared" si="6"/>
        <v>2</v>
      </c>
      <c r="H234" s="85" t="s">
        <v>937</v>
      </c>
      <c r="I234" s="85" t="s">
        <v>938</v>
      </c>
      <c r="J234" s="29">
        <v>200</v>
      </c>
      <c r="K234" s="36">
        <v>40</v>
      </c>
      <c r="L234" s="25" t="str">
        <f t="shared" si="7"/>
        <v/>
      </c>
    </row>
    <row r="235" spans="1:12">
      <c r="A235" s="32" t="s">
        <v>939</v>
      </c>
      <c r="B235" s="33">
        <v>475</v>
      </c>
      <c r="C235" s="33">
        <v>6</v>
      </c>
      <c r="D235" s="32" t="s">
        <v>940</v>
      </c>
      <c r="E235" s="20"/>
      <c r="F235" s="34">
        <v>12</v>
      </c>
      <c r="G235" s="22">
        <f t="shared" si="6"/>
        <v>2</v>
      </c>
      <c r="H235" s="85" t="s">
        <v>941</v>
      </c>
      <c r="I235" s="85" t="s">
        <v>942</v>
      </c>
      <c r="J235" s="29">
        <v>200</v>
      </c>
      <c r="K235" s="36">
        <v>40</v>
      </c>
      <c r="L235" s="25" t="str">
        <f t="shared" si="7"/>
        <v/>
      </c>
    </row>
    <row r="236" spans="1:12">
      <c r="A236" s="32" t="s">
        <v>943</v>
      </c>
      <c r="B236" s="33">
        <v>126</v>
      </c>
      <c r="C236" s="33">
        <v>6</v>
      </c>
      <c r="D236" s="32" t="s">
        <v>944</v>
      </c>
      <c r="E236" s="20"/>
      <c r="F236" s="34">
        <v>14.4</v>
      </c>
      <c r="G236" s="22">
        <f t="shared" si="6"/>
        <v>2.4</v>
      </c>
      <c r="H236" s="85" t="s">
        <v>945</v>
      </c>
      <c r="I236" s="85" t="s">
        <v>946</v>
      </c>
      <c r="J236" s="29">
        <v>160</v>
      </c>
      <c r="K236" s="36">
        <v>32</v>
      </c>
      <c r="L236" s="25" t="str">
        <f t="shared" si="7"/>
        <v/>
      </c>
    </row>
    <row r="237" spans="1:12">
      <c r="A237" s="32" t="s">
        <v>947</v>
      </c>
      <c r="B237" s="33">
        <v>625</v>
      </c>
      <c r="C237" s="33">
        <v>6</v>
      </c>
      <c r="D237" s="32" t="s">
        <v>948</v>
      </c>
      <c r="E237" s="29"/>
      <c r="F237" s="34">
        <v>12</v>
      </c>
      <c r="G237" s="34">
        <f t="shared" si="6"/>
        <v>2</v>
      </c>
      <c r="H237" s="85" t="s">
        <v>949</v>
      </c>
      <c r="I237" s="85" t="s">
        <v>950</v>
      </c>
      <c r="J237" s="29">
        <v>200</v>
      </c>
      <c r="K237" s="30">
        <v>40</v>
      </c>
      <c r="L237" s="40" t="str">
        <f t="shared" si="7"/>
        <v/>
      </c>
    </row>
    <row r="238" spans="1:12">
      <c r="A238" s="32" t="s">
        <v>951</v>
      </c>
      <c r="B238" s="33">
        <v>711</v>
      </c>
      <c r="C238" s="33">
        <v>6</v>
      </c>
      <c r="D238" s="32" t="s">
        <v>952</v>
      </c>
      <c r="E238" s="20"/>
      <c r="F238" s="34">
        <v>12</v>
      </c>
      <c r="G238" s="22">
        <f t="shared" si="6"/>
        <v>2</v>
      </c>
      <c r="H238" s="85" t="s">
        <v>953</v>
      </c>
      <c r="I238" s="85" t="s">
        <v>954</v>
      </c>
      <c r="J238" s="29">
        <v>200</v>
      </c>
      <c r="K238" s="36">
        <v>40</v>
      </c>
      <c r="L238" s="25" t="str">
        <f t="shared" si="7"/>
        <v/>
      </c>
    </row>
    <row r="239" spans="1:12">
      <c r="A239" s="32" t="s">
        <v>955</v>
      </c>
      <c r="B239" s="33">
        <v>566</v>
      </c>
      <c r="C239" s="33">
        <v>6</v>
      </c>
      <c r="D239" s="32" t="s">
        <v>956</v>
      </c>
      <c r="E239" s="20"/>
      <c r="F239" s="34">
        <v>12</v>
      </c>
      <c r="G239" s="22">
        <f t="shared" si="6"/>
        <v>2</v>
      </c>
      <c r="H239" s="85" t="s">
        <v>957</v>
      </c>
      <c r="I239" s="85" t="s">
        <v>958</v>
      </c>
      <c r="J239" s="29">
        <v>200</v>
      </c>
      <c r="K239" s="36">
        <v>40</v>
      </c>
      <c r="L239" s="25" t="str">
        <f t="shared" si="7"/>
        <v/>
      </c>
    </row>
    <row r="240" spans="1:12">
      <c r="A240" s="32" t="s">
        <v>959</v>
      </c>
      <c r="B240" s="33">
        <v>228</v>
      </c>
      <c r="C240" s="33">
        <v>6</v>
      </c>
      <c r="D240" s="32" t="s">
        <v>960</v>
      </c>
      <c r="E240" s="20"/>
      <c r="F240" s="34">
        <v>14.4</v>
      </c>
      <c r="G240" s="22">
        <f t="shared" si="6"/>
        <v>2.4</v>
      </c>
      <c r="H240" s="85" t="s">
        <v>961</v>
      </c>
      <c r="I240" s="85" t="s">
        <v>962</v>
      </c>
      <c r="J240" s="29">
        <v>160</v>
      </c>
      <c r="K240" s="36">
        <v>32</v>
      </c>
      <c r="L240" s="25" t="str">
        <f t="shared" si="7"/>
        <v/>
      </c>
    </row>
    <row r="241" spans="1:12">
      <c r="A241" s="32" t="s">
        <v>963</v>
      </c>
      <c r="B241" s="33">
        <v>144</v>
      </c>
      <c r="C241" s="33">
        <v>6</v>
      </c>
      <c r="D241" s="32" t="s">
        <v>964</v>
      </c>
      <c r="E241" s="20"/>
      <c r="F241" s="34">
        <v>14.4</v>
      </c>
      <c r="G241" s="22">
        <f t="shared" si="6"/>
        <v>2.4</v>
      </c>
      <c r="H241" s="85" t="s">
        <v>965</v>
      </c>
      <c r="I241" s="85" t="s">
        <v>966</v>
      </c>
      <c r="J241" s="29">
        <v>160</v>
      </c>
      <c r="K241" s="36">
        <v>32</v>
      </c>
      <c r="L241" s="25" t="str">
        <f t="shared" si="7"/>
        <v/>
      </c>
    </row>
    <row r="242" spans="1:12">
      <c r="A242" s="32" t="s">
        <v>967</v>
      </c>
      <c r="B242" s="33">
        <v>190</v>
      </c>
      <c r="C242" s="33">
        <v>6</v>
      </c>
      <c r="D242" s="32" t="s">
        <v>968</v>
      </c>
      <c r="E242" s="20"/>
      <c r="F242" s="34">
        <v>6.2</v>
      </c>
      <c r="G242" s="22">
        <f t="shared" si="6"/>
        <v>1.03333333333333</v>
      </c>
      <c r="H242" s="85" t="s">
        <v>969</v>
      </c>
      <c r="I242" s="85" t="s">
        <v>970</v>
      </c>
      <c r="J242" s="29">
        <v>440</v>
      </c>
      <c r="K242" s="36">
        <v>55</v>
      </c>
      <c r="L242" s="25" t="str">
        <f t="shared" si="7"/>
        <v/>
      </c>
    </row>
    <row r="243" spans="1:12">
      <c r="A243" s="32" t="s">
        <v>971</v>
      </c>
      <c r="B243" s="33">
        <v>511</v>
      </c>
      <c r="C243" s="33">
        <v>6</v>
      </c>
      <c r="D243" s="32" t="s">
        <v>972</v>
      </c>
      <c r="E243" s="20"/>
      <c r="F243" s="34">
        <v>6.2</v>
      </c>
      <c r="G243" s="34">
        <f t="shared" si="6"/>
        <v>1.03333333333333</v>
      </c>
      <c r="H243" s="85" t="s">
        <v>973</v>
      </c>
      <c r="I243" s="85" t="s">
        <v>974</v>
      </c>
      <c r="J243" s="29">
        <v>440</v>
      </c>
      <c r="K243" s="36">
        <v>55</v>
      </c>
      <c r="L243" s="25" t="str">
        <f t="shared" si="7"/>
        <v/>
      </c>
    </row>
    <row r="244" spans="1:12">
      <c r="A244" s="32" t="s">
        <v>975</v>
      </c>
      <c r="B244" s="33">
        <v>651</v>
      </c>
      <c r="C244" s="33">
        <v>6</v>
      </c>
      <c r="D244" s="32" t="s">
        <v>976</v>
      </c>
      <c r="E244" s="20"/>
      <c r="F244" s="34">
        <v>6.2</v>
      </c>
      <c r="G244" s="22">
        <f t="shared" si="6"/>
        <v>1.03333333333333</v>
      </c>
      <c r="H244" s="55">
        <v>8710447275313</v>
      </c>
      <c r="I244" s="92" t="s">
        <v>977</v>
      </c>
      <c r="J244" s="29">
        <v>440</v>
      </c>
      <c r="K244" s="36">
        <v>55</v>
      </c>
      <c r="L244" s="25" t="str">
        <f t="shared" si="7"/>
        <v/>
      </c>
    </row>
    <row r="245" spans="1:12">
      <c r="A245" s="32" t="s">
        <v>978</v>
      </c>
      <c r="B245" s="33">
        <v>149</v>
      </c>
      <c r="C245" s="33">
        <v>6</v>
      </c>
      <c r="D245" s="32" t="s">
        <v>979</v>
      </c>
      <c r="E245" s="20"/>
      <c r="F245" s="34">
        <v>6.75</v>
      </c>
      <c r="G245" s="22">
        <f t="shared" si="6"/>
        <v>1.125</v>
      </c>
      <c r="H245" s="55"/>
      <c r="I245" s="55"/>
      <c r="J245" s="29">
        <v>440</v>
      </c>
      <c r="K245" s="36">
        <v>55</v>
      </c>
      <c r="L245" s="25" t="str">
        <f t="shared" si="7"/>
        <v/>
      </c>
    </row>
    <row r="246" spans="1:12">
      <c r="A246" s="32" t="s">
        <v>980</v>
      </c>
      <c r="B246" s="33">
        <v>82</v>
      </c>
      <c r="C246" s="33">
        <v>4</v>
      </c>
      <c r="D246" s="32" t="s">
        <v>981</v>
      </c>
      <c r="E246" s="20"/>
      <c r="F246" s="34">
        <v>13.8</v>
      </c>
      <c r="G246" s="22">
        <f t="shared" si="6"/>
        <v>3.45</v>
      </c>
      <c r="H246" s="85" t="s">
        <v>982</v>
      </c>
      <c r="I246" s="85" t="s">
        <v>983</v>
      </c>
      <c r="J246" s="29">
        <v>240</v>
      </c>
      <c r="K246" s="30">
        <v>40</v>
      </c>
      <c r="L246" s="25" t="str">
        <f t="shared" si="7"/>
        <v/>
      </c>
    </row>
    <row r="247" spans="1:12">
      <c r="A247" s="32" t="s">
        <v>984</v>
      </c>
      <c r="B247" s="33">
        <v>220</v>
      </c>
      <c r="C247" s="33">
        <v>4</v>
      </c>
      <c r="D247" s="32" t="s">
        <v>985</v>
      </c>
      <c r="E247" s="20"/>
      <c r="F247" s="34">
        <v>13.8</v>
      </c>
      <c r="G247" s="22">
        <f t="shared" si="6"/>
        <v>3.45</v>
      </c>
      <c r="H247" s="85" t="s">
        <v>986</v>
      </c>
      <c r="I247" s="85" t="s">
        <v>987</v>
      </c>
      <c r="J247" s="29">
        <v>240</v>
      </c>
      <c r="K247" s="30">
        <v>40</v>
      </c>
      <c r="L247" s="25" t="str">
        <f t="shared" si="7"/>
        <v/>
      </c>
    </row>
    <row r="248" spans="1:12">
      <c r="A248" s="32" t="s">
        <v>988</v>
      </c>
      <c r="B248" s="33">
        <v>230</v>
      </c>
      <c r="C248" s="33">
        <v>6</v>
      </c>
      <c r="D248" s="32" t="s">
        <v>989</v>
      </c>
      <c r="E248" s="20"/>
      <c r="F248" s="34">
        <v>9.15</v>
      </c>
      <c r="G248" s="22">
        <f t="shared" si="6"/>
        <v>1.525</v>
      </c>
      <c r="H248" s="85" t="s">
        <v>990</v>
      </c>
      <c r="I248" s="85" t="s">
        <v>991</v>
      </c>
      <c r="J248" s="29">
        <v>348</v>
      </c>
      <c r="K248" s="36">
        <v>58</v>
      </c>
      <c r="L248" s="25" t="str">
        <f t="shared" si="7"/>
        <v/>
      </c>
    </row>
    <row r="249" spans="1:12">
      <c r="A249" s="32" t="s">
        <v>992</v>
      </c>
      <c r="B249" s="33">
        <v>484</v>
      </c>
      <c r="C249" s="33">
        <v>6</v>
      </c>
      <c r="D249" s="32" t="s">
        <v>993</v>
      </c>
      <c r="E249" s="20"/>
      <c r="F249" s="34">
        <v>9.8</v>
      </c>
      <c r="G249" s="22">
        <f t="shared" si="6"/>
        <v>1.63333333333333</v>
      </c>
      <c r="H249" s="85" t="s">
        <v>994</v>
      </c>
      <c r="I249" s="85" t="s">
        <v>995</v>
      </c>
      <c r="J249" s="29">
        <v>348</v>
      </c>
      <c r="K249" s="36">
        <v>58</v>
      </c>
      <c r="L249" s="40" t="str">
        <f t="shared" si="7"/>
        <v/>
      </c>
    </row>
    <row r="250" spans="1:12">
      <c r="A250" s="32" t="s">
        <v>996</v>
      </c>
      <c r="B250" s="33">
        <v>289</v>
      </c>
      <c r="C250" s="33">
        <v>6</v>
      </c>
      <c r="D250" s="32" t="s">
        <v>997</v>
      </c>
      <c r="E250" s="20"/>
      <c r="F250" s="34">
        <v>9.8</v>
      </c>
      <c r="G250" s="22">
        <f t="shared" si="6"/>
        <v>1.63333333333333</v>
      </c>
      <c r="H250" s="85" t="s">
        <v>998</v>
      </c>
      <c r="I250" s="85" t="s">
        <v>999</v>
      </c>
      <c r="J250" s="29">
        <v>348</v>
      </c>
      <c r="K250" s="36">
        <v>58</v>
      </c>
      <c r="L250" s="25" t="str">
        <f t="shared" si="7"/>
        <v/>
      </c>
    </row>
    <row r="251" spans="1:12">
      <c r="A251" s="32" t="s">
        <v>1000</v>
      </c>
      <c r="B251" s="33">
        <v>445</v>
      </c>
      <c r="C251" s="33">
        <v>6</v>
      </c>
      <c r="D251" s="32" t="s">
        <v>1001</v>
      </c>
      <c r="E251" s="29"/>
      <c r="F251" s="34">
        <v>9.8</v>
      </c>
      <c r="G251" s="22">
        <f t="shared" si="6"/>
        <v>1.63333333333333</v>
      </c>
      <c r="H251" s="85" t="s">
        <v>1002</v>
      </c>
      <c r="I251" s="85" t="s">
        <v>1003</v>
      </c>
      <c r="J251" s="29">
        <v>348</v>
      </c>
      <c r="K251" s="30">
        <v>58</v>
      </c>
      <c r="L251" s="25" t="str">
        <f t="shared" si="7"/>
        <v/>
      </c>
    </row>
    <row r="252" spans="1:12">
      <c r="A252" s="32" t="s">
        <v>1004</v>
      </c>
      <c r="B252" s="33">
        <v>2198</v>
      </c>
      <c r="C252" s="33">
        <v>6</v>
      </c>
      <c r="D252" s="32" t="s">
        <v>1005</v>
      </c>
      <c r="E252" s="20"/>
      <c r="F252" s="34">
        <v>9.8</v>
      </c>
      <c r="G252" s="22">
        <f t="shared" si="6"/>
        <v>1.63333333333333</v>
      </c>
      <c r="H252" s="85" t="s">
        <v>1006</v>
      </c>
      <c r="I252" s="85" t="s">
        <v>1007</v>
      </c>
      <c r="J252" s="29">
        <v>348</v>
      </c>
      <c r="K252" s="30">
        <v>58</v>
      </c>
      <c r="L252" s="25" t="str">
        <f t="shared" si="7"/>
        <v/>
      </c>
    </row>
    <row r="253" spans="1:12">
      <c r="A253" s="32" t="s">
        <v>1008</v>
      </c>
      <c r="B253" s="33">
        <v>394</v>
      </c>
      <c r="C253" s="33">
        <v>6</v>
      </c>
      <c r="D253" s="32" t="s">
        <v>1009</v>
      </c>
      <c r="E253" s="20"/>
      <c r="F253" s="34">
        <v>9.8</v>
      </c>
      <c r="G253" s="22">
        <f t="shared" si="6"/>
        <v>1.63333333333333</v>
      </c>
      <c r="H253" s="85" t="s">
        <v>1010</v>
      </c>
      <c r="I253" s="85" t="s">
        <v>1011</v>
      </c>
      <c r="J253" s="29">
        <v>348</v>
      </c>
      <c r="K253" s="30">
        <v>58</v>
      </c>
      <c r="L253" s="25" t="str">
        <f t="shared" si="7"/>
        <v/>
      </c>
    </row>
    <row r="254" spans="1:12">
      <c r="A254" s="32" t="s">
        <v>1012</v>
      </c>
      <c r="B254" s="33">
        <v>34</v>
      </c>
      <c r="C254" s="33">
        <v>6</v>
      </c>
      <c r="D254" s="32" t="s">
        <v>1013</v>
      </c>
      <c r="E254" s="20"/>
      <c r="F254" s="34">
        <v>14.8</v>
      </c>
      <c r="G254" s="34">
        <f t="shared" si="6"/>
        <v>2.46666666666667</v>
      </c>
      <c r="H254" s="85" t="s">
        <v>1014</v>
      </c>
      <c r="I254" s="85" t="s">
        <v>1015</v>
      </c>
      <c r="J254" s="29">
        <v>224</v>
      </c>
      <c r="K254" s="36">
        <v>56</v>
      </c>
      <c r="L254" s="25" t="str">
        <f t="shared" si="7"/>
        <v/>
      </c>
    </row>
    <row r="255" spans="1:12">
      <c r="A255" s="32" t="s">
        <v>1016</v>
      </c>
      <c r="B255" s="33">
        <v>54</v>
      </c>
      <c r="C255" s="33">
        <v>6</v>
      </c>
      <c r="D255" s="32" t="s">
        <v>1017</v>
      </c>
      <c r="E255" s="20"/>
      <c r="F255" s="34">
        <v>14.8</v>
      </c>
      <c r="G255" s="34">
        <f t="shared" si="6"/>
        <v>2.46666666666667</v>
      </c>
      <c r="H255" s="85" t="s">
        <v>1018</v>
      </c>
      <c r="I255" s="85" t="s">
        <v>1019</v>
      </c>
      <c r="J255" s="29">
        <v>224</v>
      </c>
      <c r="K255" s="36">
        <v>56</v>
      </c>
      <c r="L255" s="25" t="str">
        <f t="shared" si="7"/>
        <v/>
      </c>
    </row>
    <row r="256" spans="1:12">
      <c r="A256" s="32" t="s">
        <v>1020</v>
      </c>
      <c r="B256" s="33">
        <v>76</v>
      </c>
      <c r="C256" s="33">
        <v>6</v>
      </c>
      <c r="D256" s="32" t="s">
        <v>1021</v>
      </c>
      <c r="E256" s="20"/>
      <c r="F256" s="34">
        <v>14.8</v>
      </c>
      <c r="G256" s="34">
        <f t="shared" si="6"/>
        <v>2.46666666666667</v>
      </c>
      <c r="H256" s="85" t="s">
        <v>1022</v>
      </c>
      <c r="I256" s="85" t="s">
        <v>1023</v>
      </c>
      <c r="J256" s="29">
        <v>224</v>
      </c>
      <c r="K256" s="30">
        <v>56</v>
      </c>
      <c r="L256" s="25" t="str">
        <f t="shared" si="7"/>
        <v/>
      </c>
    </row>
    <row r="257" spans="1:12">
      <c r="A257" s="32" t="s">
        <v>1024</v>
      </c>
      <c r="B257" s="33">
        <v>49</v>
      </c>
      <c r="C257" s="33">
        <v>6</v>
      </c>
      <c r="D257" s="32" t="s">
        <v>1025</v>
      </c>
      <c r="E257" s="20"/>
      <c r="F257" s="34">
        <v>14.8</v>
      </c>
      <c r="G257" s="22">
        <f t="shared" si="6"/>
        <v>2.46666666666667</v>
      </c>
      <c r="H257" s="85" t="s">
        <v>1026</v>
      </c>
      <c r="I257" s="86" t="s">
        <v>1027</v>
      </c>
      <c r="J257" s="29">
        <v>224</v>
      </c>
      <c r="K257" s="36">
        <v>56</v>
      </c>
      <c r="L257" s="25" t="str">
        <f t="shared" si="7"/>
        <v/>
      </c>
    </row>
    <row r="258" spans="1:12">
      <c r="A258" s="32" t="s">
        <v>1028</v>
      </c>
      <c r="B258" s="33">
        <v>2</v>
      </c>
      <c r="C258" s="33">
        <v>6</v>
      </c>
      <c r="D258" s="32" t="s">
        <v>1029</v>
      </c>
      <c r="E258" s="20"/>
      <c r="F258" s="34">
        <v>14.8</v>
      </c>
      <c r="G258" s="34">
        <f t="shared" ref="G258:G320" si="8">F258/C258</f>
        <v>2.46666666666667</v>
      </c>
      <c r="H258" s="85" t="s">
        <v>1030</v>
      </c>
      <c r="I258" s="85" t="s">
        <v>1031</v>
      </c>
      <c r="J258" s="29">
        <v>224</v>
      </c>
      <c r="K258" s="36">
        <v>56</v>
      </c>
      <c r="L258" s="25" t="str">
        <f t="shared" ref="L258:L320" si="9">IF(E258,E258*F258,"")</f>
        <v/>
      </c>
    </row>
    <row r="259" spans="1:12">
      <c r="A259" s="32" t="s">
        <v>1032</v>
      </c>
      <c r="B259" s="33">
        <v>14</v>
      </c>
      <c r="C259" s="33">
        <v>6</v>
      </c>
      <c r="D259" s="32" t="s">
        <v>1033</v>
      </c>
      <c r="E259" s="20"/>
      <c r="F259" s="37">
        <v>14.8</v>
      </c>
      <c r="G259" s="37">
        <f t="shared" si="8"/>
        <v>2.46666666666667</v>
      </c>
      <c r="H259" s="85" t="s">
        <v>1034</v>
      </c>
      <c r="I259" s="85" t="s">
        <v>1035</v>
      </c>
      <c r="J259" s="29">
        <v>224</v>
      </c>
      <c r="K259" s="36">
        <v>56</v>
      </c>
      <c r="L259" s="25" t="str">
        <f t="shared" si="9"/>
        <v/>
      </c>
    </row>
    <row r="260" spans="1:12">
      <c r="A260" s="32" t="s">
        <v>1036</v>
      </c>
      <c r="B260" s="33">
        <v>15</v>
      </c>
      <c r="C260" s="33">
        <v>6</v>
      </c>
      <c r="D260" s="32" t="s">
        <v>1037</v>
      </c>
      <c r="E260" s="20"/>
      <c r="F260" s="37">
        <v>14.8</v>
      </c>
      <c r="G260" s="37">
        <f t="shared" si="8"/>
        <v>2.46666666666667</v>
      </c>
      <c r="H260" s="85" t="s">
        <v>1038</v>
      </c>
      <c r="I260" s="85" t="s">
        <v>1039</v>
      </c>
      <c r="J260" s="29">
        <v>224</v>
      </c>
      <c r="K260" s="30">
        <v>56</v>
      </c>
      <c r="L260" s="25" t="str">
        <f t="shared" si="9"/>
        <v/>
      </c>
    </row>
    <row r="261" spans="1:12">
      <c r="A261" s="32" t="s">
        <v>1040</v>
      </c>
      <c r="B261" s="33">
        <v>137</v>
      </c>
      <c r="C261" s="33">
        <v>12</v>
      </c>
      <c r="D261" s="32" t="s">
        <v>1041</v>
      </c>
      <c r="E261" s="20"/>
      <c r="F261" s="34">
        <v>7.8</v>
      </c>
      <c r="G261" s="34">
        <f t="shared" si="8"/>
        <v>0.65</v>
      </c>
      <c r="H261" s="85" t="s">
        <v>1042</v>
      </c>
      <c r="I261" s="85" t="s">
        <v>1043</v>
      </c>
      <c r="J261" s="29">
        <v>544</v>
      </c>
      <c r="K261" s="24">
        <v>136</v>
      </c>
      <c r="L261" s="25" t="str">
        <f t="shared" si="9"/>
        <v/>
      </c>
    </row>
    <row r="262" spans="1:12">
      <c r="A262" s="41" t="s">
        <v>1044</v>
      </c>
      <c r="B262" s="31">
        <v>188</v>
      </c>
      <c r="C262" s="30">
        <v>12</v>
      </c>
      <c r="D262" s="41" t="s">
        <v>1045</v>
      </c>
      <c r="E262" s="20"/>
      <c r="F262" s="48">
        <v>7.8</v>
      </c>
      <c r="G262" s="22">
        <f t="shared" si="8"/>
        <v>0.65</v>
      </c>
      <c r="H262" s="85" t="s">
        <v>1046</v>
      </c>
      <c r="I262" s="87" t="s">
        <v>1047</v>
      </c>
      <c r="J262" s="31">
        <v>544</v>
      </c>
      <c r="K262" s="31">
        <v>136</v>
      </c>
      <c r="L262" s="25" t="str">
        <f t="shared" si="9"/>
        <v/>
      </c>
    </row>
    <row r="263" spans="1:12">
      <c r="A263" s="41" t="s">
        <v>1048</v>
      </c>
      <c r="B263" s="31">
        <v>102</v>
      </c>
      <c r="C263" s="30">
        <v>12</v>
      </c>
      <c r="D263" s="41" t="s">
        <v>1049</v>
      </c>
      <c r="E263" s="30"/>
      <c r="F263" s="48">
        <v>7.8</v>
      </c>
      <c r="G263" s="48">
        <f t="shared" si="8"/>
        <v>0.65</v>
      </c>
      <c r="H263" s="85" t="s">
        <v>1050</v>
      </c>
      <c r="I263" s="87" t="s">
        <v>1051</v>
      </c>
      <c r="J263" s="31">
        <v>544</v>
      </c>
      <c r="K263" s="31">
        <v>136</v>
      </c>
      <c r="L263" s="25" t="str">
        <f t="shared" si="9"/>
        <v/>
      </c>
    </row>
    <row r="264" spans="1:12">
      <c r="A264" s="41" t="s">
        <v>1052</v>
      </c>
      <c r="B264" s="31">
        <v>222</v>
      </c>
      <c r="C264" s="30">
        <v>6</v>
      </c>
      <c r="D264" s="41" t="s">
        <v>1053</v>
      </c>
      <c r="E264" s="30"/>
      <c r="F264" s="48">
        <v>10.5</v>
      </c>
      <c r="G264" s="48">
        <f t="shared" si="8"/>
        <v>1.75</v>
      </c>
      <c r="H264" s="85" t="s">
        <v>1054</v>
      </c>
      <c r="I264" s="87" t="s">
        <v>1055</v>
      </c>
      <c r="J264" s="31">
        <v>360</v>
      </c>
      <c r="K264" s="31">
        <v>60</v>
      </c>
      <c r="L264" s="56" t="str">
        <f t="shared" si="9"/>
        <v/>
      </c>
    </row>
    <row r="265" spans="1:12">
      <c r="A265" s="41" t="s">
        <v>1056</v>
      </c>
      <c r="B265" s="31">
        <v>292</v>
      </c>
      <c r="C265" s="30">
        <v>6</v>
      </c>
      <c r="D265" s="41" t="s">
        <v>1057</v>
      </c>
      <c r="E265" s="30"/>
      <c r="F265" s="48">
        <v>10.5</v>
      </c>
      <c r="G265" s="48">
        <f t="shared" si="8"/>
        <v>1.75</v>
      </c>
      <c r="H265" s="85" t="s">
        <v>1058</v>
      </c>
      <c r="I265" s="87" t="s">
        <v>1059</v>
      </c>
      <c r="J265" s="31">
        <v>360</v>
      </c>
      <c r="K265" s="31">
        <v>60</v>
      </c>
      <c r="L265" s="56" t="str">
        <f t="shared" si="9"/>
        <v/>
      </c>
    </row>
    <row r="266" spans="1:12">
      <c r="A266" s="41" t="s">
        <v>1060</v>
      </c>
      <c r="B266" s="31">
        <v>194</v>
      </c>
      <c r="C266" s="30">
        <v>6</v>
      </c>
      <c r="D266" s="41" t="s">
        <v>1061</v>
      </c>
      <c r="E266" s="30"/>
      <c r="F266" s="48">
        <v>10.5</v>
      </c>
      <c r="G266" s="48">
        <f t="shared" si="8"/>
        <v>1.75</v>
      </c>
      <c r="H266" s="85" t="s">
        <v>1062</v>
      </c>
      <c r="I266" s="87" t="s">
        <v>1063</v>
      </c>
      <c r="J266" s="31">
        <v>360</v>
      </c>
      <c r="K266" s="31">
        <v>60</v>
      </c>
      <c r="L266" s="56" t="str">
        <f t="shared" si="9"/>
        <v/>
      </c>
    </row>
    <row r="267" spans="1:12">
      <c r="A267" s="41" t="s">
        <v>1064</v>
      </c>
      <c r="B267" s="31">
        <v>1644</v>
      </c>
      <c r="C267" s="30">
        <v>6</v>
      </c>
      <c r="D267" s="41" t="s">
        <v>1065</v>
      </c>
      <c r="E267" s="30"/>
      <c r="F267" s="48">
        <v>6</v>
      </c>
      <c r="G267" s="48">
        <f t="shared" si="8"/>
        <v>1</v>
      </c>
      <c r="H267" s="41">
        <v>59095361</v>
      </c>
      <c r="I267" s="87" t="s">
        <v>1066</v>
      </c>
      <c r="J267" s="31">
        <v>1089</v>
      </c>
      <c r="K267" s="36">
        <v>99</v>
      </c>
      <c r="L267" s="25" t="str">
        <f t="shared" si="9"/>
        <v/>
      </c>
    </row>
    <row r="268" spans="1:12">
      <c r="A268" s="32" t="s">
        <v>1067</v>
      </c>
      <c r="B268" s="33">
        <v>36</v>
      </c>
      <c r="C268" s="30">
        <v>6</v>
      </c>
      <c r="D268" s="32" t="s">
        <v>1068</v>
      </c>
      <c r="E268" s="20"/>
      <c r="F268" s="37">
        <v>6</v>
      </c>
      <c r="G268" s="38">
        <f t="shared" si="8"/>
        <v>1</v>
      </c>
      <c r="H268" s="85" t="s">
        <v>1069</v>
      </c>
      <c r="I268" s="85" t="s">
        <v>1070</v>
      </c>
      <c r="J268" s="29">
        <v>1089</v>
      </c>
      <c r="K268" s="36">
        <v>99</v>
      </c>
      <c r="L268" s="40" t="str">
        <f t="shared" si="9"/>
        <v/>
      </c>
    </row>
    <row r="269" spans="1:12">
      <c r="A269" s="41" t="s">
        <v>1071</v>
      </c>
      <c r="B269" s="31">
        <v>1094</v>
      </c>
      <c r="C269" s="30">
        <v>6</v>
      </c>
      <c r="D269" s="41" t="s">
        <v>1072</v>
      </c>
      <c r="E269" s="30"/>
      <c r="F269" s="48">
        <v>6</v>
      </c>
      <c r="G269" s="48">
        <f t="shared" si="8"/>
        <v>1</v>
      </c>
      <c r="H269" s="41">
        <v>59095385</v>
      </c>
      <c r="I269" s="87" t="s">
        <v>1073</v>
      </c>
      <c r="J269" s="31">
        <v>1089</v>
      </c>
      <c r="K269" s="36">
        <v>99</v>
      </c>
      <c r="L269" s="25" t="str">
        <f t="shared" si="9"/>
        <v/>
      </c>
    </row>
    <row r="270" spans="1:12">
      <c r="A270" s="41" t="s">
        <v>1074</v>
      </c>
      <c r="B270" s="31">
        <v>1358</v>
      </c>
      <c r="C270" s="30">
        <v>6</v>
      </c>
      <c r="D270" s="41" t="s">
        <v>1075</v>
      </c>
      <c r="E270" s="30"/>
      <c r="F270" s="48">
        <v>6</v>
      </c>
      <c r="G270" s="48">
        <f t="shared" si="8"/>
        <v>1</v>
      </c>
      <c r="H270" s="85" t="s">
        <v>1076</v>
      </c>
      <c r="I270" s="87" t="s">
        <v>1077</v>
      </c>
      <c r="J270" s="31">
        <v>1089</v>
      </c>
      <c r="K270" s="36">
        <v>99</v>
      </c>
      <c r="L270" s="25" t="str">
        <f t="shared" si="9"/>
        <v/>
      </c>
    </row>
    <row r="271" spans="1:12">
      <c r="A271" s="32" t="s">
        <v>1078</v>
      </c>
      <c r="B271" s="33">
        <v>1404</v>
      </c>
      <c r="C271" s="33">
        <v>6</v>
      </c>
      <c r="D271" s="32" t="s">
        <v>1079</v>
      </c>
      <c r="E271" s="29"/>
      <c r="F271" s="34">
        <v>6</v>
      </c>
      <c r="G271" s="34">
        <f t="shared" si="8"/>
        <v>1</v>
      </c>
      <c r="H271" s="85" t="s">
        <v>1080</v>
      </c>
      <c r="I271" s="85" t="s">
        <v>1081</v>
      </c>
      <c r="J271" s="29">
        <v>1089</v>
      </c>
      <c r="K271" s="36">
        <v>99</v>
      </c>
      <c r="L271" s="25" t="str">
        <f t="shared" si="9"/>
        <v/>
      </c>
    </row>
    <row r="272" spans="1:12">
      <c r="A272" s="32" t="s">
        <v>1082</v>
      </c>
      <c r="B272" s="33">
        <v>374</v>
      </c>
      <c r="C272" s="33">
        <v>6</v>
      </c>
      <c r="D272" s="32" t="s">
        <v>1083</v>
      </c>
      <c r="E272" s="29"/>
      <c r="F272" s="37">
        <v>6</v>
      </c>
      <c r="G272" s="37">
        <f t="shared" si="8"/>
        <v>1</v>
      </c>
      <c r="H272" s="55">
        <v>50120017</v>
      </c>
      <c r="I272" s="92" t="s">
        <v>1084</v>
      </c>
      <c r="J272" s="29">
        <v>640</v>
      </c>
      <c r="K272" s="36">
        <v>64</v>
      </c>
      <c r="L272" s="40" t="str">
        <f t="shared" si="9"/>
        <v/>
      </c>
    </row>
    <row r="273" spans="1:12">
      <c r="A273" s="32" t="s">
        <v>1085</v>
      </c>
      <c r="B273" s="33">
        <v>1100</v>
      </c>
      <c r="C273" s="33">
        <v>6</v>
      </c>
      <c r="D273" s="32" t="s">
        <v>1086</v>
      </c>
      <c r="E273" s="29"/>
      <c r="F273" s="34">
        <v>6</v>
      </c>
      <c r="G273" s="34">
        <f t="shared" si="8"/>
        <v>1</v>
      </c>
      <c r="H273" s="92" t="s">
        <v>1087</v>
      </c>
      <c r="I273" s="92" t="s">
        <v>1088</v>
      </c>
      <c r="J273" s="29">
        <v>1089</v>
      </c>
      <c r="K273" s="36">
        <v>99</v>
      </c>
      <c r="L273" s="40" t="str">
        <f t="shared" si="9"/>
        <v/>
      </c>
    </row>
    <row r="274" spans="1:12">
      <c r="A274" s="32" t="s">
        <v>1089</v>
      </c>
      <c r="B274" s="33">
        <v>1469</v>
      </c>
      <c r="C274" s="33">
        <v>6</v>
      </c>
      <c r="D274" s="32" t="s">
        <v>1090</v>
      </c>
      <c r="E274" s="29"/>
      <c r="F274" s="34">
        <v>6</v>
      </c>
      <c r="G274" s="34">
        <f t="shared" si="8"/>
        <v>1</v>
      </c>
      <c r="H274" s="55">
        <v>59099017</v>
      </c>
      <c r="I274" s="92" t="s">
        <v>1091</v>
      </c>
      <c r="J274" s="29">
        <v>1089</v>
      </c>
      <c r="K274" s="36">
        <v>99</v>
      </c>
      <c r="L274" s="40" t="str">
        <f t="shared" si="9"/>
        <v/>
      </c>
    </row>
    <row r="275" spans="1:12">
      <c r="A275" s="32" t="s">
        <v>1092</v>
      </c>
      <c r="B275" s="33">
        <v>256</v>
      </c>
      <c r="C275" s="33">
        <v>6</v>
      </c>
      <c r="D275" s="32" t="s">
        <v>1093</v>
      </c>
      <c r="E275" s="29"/>
      <c r="F275" s="34">
        <v>8.4</v>
      </c>
      <c r="G275" s="34">
        <f t="shared" si="8"/>
        <v>1.4</v>
      </c>
      <c r="H275" s="55">
        <v>8714100184950</v>
      </c>
      <c r="I275" s="92" t="s">
        <v>1094</v>
      </c>
      <c r="J275" s="29">
        <v>294</v>
      </c>
      <c r="K275" s="36">
        <v>42</v>
      </c>
      <c r="L275" s="40" t="str">
        <f t="shared" si="9"/>
        <v/>
      </c>
    </row>
    <row r="276" spans="1:12">
      <c r="A276" s="32" t="s">
        <v>1095</v>
      </c>
      <c r="B276" s="33">
        <v>12</v>
      </c>
      <c r="C276" s="33">
        <v>6</v>
      </c>
      <c r="D276" s="32" t="s">
        <v>1096</v>
      </c>
      <c r="E276" s="29"/>
      <c r="F276" s="34">
        <v>8.4</v>
      </c>
      <c r="G276" s="34">
        <f t="shared" si="8"/>
        <v>1.4</v>
      </c>
      <c r="H276" s="92" t="s">
        <v>1097</v>
      </c>
      <c r="I276" s="92" t="s">
        <v>1098</v>
      </c>
      <c r="J276" s="29">
        <v>294</v>
      </c>
      <c r="K276" s="36">
        <v>42</v>
      </c>
      <c r="L276" s="40" t="str">
        <f t="shared" si="9"/>
        <v/>
      </c>
    </row>
    <row r="277" spans="1:12">
      <c r="A277" s="32" t="s">
        <v>1099</v>
      </c>
      <c r="B277" s="33">
        <v>180</v>
      </c>
      <c r="C277" s="33">
        <v>6</v>
      </c>
      <c r="D277" s="32" t="s">
        <v>1100</v>
      </c>
      <c r="E277" s="29"/>
      <c r="F277" s="34">
        <v>8.4</v>
      </c>
      <c r="G277" s="34">
        <f t="shared" si="8"/>
        <v>1.4</v>
      </c>
      <c r="H277" s="92" t="s">
        <v>1101</v>
      </c>
      <c r="I277" s="92" t="s">
        <v>1102</v>
      </c>
      <c r="J277" s="29">
        <v>294</v>
      </c>
      <c r="K277" s="36">
        <v>42</v>
      </c>
      <c r="L277" s="40" t="str">
        <f t="shared" si="9"/>
        <v/>
      </c>
    </row>
    <row r="278" spans="1:12">
      <c r="A278" s="32" t="s">
        <v>1103</v>
      </c>
      <c r="B278" s="33">
        <v>100</v>
      </c>
      <c r="C278" s="33">
        <v>6</v>
      </c>
      <c r="D278" s="32" t="s">
        <v>1104</v>
      </c>
      <c r="E278" s="29"/>
      <c r="F278" s="34">
        <v>8.4</v>
      </c>
      <c r="G278" s="34">
        <f t="shared" si="8"/>
        <v>1.4</v>
      </c>
      <c r="H278" s="92" t="s">
        <v>1105</v>
      </c>
      <c r="I278" s="92" t="s">
        <v>1106</v>
      </c>
      <c r="J278" s="29">
        <v>294</v>
      </c>
      <c r="K278" s="36">
        <v>42</v>
      </c>
      <c r="L278" s="40" t="str">
        <f t="shared" si="9"/>
        <v/>
      </c>
    </row>
    <row r="279" spans="1:12">
      <c r="A279" s="32" t="s">
        <v>1107</v>
      </c>
      <c r="B279" s="33">
        <v>132</v>
      </c>
      <c r="C279" s="33">
        <v>6</v>
      </c>
      <c r="D279" s="32" t="s">
        <v>1108</v>
      </c>
      <c r="E279" s="20"/>
      <c r="F279" s="34">
        <v>6.6</v>
      </c>
      <c r="G279" s="22">
        <f t="shared" si="8"/>
        <v>1.1</v>
      </c>
      <c r="H279" s="85" t="s">
        <v>1109</v>
      </c>
      <c r="I279" s="85" t="s">
        <v>1110</v>
      </c>
      <c r="J279" s="29">
        <v>371</v>
      </c>
      <c r="K279" s="36">
        <v>53</v>
      </c>
      <c r="L279" s="25" t="str">
        <f t="shared" si="9"/>
        <v/>
      </c>
    </row>
    <row r="280" spans="1:12">
      <c r="A280" s="32" t="s">
        <v>1111</v>
      </c>
      <c r="B280" s="33">
        <v>320</v>
      </c>
      <c r="C280" s="33">
        <v>6</v>
      </c>
      <c r="D280" s="32" t="s">
        <v>1112</v>
      </c>
      <c r="E280" s="20"/>
      <c r="F280" s="34">
        <v>8.8</v>
      </c>
      <c r="G280" s="22">
        <f t="shared" si="8"/>
        <v>1.46666666666667</v>
      </c>
      <c r="H280" s="86" t="s">
        <v>1113</v>
      </c>
      <c r="I280" s="86" t="s">
        <v>1114</v>
      </c>
      <c r="J280" s="29">
        <v>315</v>
      </c>
      <c r="K280" s="30">
        <v>45</v>
      </c>
      <c r="L280" s="25" t="str">
        <f t="shared" si="9"/>
        <v/>
      </c>
    </row>
    <row r="281" spans="1:12">
      <c r="A281" s="32" t="s">
        <v>1115</v>
      </c>
      <c r="B281" s="33">
        <v>267</v>
      </c>
      <c r="C281" s="33">
        <v>6</v>
      </c>
      <c r="D281" s="32" t="s">
        <v>1116</v>
      </c>
      <c r="E281" s="20"/>
      <c r="F281" s="34">
        <v>8.8</v>
      </c>
      <c r="G281" s="22">
        <f t="shared" si="8"/>
        <v>1.46666666666667</v>
      </c>
      <c r="H281" s="86" t="s">
        <v>1117</v>
      </c>
      <c r="I281" s="86" t="s">
        <v>1118</v>
      </c>
      <c r="J281" s="29">
        <v>315</v>
      </c>
      <c r="K281" s="30">
        <v>45</v>
      </c>
      <c r="L281" s="25" t="str">
        <f t="shared" si="9"/>
        <v/>
      </c>
    </row>
    <row r="282" spans="1:12">
      <c r="A282" s="32" t="s">
        <v>1119</v>
      </c>
      <c r="B282" s="33">
        <v>207</v>
      </c>
      <c r="C282" s="33">
        <v>6</v>
      </c>
      <c r="D282" s="32" t="s">
        <v>1120</v>
      </c>
      <c r="E282" s="20"/>
      <c r="F282" s="34">
        <v>8.8</v>
      </c>
      <c r="G282" s="22">
        <f t="shared" si="8"/>
        <v>1.46666666666667</v>
      </c>
      <c r="H282" s="86" t="s">
        <v>1121</v>
      </c>
      <c r="I282" s="86" t="s">
        <v>1122</v>
      </c>
      <c r="J282" s="29">
        <v>315</v>
      </c>
      <c r="K282" s="30">
        <v>45</v>
      </c>
      <c r="L282" s="25" t="str">
        <f t="shared" si="9"/>
        <v/>
      </c>
    </row>
    <row r="283" spans="1:12">
      <c r="A283" s="32" t="s">
        <v>1123</v>
      </c>
      <c r="B283" s="33">
        <v>6</v>
      </c>
      <c r="C283" s="33">
        <v>6</v>
      </c>
      <c r="D283" s="32" t="s">
        <v>1124</v>
      </c>
      <c r="E283" s="20"/>
      <c r="F283" s="34">
        <v>8.8</v>
      </c>
      <c r="G283" s="22">
        <f t="shared" si="8"/>
        <v>1.46666666666667</v>
      </c>
      <c r="H283" s="86" t="s">
        <v>1125</v>
      </c>
      <c r="I283" s="86" t="s">
        <v>1126</v>
      </c>
      <c r="J283" s="29">
        <v>315</v>
      </c>
      <c r="K283" s="30">
        <v>45</v>
      </c>
      <c r="L283" s="25" t="str">
        <f t="shared" si="9"/>
        <v/>
      </c>
    </row>
    <row r="284" spans="1:12">
      <c r="A284" s="32" t="s">
        <v>1127</v>
      </c>
      <c r="B284" s="33">
        <v>760</v>
      </c>
      <c r="C284" s="33">
        <v>6</v>
      </c>
      <c r="D284" s="32" t="s">
        <v>1128</v>
      </c>
      <c r="E284" s="20"/>
      <c r="F284" s="34">
        <v>7.8</v>
      </c>
      <c r="G284" s="22">
        <f t="shared" si="8"/>
        <v>1.3</v>
      </c>
      <c r="H284" s="85" t="s">
        <v>1129</v>
      </c>
      <c r="I284" s="85" t="s">
        <v>1130</v>
      </c>
      <c r="J284" s="29"/>
      <c r="K284" s="30"/>
      <c r="L284" s="25" t="str">
        <f t="shared" si="9"/>
        <v/>
      </c>
    </row>
    <row r="285" spans="1:12">
      <c r="A285" s="32" t="s">
        <v>1131</v>
      </c>
      <c r="B285" s="33">
        <v>163</v>
      </c>
      <c r="C285" s="33">
        <v>6</v>
      </c>
      <c r="D285" s="32" t="s">
        <v>1132</v>
      </c>
      <c r="E285" s="20"/>
      <c r="F285" s="34">
        <v>7.8</v>
      </c>
      <c r="G285" s="22">
        <f t="shared" si="8"/>
        <v>1.3</v>
      </c>
      <c r="H285" s="85" t="s">
        <v>1133</v>
      </c>
      <c r="I285" s="85" t="s">
        <v>1134</v>
      </c>
      <c r="J285" s="29"/>
      <c r="K285" s="30"/>
      <c r="L285" s="25" t="str">
        <f t="shared" si="9"/>
        <v/>
      </c>
    </row>
    <row r="286" spans="1:12">
      <c r="A286" s="32" t="s">
        <v>1135</v>
      </c>
      <c r="B286" s="33">
        <v>550</v>
      </c>
      <c r="C286" s="33">
        <v>6</v>
      </c>
      <c r="D286" s="32" t="s">
        <v>1136</v>
      </c>
      <c r="E286" s="20"/>
      <c r="F286" s="34">
        <v>8.4</v>
      </c>
      <c r="G286" s="22">
        <f t="shared" si="8"/>
        <v>1.4</v>
      </c>
      <c r="H286" s="85" t="s">
        <v>1137</v>
      </c>
      <c r="I286" s="85" t="s">
        <v>1138</v>
      </c>
      <c r="J286" s="29">
        <v>550</v>
      </c>
      <c r="K286" s="30">
        <v>55</v>
      </c>
      <c r="L286" s="25" t="str">
        <f t="shared" si="9"/>
        <v/>
      </c>
    </row>
    <row r="287" spans="1:12">
      <c r="A287" s="32" t="s">
        <v>1139</v>
      </c>
      <c r="B287" s="33">
        <v>134</v>
      </c>
      <c r="C287" s="33">
        <v>6</v>
      </c>
      <c r="D287" s="32" t="s">
        <v>1140</v>
      </c>
      <c r="E287" s="29"/>
      <c r="F287" s="37">
        <v>8.08</v>
      </c>
      <c r="G287" s="37">
        <f t="shared" si="8"/>
        <v>1.34666666666667</v>
      </c>
      <c r="H287" s="85" t="s">
        <v>1141</v>
      </c>
      <c r="I287" s="85" t="s">
        <v>1142</v>
      </c>
      <c r="J287" s="29">
        <v>560</v>
      </c>
      <c r="K287" s="30">
        <v>80</v>
      </c>
      <c r="L287" s="40" t="str">
        <f t="shared" si="9"/>
        <v/>
      </c>
    </row>
    <row r="288" spans="1:12">
      <c r="A288" s="32" t="s">
        <v>1143</v>
      </c>
      <c r="B288" s="33">
        <v>638</v>
      </c>
      <c r="C288" s="33">
        <v>6</v>
      </c>
      <c r="D288" s="32" t="s">
        <v>1144</v>
      </c>
      <c r="E288" s="20"/>
      <c r="F288" s="34">
        <v>8.08</v>
      </c>
      <c r="G288" s="34">
        <f t="shared" si="8"/>
        <v>1.34666666666667</v>
      </c>
      <c r="H288" s="85" t="s">
        <v>1145</v>
      </c>
      <c r="I288" s="85" t="s">
        <v>1146</v>
      </c>
      <c r="J288" s="29">
        <v>560</v>
      </c>
      <c r="K288" s="36">
        <v>80</v>
      </c>
      <c r="L288" s="25" t="str">
        <f t="shared" si="9"/>
        <v/>
      </c>
    </row>
    <row r="289" spans="1:12">
      <c r="A289" s="32" t="s">
        <v>1147</v>
      </c>
      <c r="B289" s="33">
        <v>0</v>
      </c>
      <c r="C289" s="33">
        <v>6</v>
      </c>
      <c r="D289" s="32" t="s">
        <v>1148</v>
      </c>
      <c r="E289" s="20"/>
      <c r="F289" s="34">
        <v>8.08</v>
      </c>
      <c r="G289" s="34">
        <f t="shared" si="8"/>
        <v>1.34666666666667</v>
      </c>
      <c r="H289" s="85" t="s">
        <v>1149</v>
      </c>
      <c r="I289" s="85" t="s">
        <v>1150</v>
      </c>
      <c r="J289" s="29">
        <v>560</v>
      </c>
      <c r="K289" s="36">
        <v>80</v>
      </c>
      <c r="L289" s="25" t="str">
        <f t="shared" si="9"/>
        <v/>
      </c>
    </row>
    <row r="290" spans="1:12">
      <c r="A290" s="32" t="s">
        <v>1151</v>
      </c>
      <c r="B290" s="33">
        <v>922</v>
      </c>
      <c r="C290" s="33">
        <v>6</v>
      </c>
      <c r="D290" s="32" t="s">
        <v>1152</v>
      </c>
      <c r="E290" s="20"/>
      <c r="F290" s="34">
        <v>8.08</v>
      </c>
      <c r="G290" s="34">
        <f t="shared" si="8"/>
        <v>1.34666666666667</v>
      </c>
      <c r="H290" s="85" t="s">
        <v>1153</v>
      </c>
      <c r="I290" s="85" t="s">
        <v>1154</v>
      </c>
      <c r="J290" s="29">
        <v>560</v>
      </c>
      <c r="K290" s="36">
        <v>80</v>
      </c>
      <c r="L290" s="25" t="str">
        <f t="shared" si="9"/>
        <v/>
      </c>
    </row>
    <row r="291" spans="1:12">
      <c r="A291" s="32" t="s">
        <v>1155</v>
      </c>
      <c r="B291" s="33">
        <v>506</v>
      </c>
      <c r="C291" s="33">
        <v>6</v>
      </c>
      <c r="D291" s="32" t="s">
        <v>1156</v>
      </c>
      <c r="E291" s="20"/>
      <c r="F291" s="34">
        <v>8.08</v>
      </c>
      <c r="G291" s="34">
        <f t="shared" si="8"/>
        <v>1.34666666666667</v>
      </c>
      <c r="H291" s="85" t="s">
        <v>1157</v>
      </c>
      <c r="I291" s="85" t="s">
        <v>1158</v>
      </c>
      <c r="J291" s="29">
        <v>560</v>
      </c>
      <c r="K291" s="36">
        <v>80</v>
      </c>
      <c r="L291" s="25" t="str">
        <f t="shared" si="9"/>
        <v/>
      </c>
    </row>
    <row r="292" spans="1:12">
      <c r="A292" s="32" t="s">
        <v>1159</v>
      </c>
      <c r="B292" s="33">
        <v>872</v>
      </c>
      <c r="C292" s="33">
        <v>6</v>
      </c>
      <c r="D292" s="32" t="s">
        <v>1160</v>
      </c>
      <c r="E292" s="20"/>
      <c r="F292" s="37">
        <v>8.08</v>
      </c>
      <c r="G292" s="37">
        <f t="shared" si="8"/>
        <v>1.34666666666667</v>
      </c>
      <c r="H292" s="85" t="s">
        <v>1161</v>
      </c>
      <c r="I292" s="85" t="s">
        <v>1162</v>
      </c>
      <c r="J292" s="29">
        <v>560</v>
      </c>
      <c r="K292" s="36">
        <v>80</v>
      </c>
      <c r="L292" s="25" t="str">
        <f t="shared" si="9"/>
        <v/>
      </c>
    </row>
    <row r="293" spans="1:12">
      <c r="A293" s="32" t="s">
        <v>1163</v>
      </c>
      <c r="B293" s="33">
        <v>29</v>
      </c>
      <c r="C293" s="33">
        <v>6</v>
      </c>
      <c r="D293" s="32" t="s">
        <v>1164</v>
      </c>
      <c r="E293" s="20"/>
      <c r="F293" s="34">
        <v>8.08</v>
      </c>
      <c r="G293" s="34">
        <f t="shared" si="8"/>
        <v>1.34666666666667</v>
      </c>
      <c r="H293" s="85" t="s">
        <v>1165</v>
      </c>
      <c r="I293" s="85" t="s">
        <v>1166</v>
      </c>
      <c r="J293" s="29">
        <v>560</v>
      </c>
      <c r="K293" s="36">
        <v>80</v>
      </c>
      <c r="L293" s="25" t="str">
        <f t="shared" si="9"/>
        <v/>
      </c>
    </row>
    <row r="294" spans="1:12">
      <c r="A294" s="32" t="s">
        <v>1167</v>
      </c>
      <c r="B294" s="33">
        <v>0</v>
      </c>
      <c r="C294" s="33">
        <v>6</v>
      </c>
      <c r="D294" s="32" t="s">
        <v>1168</v>
      </c>
      <c r="E294" s="20"/>
      <c r="F294" s="34">
        <v>8.08</v>
      </c>
      <c r="G294" s="34">
        <f t="shared" si="8"/>
        <v>1.34666666666667</v>
      </c>
      <c r="H294" s="85" t="s">
        <v>1169</v>
      </c>
      <c r="I294" s="85" t="s">
        <v>1170</v>
      </c>
      <c r="J294" s="29">
        <v>560</v>
      </c>
      <c r="K294" s="36">
        <v>80</v>
      </c>
      <c r="L294" s="25" t="str">
        <f t="shared" si="9"/>
        <v/>
      </c>
    </row>
    <row r="295" spans="1:12">
      <c r="A295" s="32" t="s">
        <v>1171</v>
      </c>
      <c r="B295" s="33">
        <v>18</v>
      </c>
      <c r="C295" s="33">
        <v>6</v>
      </c>
      <c r="D295" s="32" t="s">
        <v>1172</v>
      </c>
      <c r="E295" s="20"/>
      <c r="F295" s="34">
        <v>8.08</v>
      </c>
      <c r="G295" s="34">
        <f t="shared" si="8"/>
        <v>1.34666666666667</v>
      </c>
      <c r="H295" s="85" t="s">
        <v>1173</v>
      </c>
      <c r="I295" s="85" t="s">
        <v>1174</v>
      </c>
      <c r="J295" s="29">
        <v>560</v>
      </c>
      <c r="K295" s="36">
        <v>80</v>
      </c>
      <c r="L295" s="25" t="str">
        <f t="shared" si="9"/>
        <v/>
      </c>
    </row>
    <row r="296" spans="1:12">
      <c r="A296" s="32" t="s">
        <v>1175</v>
      </c>
      <c r="B296" s="33">
        <v>52</v>
      </c>
      <c r="C296" s="33">
        <v>6</v>
      </c>
      <c r="D296" s="32" t="s">
        <v>1176</v>
      </c>
      <c r="E296" s="20"/>
      <c r="F296" s="34">
        <v>8.08</v>
      </c>
      <c r="G296" s="34">
        <f t="shared" si="8"/>
        <v>1.34666666666667</v>
      </c>
      <c r="H296" s="85" t="s">
        <v>1177</v>
      </c>
      <c r="I296" s="85" t="s">
        <v>1178</v>
      </c>
      <c r="J296" s="29">
        <v>560</v>
      </c>
      <c r="K296" s="36">
        <v>80</v>
      </c>
      <c r="L296" s="25" t="str">
        <f t="shared" si="9"/>
        <v/>
      </c>
    </row>
    <row r="297" spans="1:12">
      <c r="A297" s="32" t="s">
        <v>1179</v>
      </c>
      <c r="B297" s="33">
        <v>62</v>
      </c>
      <c r="C297" s="33">
        <v>6</v>
      </c>
      <c r="D297" s="32" t="s">
        <v>1180</v>
      </c>
      <c r="E297" s="20"/>
      <c r="F297" s="34">
        <v>8.08</v>
      </c>
      <c r="G297" s="34">
        <f t="shared" si="8"/>
        <v>1.34666666666667</v>
      </c>
      <c r="H297" s="85" t="s">
        <v>1181</v>
      </c>
      <c r="I297" s="85" t="s">
        <v>1182</v>
      </c>
      <c r="J297" s="29">
        <v>560</v>
      </c>
      <c r="K297" s="36">
        <v>80</v>
      </c>
      <c r="L297" s="25" t="str">
        <f t="shared" si="9"/>
        <v/>
      </c>
    </row>
    <row r="298" spans="1:12">
      <c r="A298" s="32" t="s">
        <v>1183</v>
      </c>
      <c r="B298" s="33">
        <v>186</v>
      </c>
      <c r="C298" s="33">
        <v>6</v>
      </c>
      <c r="D298" s="32" t="s">
        <v>1184</v>
      </c>
      <c r="E298" s="20"/>
      <c r="F298" s="34">
        <v>8.08</v>
      </c>
      <c r="G298" s="34">
        <f t="shared" si="8"/>
        <v>1.34666666666667</v>
      </c>
      <c r="H298" s="85" t="s">
        <v>1185</v>
      </c>
      <c r="I298" s="85" t="s">
        <v>1186</v>
      </c>
      <c r="J298" s="29">
        <v>560</v>
      </c>
      <c r="K298" s="36">
        <v>80</v>
      </c>
      <c r="L298" s="25" t="str">
        <f t="shared" si="9"/>
        <v/>
      </c>
    </row>
    <row r="299" spans="1:12">
      <c r="A299" s="32" t="s">
        <v>1187</v>
      </c>
      <c r="B299" s="33">
        <v>53</v>
      </c>
      <c r="C299" s="33">
        <v>6</v>
      </c>
      <c r="D299" s="32" t="s">
        <v>1188</v>
      </c>
      <c r="E299" s="20"/>
      <c r="F299" s="34">
        <v>8.08</v>
      </c>
      <c r="G299" s="34">
        <f t="shared" si="8"/>
        <v>1.34666666666667</v>
      </c>
      <c r="H299" s="85" t="s">
        <v>1189</v>
      </c>
      <c r="I299" s="85" t="s">
        <v>1190</v>
      </c>
      <c r="J299" s="29">
        <v>560</v>
      </c>
      <c r="K299" s="36">
        <v>80</v>
      </c>
      <c r="L299" s="25" t="str">
        <f t="shared" si="9"/>
        <v/>
      </c>
    </row>
    <row r="300" spans="1:12">
      <c r="A300" s="32" t="s">
        <v>1191</v>
      </c>
      <c r="B300" s="33">
        <v>337</v>
      </c>
      <c r="C300" s="33">
        <v>6</v>
      </c>
      <c r="D300" s="32" t="s">
        <v>1192</v>
      </c>
      <c r="E300" s="20"/>
      <c r="F300" s="37">
        <v>8.08</v>
      </c>
      <c r="G300" s="37">
        <f t="shared" si="8"/>
        <v>1.34666666666667</v>
      </c>
      <c r="H300" s="85" t="s">
        <v>1193</v>
      </c>
      <c r="I300" s="85" t="s">
        <v>1194</v>
      </c>
      <c r="J300" s="29">
        <v>560</v>
      </c>
      <c r="K300" s="36">
        <v>80</v>
      </c>
      <c r="L300" s="25" t="str">
        <f t="shared" si="9"/>
        <v/>
      </c>
    </row>
    <row r="301" spans="1:12">
      <c r="A301" s="32" t="s">
        <v>1195</v>
      </c>
      <c r="B301" s="33">
        <v>261</v>
      </c>
      <c r="C301" s="33">
        <v>6</v>
      </c>
      <c r="D301" s="32" t="s">
        <v>1196</v>
      </c>
      <c r="E301" s="20"/>
      <c r="F301" s="34">
        <v>8.08</v>
      </c>
      <c r="G301" s="34">
        <f t="shared" si="8"/>
        <v>1.34666666666667</v>
      </c>
      <c r="H301" s="85" t="s">
        <v>1197</v>
      </c>
      <c r="I301" s="85" t="s">
        <v>1198</v>
      </c>
      <c r="J301" s="29">
        <v>560</v>
      </c>
      <c r="K301" s="36">
        <v>80</v>
      </c>
      <c r="L301" s="25" t="str">
        <f t="shared" si="9"/>
        <v/>
      </c>
    </row>
    <row r="302" spans="1:12">
      <c r="A302" s="32" t="s">
        <v>1199</v>
      </c>
      <c r="B302" s="33">
        <v>2</v>
      </c>
      <c r="C302" s="33">
        <v>6</v>
      </c>
      <c r="D302" s="32" t="s">
        <v>1200</v>
      </c>
      <c r="E302" s="20"/>
      <c r="F302" s="34">
        <v>8.08</v>
      </c>
      <c r="G302" s="34">
        <f t="shared" si="8"/>
        <v>1.34666666666667</v>
      </c>
      <c r="H302" s="85" t="s">
        <v>1201</v>
      </c>
      <c r="I302" s="85" t="s">
        <v>1202</v>
      </c>
      <c r="J302" s="29">
        <v>560</v>
      </c>
      <c r="K302" s="36">
        <v>80</v>
      </c>
      <c r="L302" s="25" t="str">
        <f t="shared" si="9"/>
        <v/>
      </c>
    </row>
    <row r="303" spans="1:12">
      <c r="A303" s="32" t="s">
        <v>1203</v>
      </c>
      <c r="B303" s="33">
        <v>5</v>
      </c>
      <c r="C303" s="33">
        <v>6</v>
      </c>
      <c r="D303" s="32" t="s">
        <v>1204</v>
      </c>
      <c r="E303" s="20"/>
      <c r="F303" s="34">
        <v>9.4</v>
      </c>
      <c r="G303" s="34">
        <f t="shared" si="8"/>
        <v>1.56666666666667</v>
      </c>
      <c r="H303" s="85" t="s">
        <v>1205</v>
      </c>
      <c r="I303" s="85" t="s">
        <v>1206</v>
      </c>
      <c r="J303" s="29">
        <v>400</v>
      </c>
      <c r="K303" s="36">
        <v>80</v>
      </c>
      <c r="L303" s="25" t="str">
        <f t="shared" si="9"/>
        <v/>
      </c>
    </row>
    <row r="304" spans="1:12">
      <c r="A304" s="32" t="s">
        <v>1207</v>
      </c>
      <c r="B304" s="33">
        <v>82</v>
      </c>
      <c r="C304" s="33">
        <v>6</v>
      </c>
      <c r="D304" s="32" t="s">
        <v>1208</v>
      </c>
      <c r="E304" s="20"/>
      <c r="F304" s="34">
        <v>9.4</v>
      </c>
      <c r="G304" s="34">
        <f t="shared" si="8"/>
        <v>1.56666666666667</v>
      </c>
      <c r="H304" s="85" t="s">
        <v>1209</v>
      </c>
      <c r="I304" s="85" t="s">
        <v>1210</v>
      </c>
      <c r="J304" s="29">
        <v>400</v>
      </c>
      <c r="K304" s="36">
        <v>80</v>
      </c>
      <c r="L304" s="25" t="str">
        <f t="shared" si="9"/>
        <v/>
      </c>
    </row>
    <row r="305" spans="1:12">
      <c r="A305" s="32" t="s">
        <v>1211</v>
      </c>
      <c r="B305" s="33">
        <v>343</v>
      </c>
      <c r="C305" s="33">
        <v>6</v>
      </c>
      <c r="D305" s="32" t="s">
        <v>1212</v>
      </c>
      <c r="E305" s="29"/>
      <c r="F305" s="34">
        <v>11.4</v>
      </c>
      <c r="G305" s="34">
        <f t="shared" si="8"/>
        <v>1.9</v>
      </c>
      <c r="H305" s="93" t="s">
        <v>1213</v>
      </c>
      <c r="I305" s="85" t="s">
        <v>1214</v>
      </c>
      <c r="J305" s="29">
        <v>330</v>
      </c>
      <c r="K305" s="36">
        <v>66</v>
      </c>
      <c r="L305" s="40" t="str">
        <f t="shared" si="9"/>
        <v/>
      </c>
    </row>
    <row r="306" spans="1:12">
      <c r="A306" s="32" t="s">
        <v>1215</v>
      </c>
      <c r="B306" s="33">
        <v>343</v>
      </c>
      <c r="C306" s="33">
        <v>6</v>
      </c>
      <c r="D306" s="32" t="s">
        <v>1216</v>
      </c>
      <c r="E306" s="29"/>
      <c r="F306" s="34">
        <v>11.4</v>
      </c>
      <c r="G306" s="34">
        <f t="shared" si="8"/>
        <v>1.9</v>
      </c>
      <c r="H306" s="93" t="s">
        <v>1217</v>
      </c>
      <c r="I306" s="85" t="s">
        <v>1218</v>
      </c>
      <c r="J306" s="29">
        <v>330</v>
      </c>
      <c r="K306" s="36">
        <v>66</v>
      </c>
      <c r="L306" s="40" t="str">
        <f t="shared" si="9"/>
        <v/>
      </c>
    </row>
    <row r="307" spans="1:12">
      <c r="A307" s="32" t="s">
        <v>1219</v>
      </c>
      <c r="B307" s="33">
        <v>151</v>
      </c>
      <c r="C307" s="33">
        <v>6</v>
      </c>
      <c r="D307" s="32" t="s">
        <v>1220</v>
      </c>
      <c r="E307" s="29"/>
      <c r="F307" s="34">
        <v>11.4</v>
      </c>
      <c r="G307" s="34">
        <f t="shared" si="8"/>
        <v>1.9</v>
      </c>
      <c r="H307" s="93" t="s">
        <v>1221</v>
      </c>
      <c r="I307" s="85" t="s">
        <v>1222</v>
      </c>
      <c r="J307" s="29">
        <v>330</v>
      </c>
      <c r="K307" s="36">
        <v>66</v>
      </c>
      <c r="L307" s="40" t="str">
        <f t="shared" si="9"/>
        <v/>
      </c>
    </row>
    <row r="308" spans="1:12">
      <c r="A308" s="32" t="s">
        <v>1223</v>
      </c>
      <c r="B308" s="33">
        <v>377</v>
      </c>
      <c r="C308" s="33">
        <v>6</v>
      </c>
      <c r="D308" s="32" t="s">
        <v>1224</v>
      </c>
      <c r="E308" s="29"/>
      <c r="F308" s="34">
        <v>11.4</v>
      </c>
      <c r="G308" s="34">
        <f t="shared" si="8"/>
        <v>1.9</v>
      </c>
      <c r="H308" s="93" t="s">
        <v>1225</v>
      </c>
      <c r="I308" s="85" t="s">
        <v>1226</v>
      </c>
      <c r="J308" s="29">
        <v>330</v>
      </c>
      <c r="K308" s="36">
        <v>66</v>
      </c>
      <c r="L308" s="40" t="str">
        <f t="shared" si="9"/>
        <v/>
      </c>
    </row>
    <row r="309" spans="1:12">
      <c r="A309" s="32" t="s">
        <v>1227</v>
      </c>
      <c r="B309" s="33">
        <v>507</v>
      </c>
      <c r="C309" s="33">
        <v>6</v>
      </c>
      <c r="D309" s="32" t="s">
        <v>1228</v>
      </c>
      <c r="E309" s="29"/>
      <c r="F309" s="34">
        <v>11.4</v>
      </c>
      <c r="G309" s="34">
        <f t="shared" si="8"/>
        <v>1.9</v>
      </c>
      <c r="H309" s="85" t="s">
        <v>1229</v>
      </c>
      <c r="I309" s="85" t="s">
        <v>1230</v>
      </c>
      <c r="J309" s="29">
        <v>330</v>
      </c>
      <c r="K309" s="36">
        <v>66</v>
      </c>
      <c r="L309" s="40" t="str">
        <f t="shared" si="9"/>
        <v/>
      </c>
    </row>
    <row r="310" spans="1:12">
      <c r="A310" s="32" t="s">
        <v>1231</v>
      </c>
      <c r="B310" s="33">
        <v>178</v>
      </c>
      <c r="C310" s="33">
        <v>6</v>
      </c>
      <c r="D310" s="32" t="s">
        <v>1232</v>
      </c>
      <c r="E310" s="29"/>
      <c r="F310" s="34">
        <v>11.4</v>
      </c>
      <c r="G310" s="34">
        <f t="shared" si="8"/>
        <v>1.9</v>
      </c>
      <c r="H310" s="85" t="s">
        <v>1233</v>
      </c>
      <c r="I310" s="85" t="s">
        <v>1234</v>
      </c>
      <c r="J310" s="29">
        <v>330</v>
      </c>
      <c r="K310" s="36">
        <v>66</v>
      </c>
      <c r="L310" s="40" t="str">
        <f t="shared" si="9"/>
        <v/>
      </c>
    </row>
    <row r="311" spans="1:12">
      <c r="A311" s="32" t="s">
        <v>1235</v>
      </c>
      <c r="B311" s="33">
        <v>164</v>
      </c>
      <c r="C311" s="33">
        <v>6</v>
      </c>
      <c r="D311" s="32" t="s">
        <v>1236</v>
      </c>
      <c r="E311" s="29"/>
      <c r="F311" s="34">
        <v>11.4</v>
      </c>
      <c r="G311" s="34">
        <f t="shared" si="8"/>
        <v>1.9</v>
      </c>
      <c r="H311" s="93" t="s">
        <v>1237</v>
      </c>
      <c r="I311" s="85" t="s">
        <v>1238</v>
      </c>
      <c r="J311" s="29">
        <v>330</v>
      </c>
      <c r="K311" s="36">
        <v>66</v>
      </c>
      <c r="L311" s="40" t="str">
        <f t="shared" si="9"/>
        <v/>
      </c>
    </row>
    <row r="312" spans="1:12">
      <c r="A312" s="32" t="s">
        <v>1239</v>
      </c>
      <c r="B312" s="33">
        <v>472</v>
      </c>
      <c r="C312" s="33">
        <v>6</v>
      </c>
      <c r="D312" s="32" t="s">
        <v>1240</v>
      </c>
      <c r="E312" s="29"/>
      <c r="F312" s="34">
        <v>11.4</v>
      </c>
      <c r="G312" s="34">
        <f t="shared" si="8"/>
        <v>1.9</v>
      </c>
      <c r="H312" s="93" t="s">
        <v>1241</v>
      </c>
      <c r="I312" s="85" t="s">
        <v>1242</v>
      </c>
      <c r="J312" s="29">
        <v>330</v>
      </c>
      <c r="K312" s="36">
        <v>66</v>
      </c>
      <c r="L312" s="40" t="str">
        <f t="shared" si="9"/>
        <v/>
      </c>
    </row>
    <row r="313" spans="1:12">
      <c r="A313" s="32" t="s">
        <v>1243</v>
      </c>
      <c r="B313" s="33">
        <v>362</v>
      </c>
      <c r="C313" s="33">
        <v>12</v>
      </c>
      <c r="D313" s="32" t="s">
        <v>1244</v>
      </c>
      <c r="E313" s="20"/>
      <c r="F313" s="34">
        <v>8.8</v>
      </c>
      <c r="G313" s="22">
        <f t="shared" si="8"/>
        <v>0.733333333333333</v>
      </c>
      <c r="H313" s="85" t="s">
        <v>1245</v>
      </c>
      <c r="I313" s="85" t="s">
        <v>1246</v>
      </c>
      <c r="J313" s="29">
        <v>864</v>
      </c>
      <c r="K313" s="36">
        <v>216</v>
      </c>
      <c r="L313" s="25" t="str">
        <f t="shared" si="9"/>
        <v/>
      </c>
    </row>
    <row r="314" spans="1:12">
      <c r="A314" s="32" t="s">
        <v>1247</v>
      </c>
      <c r="B314" s="33">
        <v>3</v>
      </c>
      <c r="C314" s="33">
        <v>24</v>
      </c>
      <c r="D314" s="32" t="s">
        <v>1248</v>
      </c>
      <c r="E314" s="20"/>
      <c r="F314" s="34">
        <v>18</v>
      </c>
      <c r="G314" s="22">
        <f t="shared" si="8"/>
        <v>0.75</v>
      </c>
      <c r="H314" s="85" t="s">
        <v>1249</v>
      </c>
      <c r="I314" s="85" t="s">
        <v>1250</v>
      </c>
      <c r="J314" s="29">
        <v>864</v>
      </c>
      <c r="K314" s="36">
        <v>216</v>
      </c>
      <c r="L314" s="25" t="str">
        <f t="shared" si="9"/>
        <v/>
      </c>
    </row>
    <row r="315" spans="1:12">
      <c r="A315" s="32" t="s">
        <v>1251</v>
      </c>
      <c r="B315" s="33">
        <v>2</v>
      </c>
      <c r="C315" s="33">
        <v>24</v>
      </c>
      <c r="D315" s="32" t="s">
        <v>1252</v>
      </c>
      <c r="E315" s="29"/>
      <c r="F315" s="34">
        <v>18</v>
      </c>
      <c r="G315" s="34">
        <f t="shared" si="8"/>
        <v>0.75</v>
      </c>
      <c r="H315" s="93" t="s">
        <v>1253</v>
      </c>
      <c r="I315" s="85" t="s">
        <v>1254</v>
      </c>
      <c r="J315" s="29">
        <v>540</v>
      </c>
      <c r="K315" s="36">
        <v>90</v>
      </c>
      <c r="L315" s="40" t="str">
        <f t="shared" si="9"/>
        <v/>
      </c>
    </row>
    <row r="316" spans="1:12">
      <c r="A316" s="32" t="s">
        <v>1255</v>
      </c>
      <c r="B316" s="33">
        <v>78</v>
      </c>
      <c r="C316" s="33">
        <v>24</v>
      </c>
      <c r="D316" s="32" t="s">
        <v>1256</v>
      </c>
      <c r="E316" s="20"/>
      <c r="F316" s="34">
        <v>18</v>
      </c>
      <c r="G316" s="22">
        <f t="shared" si="8"/>
        <v>0.75</v>
      </c>
      <c r="H316" s="85" t="s">
        <v>1257</v>
      </c>
      <c r="I316" s="85" t="s">
        <v>1258</v>
      </c>
      <c r="J316" s="29">
        <v>540</v>
      </c>
      <c r="K316" s="30">
        <v>90</v>
      </c>
      <c r="L316" s="25" t="str">
        <f t="shared" si="9"/>
        <v/>
      </c>
    </row>
    <row r="317" spans="1:12">
      <c r="A317" s="32" t="s">
        <v>1259</v>
      </c>
      <c r="B317" s="33">
        <v>168</v>
      </c>
      <c r="C317" s="33">
        <v>24</v>
      </c>
      <c r="D317" s="32" t="s">
        <v>1260</v>
      </c>
      <c r="E317" s="20"/>
      <c r="F317" s="37">
        <v>18</v>
      </c>
      <c r="G317" s="38">
        <f t="shared" si="8"/>
        <v>0.75</v>
      </c>
      <c r="H317" s="85" t="s">
        <v>1261</v>
      </c>
      <c r="I317" s="85" t="s">
        <v>1262</v>
      </c>
      <c r="J317" s="29">
        <v>540</v>
      </c>
      <c r="K317" s="30">
        <v>90</v>
      </c>
      <c r="L317" s="25" t="str">
        <f t="shared" si="9"/>
        <v/>
      </c>
    </row>
    <row r="318" spans="1:12">
      <c r="A318" s="32" t="s">
        <v>1263</v>
      </c>
      <c r="B318" s="33">
        <v>2</v>
      </c>
      <c r="C318" s="33">
        <v>24</v>
      </c>
      <c r="D318" s="32" t="s">
        <v>1264</v>
      </c>
      <c r="E318" s="20"/>
      <c r="F318" s="37">
        <v>18</v>
      </c>
      <c r="G318" s="38">
        <f t="shared" si="8"/>
        <v>0.75</v>
      </c>
      <c r="H318" s="85" t="s">
        <v>1265</v>
      </c>
      <c r="I318" s="85" t="s">
        <v>1266</v>
      </c>
      <c r="J318" s="29">
        <v>540</v>
      </c>
      <c r="K318" s="30">
        <v>90</v>
      </c>
      <c r="L318" s="25" t="str">
        <f t="shared" si="9"/>
        <v/>
      </c>
    </row>
    <row r="319" spans="1:12">
      <c r="A319" s="32" t="s">
        <v>1267</v>
      </c>
      <c r="B319" s="33">
        <v>2</v>
      </c>
      <c r="C319" s="33">
        <v>24</v>
      </c>
      <c r="D319" s="32" t="s">
        <v>1268</v>
      </c>
      <c r="E319" s="20"/>
      <c r="F319" s="34">
        <v>18</v>
      </c>
      <c r="G319" s="22">
        <f t="shared" si="8"/>
        <v>0.75</v>
      </c>
      <c r="H319" s="85" t="s">
        <v>1269</v>
      </c>
      <c r="I319" s="85" t="s">
        <v>1270</v>
      </c>
      <c r="J319" s="29">
        <v>540</v>
      </c>
      <c r="K319" s="30">
        <v>90</v>
      </c>
      <c r="L319" s="25" t="str">
        <f t="shared" si="9"/>
        <v/>
      </c>
    </row>
    <row r="320" spans="1:12">
      <c r="A320" s="32" t="s">
        <v>1271</v>
      </c>
      <c r="B320" s="33">
        <v>74</v>
      </c>
      <c r="C320" s="33">
        <v>24</v>
      </c>
      <c r="D320" s="32" t="s">
        <v>1272</v>
      </c>
      <c r="E320" s="20"/>
      <c r="F320" s="34">
        <v>18</v>
      </c>
      <c r="G320" s="22">
        <f t="shared" si="8"/>
        <v>0.75</v>
      </c>
      <c r="H320" s="85" t="s">
        <v>1273</v>
      </c>
      <c r="I320" s="85" t="s">
        <v>1274</v>
      </c>
      <c r="J320" s="29">
        <v>540</v>
      </c>
      <c r="K320" s="30">
        <v>90</v>
      </c>
      <c r="L320" s="25" t="str">
        <f t="shared" si="9"/>
        <v/>
      </c>
    </row>
    <row r="321" spans="1:14">
      <c r="A321" s="32" t="s">
        <v>1275</v>
      </c>
      <c r="B321" s="33">
        <v>26</v>
      </c>
      <c r="C321" s="33">
        <v>24</v>
      </c>
      <c r="D321" s="32" t="s">
        <v>1276</v>
      </c>
      <c r="E321" s="20"/>
      <c r="F321" s="37">
        <v>18</v>
      </c>
      <c r="G321" s="38">
        <f t="shared" ref="G321:G384" si="10">F321/C321</f>
        <v>0.75</v>
      </c>
      <c r="H321" s="85" t="s">
        <v>1277</v>
      </c>
      <c r="I321" s="85" t="s">
        <v>1278</v>
      </c>
      <c r="J321" s="29">
        <v>540</v>
      </c>
      <c r="K321" s="30">
        <v>90</v>
      </c>
      <c r="L321" s="25" t="str">
        <f t="shared" ref="L321:L384" si="11">IF(E321,E321*F321,"")</f>
        <v/>
      </c>
    </row>
    <row r="322" spans="1:14">
      <c r="A322" s="32" t="s">
        <v>1279</v>
      </c>
      <c r="B322" s="33">
        <v>36</v>
      </c>
      <c r="C322" s="33">
        <v>10</v>
      </c>
      <c r="D322" s="32" t="s">
        <v>1280</v>
      </c>
      <c r="E322" s="20"/>
      <c r="F322" s="34">
        <v>4.8</v>
      </c>
      <c r="G322" s="22">
        <f t="shared" si="10"/>
        <v>0.48</v>
      </c>
      <c r="H322" s="85" t="s">
        <v>1281</v>
      </c>
      <c r="I322" s="85" t="s">
        <v>1282</v>
      </c>
      <c r="J322" s="29"/>
      <c r="K322" s="36"/>
      <c r="L322" s="25" t="str">
        <f t="shared" si="11"/>
        <v/>
      </c>
    </row>
    <row r="323" spans="1:14">
      <c r="A323" s="32" t="s">
        <v>1283</v>
      </c>
      <c r="B323" s="33">
        <v>1457</v>
      </c>
      <c r="C323" s="33">
        <v>12</v>
      </c>
      <c r="D323" s="32" t="s">
        <v>1284</v>
      </c>
      <c r="E323" s="20"/>
      <c r="F323" s="37">
        <v>7.6</v>
      </c>
      <c r="G323" s="38">
        <f t="shared" si="10"/>
        <v>0.633333333333333</v>
      </c>
      <c r="H323" s="85" t="s">
        <v>1285</v>
      </c>
      <c r="I323" s="85" t="s">
        <v>1286</v>
      </c>
      <c r="J323" s="29">
        <v>400</v>
      </c>
      <c r="K323" s="36">
        <v>80</v>
      </c>
      <c r="L323" s="25" t="str">
        <f t="shared" si="11"/>
        <v/>
      </c>
    </row>
    <row r="324" spans="1:14">
      <c r="A324" s="32" t="s">
        <v>1287</v>
      </c>
      <c r="B324" s="33">
        <v>1558</v>
      </c>
      <c r="C324" s="33">
        <v>12</v>
      </c>
      <c r="D324" s="32" t="s">
        <v>1288</v>
      </c>
      <c r="E324" s="20"/>
      <c r="F324" s="37">
        <v>7.6</v>
      </c>
      <c r="G324" s="38">
        <f t="shared" si="10"/>
        <v>0.633333333333333</v>
      </c>
      <c r="H324" s="85" t="s">
        <v>1289</v>
      </c>
      <c r="I324" s="85" t="s">
        <v>1290</v>
      </c>
      <c r="J324" s="29">
        <v>400</v>
      </c>
      <c r="K324" s="36">
        <v>80</v>
      </c>
      <c r="L324" s="25" t="str">
        <f t="shared" si="11"/>
        <v/>
      </c>
    </row>
    <row r="325" spans="1:14">
      <c r="A325" s="41" t="s">
        <v>1291</v>
      </c>
      <c r="B325" s="31">
        <v>2586</v>
      </c>
      <c r="C325" s="30">
        <v>6</v>
      </c>
      <c r="D325" s="41" t="s">
        <v>1292</v>
      </c>
      <c r="E325" s="36"/>
      <c r="F325" s="43">
        <v>3.99</v>
      </c>
      <c r="G325" s="43">
        <f t="shared" si="10"/>
        <v>0.665</v>
      </c>
      <c r="H325" s="94" t="s">
        <v>1293</v>
      </c>
      <c r="I325" s="87" t="s">
        <v>1294</v>
      </c>
      <c r="J325" s="31">
        <v>864</v>
      </c>
      <c r="K325" s="30">
        <v>96</v>
      </c>
      <c r="L325" s="56" t="str">
        <f t="shared" si="11"/>
        <v/>
      </c>
      <c r="N325" s="50"/>
    </row>
    <row r="326" spans="1:14">
      <c r="A326" s="32" t="s">
        <v>1295</v>
      </c>
      <c r="B326" s="33">
        <v>700</v>
      </c>
      <c r="C326" s="33">
        <v>12</v>
      </c>
      <c r="D326" s="32" t="s">
        <v>1296</v>
      </c>
      <c r="E326" s="20"/>
      <c r="F326" s="37">
        <v>22.4</v>
      </c>
      <c r="G326" s="38">
        <f t="shared" si="10"/>
        <v>1.86666666666667</v>
      </c>
      <c r="H326" s="85" t="s">
        <v>1297</v>
      </c>
      <c r="I326" s="85" t="s">
        <v>1298</v>
      </c>
      <c r="J326" s="29">
        <v>240</v>
      </c>
      <c r="K326" s="36">
        <v>60</v>
      </c>
      <c r="L326" s="25" t="str">
        <f t="shared" si="11"/>
        <v/>
      </c>
    </row>
    <row r="327" spans="1:14">
      <c r="A327" s="41" t="s">
        <v>1299</v>
      </c>
      <c r="B327" s="31">
        <v>30</v>
      </c>
      <c r="C327" s="30">
        <v>12</v>
      </c>
      <c r="D327" s="41" t="s">
        <v>1300</v>
      </c>
      <c r="E327" s="20"/>
      <c r="F327" s="34">
        <v>25.4</v>
      </c>
      <c r="G327" s="34">
        <f t="shared" si="10"/>
        <v>2.11666666666667</v>
      </c>
      <c r="H327" s="85" t="s">
        <v>1301</v>
      </c>
      <c r="I327" s="87" t="s">
        <v>1302</v>
      </c>
      <c r="J327" s="31">
        <v>506</v>
      </c>
      <c r="K327" s="36">
        <v>46</v>
      </c>
      <c r="L327" s="25" t="str">
        <f t="shared" si="11"/>
        <v/>
      </c>
    </row>
    <row r="328" spans="1:14">
      <c r="A328" s="32" t="s">
        <v>1303</v>
      </c>
      <c r="B328" s="33">
        <v>4</v>
      </c>
      <c r="C328" s="33">
        <v>6</v>
      </c>
      <c r="D328" s="32" t="s">
        <v>1304</v>
      </c>
      <c r="E328" s="20"/>
      <c r="F328" s="34">
        <v>22.15</v>
      </c>
      <c r="G328" s="34">
        <f t="shared" si="10"/>
        <v>3.69166666666667</v>
      </c>
      <c r="H328" s="85" t="s">
        <v>1305</v>
      </c>
      <c r="I328" s="85" t="s">
        <v>1306</v>
      </c>
      <c r="J328" s="29">
        <v>585</v>
      </c>
      <c r="K328" s="36">
        <v>65</v>
      </c>
      <c r="L328" s="25" t="str">
        <f t="shared" si="11"/>
        <v/>
      </c>
    </row>
    <row r="329" spans="1:14">
      <c r="A329" s="32" t="s">
        <v>1307</v>
      </c>
      <c r="B329" s="33">
        <v>772</v>
      </c>
      <c r="C329" s="33">
        <v>6</v>
      </c>
      <c r="D329" s="32" t="s">
        <v>1308</v>
      </c>
      <c r="E329" s="29"/>
      <c r="F329" s="37">
        <v>38</v>
      </c>
      <c r="G329" s="37">
        <f t="shared" si="10"/>
        <v>6.33333333333333</v>
      </c>
      <c r="H329" s="85" t="s">
        <v>1309</v>
      </c>
      <c r="I329" s="85" t="s">
        <v>1310</v>
      </c>
      <c r="J329" s="29">
        <v>252</v>
      </c>
      <c r="K329" s="36">
        <v>28</v>
      </c>
      <c r="L329" s="40" t="str">
        <f t="shared" si="11"/>
        <v/>
      </c>
    </row>
    <row r="330" spans="1:14">
      <c r="A330" s="32" t="s">
        <v>1311</v>
      </c>
      <c r="B330" s="33">
        <v>133</v>
      </c>
      <c r="C330" s="33">
        <v>6</v>
      </c>
      <c r="D330" s="32" t="s">
        <v>1312</v>
      </c>
      <c r="E330" s="20"/>
      <c r="F330" s="34">
        <v>32.32</v>
      </c>
      <c r="G330" s="34">
        <f t="shared" si="10"/>
        <v>5.38666666666667</v>
      </c>
      <c r="H330" s="85" t="s">
        <v>1313</v>
      </c>
      <c r="I330" s="85" t="s">
        <v>1314</v>
      </c>
      <c r="J330" s="29">
        <v>200</v>
      </c>
      <c r="K330" s="36">
        <v>40</v>
      </c>
      <c r="L330" s="25" t="str">
        <f t="shared" si="11"/>
        <v/>
      </c>
    </row>
    <row r="331" spans="1:14">
      <c r="A331" s="32" t="s">
        <v>1315</v>
      </c>
      <c r="B331" s="33">
        <v>20</v>
      </c>
      <c r="C331" s="33">
        <v>6</v>
      </c>
      <c r="D331" s="32" t="s">
        <v>1316</v>
      </c>
      <c r="E331" s="20"/>
      <c r="F331" s="34">
        <v>4.8</v>
      </c>
      <c r="G331" s="22">
        <f t="shared" si="10"/>
        <v>0.8</v>
      </c>
      <c r="H331" s="85" t="s">
        <v>1317</v>
      </c>
      <c r="I331" s="85" t="s">
        <v>1318</v>
      </c>
      <c r="J331" s="29">
        <v>384</v>
      </c>
      <c r="K331" s="36">
        <v>64</v>
      </c>
      <c r="L331" s="25" t="str">
        <f t="shared" si="11"/>
        <v/>
      </c>
    </row>
    <row r="332" spans="1:14">
      <c r="A332" s="32" t="s">
        <v>1319</v>
      </c>
      <c r="B332" s="33">
        <v>0</v>
      </c>
      <c r="C332" s="33">
        <v>12</v>
      </c>
      <c r="D332" s="32" t="s">
        <v>1320</v>
      </c>
      <c r="E332" s="20"/>
      <c r="F332" s="34">
        <v>24.75</v>
      </c>
      <c r="G332" s="22">
        <f t="shared" si="10"/>
        <v>2.0625</v>
      </c>
      <c r="H332" s="85" t="s">
        <v>1321</v>
      </c>
      <c r="I332" s="85" t="s">
        <v>1322</v>
      </c>
      <c r="J332" s="29">
        <v>567</v>
      </c>
      <c r="K332" s="36">
        <v>81</v>
      </c>
      <c r="L332" s="25" t="str">
        <f t="shared" si="11"/>
        <v/>
      </c>
    </row>
    <row r="333" spans="1:14">
      <c r="A333" s="32" t="s">
        <v>1323</v>
      </c>
      <c r="B333" s="33">
        <v>75</v>
      </c>
      <c r="C333" s="33">
        <v>12</v>
      </c>
      <c r="D333" s="32" t="s">
        <v>1324</v>
      </c>
      <c r="E333" s="20"/>
      <c r="F333" s="34">
        <v>24.75</v>
      </c>
      <c r="G333" s="22">
        <f t="shared" si="10"/>
        <v>2.0625</v>
      </c>
      <c r="H333" s="85" t="s">
        <v>1325</v>
      </c>
      <c r="I333" s="85" t="s">
        <v>1326</v>
      </c>
      <c r="J333" s="29">
        <v>567</v>
      </c>
      <c r="K333" s="36">
        <v>81</v>
      </c>
      <c r="L333" s="25" t="str">
        <f t="shared" si="11"/>
        <v/>
      </c>
    </row>
    <row r="334" spans="1:14">
      <c r="A334" s="32" t="s">
        <v>1327</v>
      </c>
      <c r="B334" s="33">
        <v>43</v>
      </c>
      <c r="C334" s="33">
        <v>12</v>
      </c>
      <c r="D334" s="32" t="s">
        <v>1328</v>
      </c>
      <c r="E334" s="20"/>
      <c r="F334" s="34">
        <v>31.6</v>
      </c>
      <c r="G334" s="22">
        <f t="shared" si="10"/>
        <v>2.63333333333333</v>
      </c>
      <c r="H334" s="85" t="s">
        <v>1329</v>
      </c>
      <c r="I334" s="85" t="s">
        <v>1330</v>
      </c>
      <c r="J334" s="29">
        <v>567</v>
      </c>
      <c r="K334" s="36">
        <v>81</v>
      </c>
      <c r="L334" s="25" t="str">
        <f t="shared" si="11"/>
        <v/>
      </c>
    </row>
    <row r="335" spans="1:14">
      <c r="A335" s="32" t="s">
        <v>1331</v>
      </c>
      <c r="B335" s="33">
        <v>24</v>
      </c>
      <c r="C335" s="33">
        <v>12</v>
      </c>
      <c r="D335" s="32" t="s">
        <v>1332</v>
      </c>
      <c r="E335" s="20"/>
      <c r="F335" s="34">
        <v>26.5</v>
      </c>
      <c r="G335" s="22">
        <f t="shared" si="10"/>
        <v>2.20833333333333</v>
      </c>
      <c r="H335" s="85" t="s">
        <v>1333</v>
      </c>
      <c r="I335" s="85" t="s">
        <v>1334</v>
      </c>
      <c r="J335" s="29">
        <v>567</v>
      </c>
      <c r="K335" s="36">
        <v>81</v>
      </c>
      <c r="L335" s="25" t="str">
        <f t="shared" si="11"/>
        <v/>
      </c>
    </row>
    <row r="336" spans="1:14">
      <c r="A336" s="32" t="s">
        <v>1335</v>
      </c>
      <c r="B336" s="33">
        <v>80</v>
      </c>
      <c r="C336" s="33">
        <v>10</v>
      </c>
      <c r="D336" s="32" t="s">
        <v>1336</v>
      </c>
      <c r="E336" s="20"/>
      <c r="F336" s="34">
        <v>4.8</v>
      </c>
      <c r="G336" s="22">
        <f t="shared" si="10"/>
        <v>0.48</v>
      </c>
      <c r="H336" s="85" t="s">
        <v>1337</v>
      </c>
      <c r="I336" s="85" t="s">
        <v>1338</v>
      </c>
      <c r="J336" s="29">
        <v>720</v>
      </c>
      <c r="K336" s="36">
        <v>120</v>
      </c>
      <c r="L336" s="25" t="str">
        <f t="shared" si="11"/>
        <v/>
      </c>
    </row>
    <row r="337" spans="1:12">
      <c r="A337" s="32" t="s">
        <v>1339</v>
      </c>
      <c r="B337" s="33">
        <v>81</v>
      </c>
      <c r="C337" s="33">
        <v>10</v>
      </c>
      <c r="D337" s="32" t="s">
        <v>1340</v>
      </c>
      <c r="E337" s="20"/>
      <c r="F337" s="34">
        <v>4.8</v>
      </c>
      <c r="G337" s="22">
        <f t="shared" si="10"/>
        <v>0.48</v>
      </c>
      <c r="H337" s="85" t="s">
        <v>1341</v>
      </c>
      <c r="I337" s="85" t="s">
        <v>1342</v>
      </c>
      <c r="J337" s="29">
        <v>720</v>
      </c>
      <c r="K337" s="36">
        <v>120</v>
      </c>
      <c r="L337" s="25" t="str">
        <f t="shared" si="11"/>
        <v/>
      </c>
    </row>
    <row r="338" spans="1:12">
      <c r="A338" s="32" t="s">
        <v>1343</v>
      </c>
      <c r="B338" s="33">
        <v>78</v>
      </c>
      <c r="C338" s="33">
        <v>10</v>
      </c>
      <c r="D338" s="32" t="s">
        <v>1344</v>
      </c>
      <c r="E338" s="20"/>
      <c r="F338" s="34">
        <v>4.8</v>
      </c>
      <c r="G338" s="22">
        <f t="shared" si="10"/>
        <v>0.48</v>
      </c>
      <c r="H338" s="85" t="s">
        <v>1345</v>
      </c>
      <c r="I338" s="85" t="s">
        <v>1346</v>
      </c>
      <c r="J338" s="29">
        <v>720</v>
      </c>
      <c r="K338" s="36">
        <v>120</v>
      </c>
      <c r="L338" s="25" t="str">
        <f t="shared" si="11"/>
        <v/>
      </c>
    </row>
    <row r="339" spans="1:12">
      <c r="A339" s="32" t="s">
        <v>1347</v>
      </c>
      <c r="B339" s="33">
        <v>80</v>
      </c>
      <c r="C339" s="33">
        <v>10</v>
      </c>
      <c r="D339" s="32" t="s">
        <v>1348</v>
      </c>
      <c r="E339" s="20"/>
      <c r="F339" s="34">
        <v>4.8</v>
      </c>
      <c r="G339" s="22">
        <f t="shared" si="10"/>
        <v>0.48</v>
      </c>
      <c r="H339" s="85" t="s">
        <v>1349</v>
      </c>
      <c r="I339" s="85" t="s">
        <v>1350</v>
      </c>
      <c r="J339" s="29">
        <v>720</v>
      </c>
      <c r="K339" s="36">
        <v>120</v>
      </c>
      <c r="L339" s="25" t="str">
        <f t="shared" si="11"/>
        <v/>
      </c>
    </row>
    <row r="340" spans="1:12">
      <c r="A340" s="32" t="s">
        <v>1351</v>
      </c>
      <c r="B340" s="33">
        <v>83</v>
      </c>
      <c r="C340" s="33">
        <v>10</v>
      </c>
      <c r="D340" s="32" t="s">
        <v>1352</v>
      </c>
      <c r="E340" s="20"/>
      <c r="F340" s="34">
        <v>4.8</v>
      </c>
      <c r="G340" s="22">
        <f t="shared" si="10"/>
        <v>0.48</v>
      </c>
      <c r="H340" s="85" t="s">
        <v>1353</v>
      </c>
      <c r="I340" s="85" t="s">
        <v>1354</v>
      </c>
      <c r="J340" s="29">
        <v>720</v>
      </c>
      <c r="K340" s="36">
        <v>120</v>
      </c>
      <c r="L340" s="25" t="str">
        <f t="shared" si="11"/>
        <v/>
      </c>
    </row>
    <row r="341" spans="1:12">
      <c r="A341" s="32" t="s">
        <v>1355</v>
      </c>
      <c r="B341" s="33">
        <v>80</v>
      </c>
      <c r="C341" s="33">
        <v>10</v>
      </c>
      <c r="D341" s="32" t="s">
        <v>1356</v>
      </c>
      <c r="E341" s="20"/>
      <c r="F341" s="34">
        <v>4.8</v>
      </c>
      <c r="G341" s="22">
        <f t="shared" si="10"/>
        <v>0.48</v>
      </c>
      <c r="H341" s="85" t="s">
        <v>1357</v>
      </c>
      <c r="I341" s="85" t="s">
        <v>1358</v>
      </c>
      <c r="J341" s="29">
        <v>720</v>
      </c>
      <c r="K341" s="36">
        <v>120</v>
      </c>
      <c r="L341" s="25" t="str">
        <f t="shared" si="11"/>
        <v/>
      </c>
    </row>
    <row r="342" spans="1:12">
      <c r="A342" s="32" t="s">
        <v>1359</v>
      </c>
      <c r="B342" s="33">
        <v>78</v>
      </c>
      <c r="C342" s="33">
        <v>10</v>
      </c>
      <c r="D342" s="32" t="s">
        <v>1360</v>
      </c>
      <c r="E342" s="20"/>
      <c r="F342" s="34">
        <v>4.8</v>
      </c>
      <c r="G342" s="22">
        <f t="shared" si="10"/>
        <v>0.48</v>
      </c>
      <c r="H342" s="85" t="s">
        <v>1361</v>
      </c>
      <c r="I342" s="85" t="s">
        <v>1362</v>
      </c>
      <c r="J342" s="29">
        <v>720</v>
      </c>
      <c r="K342" s="36">
        <v>120</v>
      </c>
      <c r="L342" s="25" t="str">
        <f t="shared" si="11"/>
        <v/>
      </c>
    </row>
    <row r="343" spans="1:12">
      <c r="A343" s="32" t="s">
        <v>1363</v>
      </c>
      <c r="B343" s="33">
        <v>80</v>
      </c>
      <c r="C343" s="33">
        <v>10</v>
      </c>
      <c r="D343" s="32" t="s">
        <v>1364</v>
      </c>
      <c r="E343" s="20"/>
      <c r="F343" s="34">
        <v>4.8</v>
      </c>
      <c r="G343" s="22">
        <f t="shared" si="10"/>
        <v>0.48</v>
      </c>
      <c r="H343" s="85" t="s">
        <v>1365</v>
      </c>
      <c r="I343" s="85" t="s">
        <v>1366</v>
      </c>
      <c r="J343" s="29">
        <v>720</v>
      </c>
      <c r="K343" s="36">
        <v>120</v>
      </c>
      <c r="L343" s="25" t="str">
        <f t="shared" si="11"/>
        <v/>
      </c>
    </row>
    <row r="344" spans="1:12">
      <c r="A344" s="32" t="s">
        <v>1367</v>
      </c>
      <c r="B344" s="33">
        <v>79</v>
      </c>
      <c r="C344" s="33">
        <v>10</v>
      </c>
      <c r="D344" s="32" t="s">
        <v>1368</v>
      </c>
      <c r="E344" s="20"/>
      <c r="F344" s="34">
        <v>4.8</v>
      </c>
      <c r="G344" s="22">
        <f t="shared" si="10"/>
        <v>0.48</v>
      </c>
      <c r="H344" s="85" t="s">
        <v>1369</v>
      </c>
      <c r="I344" s="85" t="s">
        <v>1370</v>
      </c>
      <c r="J344" s="29">
        <v>720</v>
      </c>
      <c r="K344" s="36">
        <v>120</v>
      </c>
      <c r="L344" s="25" t="str">
        <f t="shared" si="11"/>
        <v/>
      </c>
    </row>
    <row r="345" spans="1:12">
      <c r="A345" s="32" t="s">
        <v>1371</v>
      </c>
      <c r="B345" s="33">
        <v>271</v>
      </c>
      <c r="C345" s="33">
        <v>10</v>
      </c>
      <c r="D345" s="32" t="s">
        <v>1372</v>
      </c>
      <c r="E345" s="20"/>
      <c r="F345" s="34">
        <v>4.8</v>
      </c>
      <c r="G345" s="22">
        <f t="shared" si="10"/>
        <v>0.48</v>
      </c>
      <c r="H345" s="85" t="s">
        <v>1373</v>
      </c>
      <c r="I345" s="85" t="s">
        <v>1374</v>
      </c>
      <c r="J345" s="29">
        <v>720</v>
      </c>
      <c r="K345" s="36">
        <v>120</v>
      </c>
      <c r="L345" s="25" t="str">
        <f t="shared" si="11"/>
        <v/>
      </c>
    </row>
    <row r="346" spans="1:12">
      <c r="A346" s="32" t="s">
        <v>1375</v>
      </c>
      <c r="B346" s="33">
        <v>298</v>
      </c>
      <c r="C346" s="33">
        <v>12</v>
      </c>
      <c r="D346" s="32" t="s">
        <v>1376</v>
      </c>
      <c r="E346" s="20"/>
      <c r="F346" s="34">
        <v>2.76</v>
      </c>
      <c r="G346" s="22">
        <f t="shared" si="10"/>
        <v>0.23</v>
      </c>
      <c r="H346" s="85" t="s">
        <v>1377</v>
      </c>
      <c r="I346" s="85" t="s">
        <v>1378</v>
      </c>
      <c r="J346" s="29">
        <v>864</v>
      </c>
      <c r="K346" s="36">
        <v>216</v>
      </c>
      <c r="L346" s="25" t="str">
        <f t="shared" si="11"/>
        <v/>
      </c>
    </row>
    <row r="347" spans="1:12">
      <c r="A347" s="32" t="s">
        <v>1379</v>
      </c>
      <c r="B347" s="33">
        <v>297</v>
      </c>
      <c r="C347" s="33">
        <v>12</v>
      </c>
      <c r="D347" s="32" t="s">
        <v>1380</v>
      </c>
      <c r="E347" s="20"/>
      <c r="F347" s="34">
        <v>2.76</v>
      </c>
      <c r="G347" s="22">
        <f t="shared" si="10"/>
        <v>0.23</v>
      </c>
      <c r="H347" s="85" t="s">
        <v>1381</v>
      </c>
      <c r="I347" s="85" t="s">
        <v>1382</v>
      </c>
      <c r="J347" s="29">
        <v>864</v>
      </c>
      <c r="K347" s="36">
        <v>216</v>
      </c>
      <c r="L347" s="25" t="str">
        <f t="shared" si="11"/>
        <v/>
      </c>
    </row>
    <row r="348" spans="1:12">
      <c r="A348" s="32" t="s">
        <v>1383</v>
      </c>
      <c r="B348" s="33">
        <v>54</v>
      </c>
      <c r="C348" s="33">
        <v>6</v>
      </c>
      <c r="D348" s="32" t="s">
        <v>1384</v>
      </c>
      <c r="E348" s="20"/>
      <c r="F348" s="37">
        <v>10.2</v>
      </c>
      <c r="G348" s="38">
        <f t="shared" si="10"/>
        <v>1.7</v>
      </c>
      <c r="H348" s="85" t="s">
        <v>1385</v>
      </c>
      <c r="I348" s="85" t="s">
        <v>1386</v>
      </c>
      <c r="J348" s="29">
        <v>909</v>
      </c>
      <c r="K348" s="36">
        <v>101</v>
      </c>
      <c r="L348" s="25" t="str">
        <f t="shared" si="11"/>
        <v/>
      </c>
    </row>
    <row r="349" spans="1:12">
      <c r="A349" s="32" t="s">
        <v>1387</v>
      </c>
      <c r="B349" s="33">
        <v>315</v>
      </c>
      <c r="C349" s="33">
        <v>6</v>
      </c>
      <c r="D349" s="32" t="s">
        <v>1388</v>
      </c>
      <c r="E349" s="20"/>
      <c r="F349" s="37">
        <v>10.2</v>
      </c>
      <c r="G349" s="38">
        <f t="shared" si="10"/>
        <v>1.7</v>
      </c>
      <c r="H349" s="85" t="s">
        <v>1389</v>
      </c>
      <c r="I349" s="85" t="s">
        <v>1390</v>
      </c>
      <c r="J349" s="29">
        <v>909</v>
      </c>
      <c r="K349" s="36">
        <v>101</v>
      </c>
      <c r="L349" s="25" t="str">
        <f t="shared" si="11"/>
        <v/>
      </c>
    </row>
    <row r="350" spans="1:12">
      <c r="A350" s="32" t="s">
        <v>1391</v>
      </c>
      <c r="B350" s="33">
        <v>4</v>
      </c>
      <c r="C350" s="33">
        <v>6</v>
      </c>
      <c r="D350" s="32" t="s">
        <v>1392</v>
      </c>
      <c r="E350" s="20"/>
      <c r="F350" s="34">
        <v>10.2</v>
      </c>
      <c r="G350" s="22">
        <f t="shared" si="10"/>
        <v>1.7</v>
      </c>
      <c r="H350" s="85" t="s">
        <v>1393</v>
      </c>
      <c r="I350" s="85" t="s">
        <v>1394</v>
      </c>
      <c r="J350" s="29">
        <v>909</v>
      </c>
      <c r="K350" s="36">
        <v>101</v>
      </c>
      <c r="L350" s="25" t="str">
        <f t="shared" si="11"/>
        <v/>
      </c>
    </row>
    <row r="351" spans="1:12">
      <c r="A351" s="32" t="s">
        <v>1395</v>
      </c>
      <c r="B351" s="33">
        <v>355</v>
      </c>
      <c r="C351" s="33">
        <v>6</v>
      </c>
      <c r="D351" s="32" t="s">
        <v>1396</v>
      </c>
      <c r="E351" s="20"/>
      <c r="F351" s="37">
        <v>10.2</v>
      </c>
      <c r="G351" s="38">
        <f t="shared" si="10"/>
        <v>1.7</v>
      </c>
      <c r="H351" s="85" t="s">
        <v>1397</v>
      </c>
      <c r="I351" s="85" t="s">
        <v>1398</v>
      </c>
      <c r="J351" s="29">
        <v>909</v>
      </c>
      <c r="K351" s="36">
        <v>101</v>
      </c>
      <c r="L351" s="25" t="str">
        <f t="shared" si="11"/>
        <v/>
      </c>
    </row>
    <row r="352" spans="1:12">
      <c r="A352" s="32" t="s">
        <v>1399</v>
      </c>
      <c r="B352" s="33">
        <v>61</v>
      </c>
      <c r="C352" s="33">
        <v>6</v>
      </c>
      <c r="D352" s="32" t="s">
        <v>1400</v>
      </c>
      <c r="E352" s="20"/>
      <c r="F352" s="37">
        <v>10.2</v>
      </c>
      <c r="G352" s="38">
        <f t="shared" si="10"/>
        <v>1.7</v>
      </c>
      <c r="H352" s="85" t="s">
        <v>1401</v>
      </c>
      <c r="I352" s="85" t="s">
        <v>1402</v>
      </c>
      <c r="J352" s="29">
        <v>909</v>
      </c>
      <c r="K352" s="36">
        <v>101</v>
      </c>
      <c r="L352" s="25" t="str">
        <f t="shared" si="11"/>
        <v/>
      </c>
    </row>
    <row r="353" spans="1:12">
      <c r="A353" s="32" t="s">
        <v>1403</v>
      </c>
      <c r="B353" s="33">
        <v>5</v>
      </c>
      <c r="C353" s="33">
        <v>6</v>
      </c>
      <c r="D353" s="32" t="s">
        <v>1404</v>
      </c>
      <c r="E353" s="20"/>
      <c r="F353" s="37">
        <v>10.2</v>
      </c>
      <c r="G353" s="38">
        <f t="shared" si="10"/>
        <v>1.7</v>
      </c>
      <c r="H353" s="85" t="s">
        <v>1405</v>
      </c>
      <c r="I353" s="85" t="s">
        <v>1406</v>
      </c>
      <c r="J353" s="29">
        <v>909</v>
      </c>
      <c r="K353" s="36">
        <v>101</v>
      </c>
      <c r="L353" s="25" t="str">
        <f t="shared" si="11"/>
        <v/>
      </c>
    </row>
    <row r="354" spans="1:12">
      <c r="A354" s="32" t="s">
        <v>1407</v>
      </c>
      <c r="B354" s="33">
        <v>460</v>
      </c>
      <c r="C354" s="33">
        <v>6</v>
      </c>
      <c r="D354" s="32" t="s">
        <v>1408</v>
      </c>
      <c r="E354" s="20"/>
      <c r="F354" s="34">
        <v>4.5</v>
      </c>
      <c r="G354" s="22">
        <f t="shared" si="10"/>
        <v>0.75</v>
      </c>
      <c r="H354" s="85" t="s">
        <v>1409</v>
      </c>
      <c r="I354" s="85" t="s">
        <v>1410</v>
      </c>
      <c r="J354" s="29">
        <v>280</v>
      </c>
      <c r="K354" s="36">
        <v>40</v>
      </c>
      <c r="L354" s="25" t="str">
        <f t="shared" si="11"/>
        <v/>
      </c>
    </row>
    <row r="355" spans="1:12">
      <c r="A355" s="32" t="s">
        <v>1411</v>
      </c>
      <c r="B355" s="33">
        <v>26</v>
      </c>
      <c r="C355" s="33">
        <v>20</v>
      </c>
      <c r="D355" s="32" t="s">
        <v>1412</v>
      </c>
      <c r="E355" s="20"/>
      <c r="F355" s="34">
        <v>24</v>
      </c>
      <c r="G355" s="34">
        <f t="shared" si="10"/>
        <v>1.2</v>
      </c>
      <c r="H355" s="85" t="s">
        <v>1413</v>
      </c>
      <c r="I355" s="85" t="s">
        <v>1414</v>
      </c>
      <c r="J355" s="29">
        <v>288</v>
      </c>
      <c r="K355" s="36">
        <v>48</v>
      </c>
      <c r="L355" s="25" t="str">
        <f t="shared" si="11"/>
        <v/>
      </c>
    </row>
    <row r="356" spans="1:12">
      <c r="A356" s="32" t="s">
        <v>1415</v>
      </c>
      <c r="B356" s="33">
        <v>364</v>
      </c>
      <c r="C356" s="33">
        <v>10</v>
      </c>
      <c r="D356" s="32" t="s">
        <v>1416</v>
      </c>
      <c r="E356" s="20"/>
      <c r="F356" s="34">
        <v>52.8</v>
      </c>
      <c r="G356" s="22">
        <f t="shared" si="10"/>
        <v>5.28</v>
      </c>
      <c r="H356" s="85" t="s">
        <v>1417</v>
      </c>
      <c r="I356" s="85" t="s">
        <v>1418</v>
      </c>
      <c r="J356" s="29"/>
      <c r="K356" s="36"/>
      <c r="L356" s="25" t="str">
        <f t="shared" si="11"/>
        <v/>
      </c>
    </row>
    <row r="357" spans="1:12">
      <c r="A357" s="32" t="s">
        <v>1419</v>
      </c>
      <c r="B357" s="33">
        <v>201</v>
      </c>
      <c r="C357" s="33">
        <v>10</v>
      </c>
      <c r="D357" s="32" t="s">
        <v>1420</v>
      </c>
      <c r="E357" s="20"/>
      <c r="F357" s="34">
        <v>59.95</v>
      </c>
      <c r="G357" s="22">
        <f t="shared" si="10"/>
        <v>5.995</v>
      </c>
      <c r="H357" s="85" t="s">
        <v>1421</v>
      </c>
      <c r="I357" s="85" t="s">
        <v>1422</v>
      </c>
      <c r="J357" s="29"/>
      <c r="K357" s="36"/>
      <c r="L357" s="25" t="str">
        <f t="shared" si="11"/>
        <v/>
      </c>
    </row>
    <row r="358" spans="1:12">
      <c r="A358" s="32" t="s">
        <v>1423</v>
      </c>
      <c r="B358" s="33">
        <v>53</v>
      </c>
      <c r="C358" s="33">
        <v>10</v>
      </c>
      <c r="D358" s="32" t="s">
        <v>1424</v>
      </c>
      <c r="E358" s="20"/>
      <c r="F358" s="34">
        <v>92</v>
      </c>
      <c r="G358" s="22">
        <f t="shared" si="10"/>
        <v>9.2</v>
      </c>
      <c r="H358" s="85" t="s">
        <v>1425</v>
      </c>
      <c r="I358" s="85" t="s">
        <v>1426</v>
      </c>
      <c r="J358" s="29">
        <v>360</v>
      </c>
      <c r="K358" s="36">
        <v>90</v>
      </c>
      <c r="L358" s="25" t="str">
        <f t="shared" si="11"/>
        <v/>
      </c>
    </row>
    <row r="359" spans="1:12">
      <c r="A359" s="32" t="s">
        <v>1427</v>
      </c>
      <c r="B359" s="33">
        <v>134</v>
      </c>
      <c r="C359" s="33">
        <v>10</v>
      </c>
      <c r="D359" s="32" t="s">
        <v>1428</v>
      </c>
      <c r="E359" s="20"/>
      <c r="F359" s="34">
        <v>78</v>
      </c>
      <c r="G359" s="34">
        <f t="shared" si="10"/>
        <v>7.8</v>
      </c>
      <c r="H359" s="85" t="s">
        <v>1429</v>
      </c>
      <c r="I359" s="85" t="s">
        <v>1430</v>
      </c>
      <c r="J359" s="29">
        <v>600</v>
      </c>
      <c r="K359" s="36">
        <v>120</v>
      </c>
      <c r="L359" s="25" t="str">
        <f t="shared" si="11"/>
        <v/>
      </c>
    </row>
    <row r="360" spans="1:12">
      <c r="A360" s="32" t="s">
        <v>1431</v>
      </c>
      <c r="B360" s="30">
        <v>25</v>
      </c>
      <c r="C360" s="33">
        <v>6</v>
      </c>
      <c r="D360" s="32" t="s">
        <v>1432</v>
      </c>
      <c r="E360" s="20"/>
      <c r="F360" s="34">
        <v>18.8</v>
      </c>
      <c r="G360" s="22">
        <f t="shared" si="10"/>
        <v>3.13333333333333</v>
      </c>
      <c r="H360" s="85" t="s">
        <v>1433</v>
      </c>
      <c r="I360" s="85" t="s">
        <v>1434</v>
      </c>
      <c r="J360" s="29">
        <v>240</v>
      </c>
      <c r="K360" s="36">
        <v>60</v>
      </c>
      <c r="L360" s="25" t="str">
        <f t="shared" si="11"/>
        <v/>
      </c>
    </row>
    <row r="361" spans="1:12">
      <c r="A361" s="32" t="s">
        <v>1435</v>
      </c>
      <c r="B361" s="33">
        <v>1320</v>
      </c>
      <c r="C361" s="33">
        <v>6</v>
      </c>
      <c r="D361" s="32" t="s">
        <v>1436</v>
      </c>
      <c r="E361" s="29"/>
      <c r="F361" s="34">
        <v>6.72</v>
      </c>
      <c r="G361" s="34">
        <f t="shared" si="10"/>
        <v>1.12</v>
      </c>
      <c r="H361" s="85" t="s">
        <v>1437</v>
      </c>
      <c r="I361" s="85" t="s">
        <v>1438</v>
      </c>
      <c r="J361" s="29">
        <v>496</v>
      </c>
      <c r="K361" s="36">
        <v>62</v>
      </c>
      <c r="L361" s="25" t="str">
        <f t="shared" si="11"/>
        <v/>
      </c>
    </row>
    <row r="362" spans="1:12">
      <c r="A362" s="32" t="s">
        <v>1439</v>
      </c>
      <c r="B362" s="33">
        <v>1659</v>
      </c>
      <c r="C362" s="33">
        <v>6</v>
      </c>
      <c r="D362" s="32" t="s">
        <v>1440</v>
      </c>
      <c r="E362" s="29"/>
      <c r="F362" s="34">
        <v>6.72</v>
      </c>
      <c r="G362" s="34">
        <f t="shared" si="10"/>
        <v>1.12</v>
      </c>
      <c r="H362" s="85" t="s">
        <v>1441</v>
      </c>
      <c r="I362" s="85" t="s">
        <v>1442</v>
      </c>
      <c r="J362" s="29">
        <v>496</v>
      </c>
      <c r="K362" s="36">
        <v>62</v>
      </c>
      <c r="L362" s="25" t="str">
        <f t="shared" si="11"/>
        <v/>
      </c>
    </row>
    <row r="363" spans="1:12">
      <c r="A363" s="32" t="s">
        <v>1443</v>
      </c>
      <c r="B363" s="33">
        <v>9</v>
      </c>
      <c r="C363" s="33">
        <v>6</v>
      </c>
      <c r="D363" s="32" t="s">
        <v>1444</v>
      </c>
      <c r="E363" s="29"/>
      <c r="F363" s="34">
        <v>11.8</v>
      </c>
      <c r="G363" s="34">
        <f t="shared" si="10"/>
        <v>1.96666666666667</v>
      </c>
      <c r="H363" s="85" t="s">
        <v>1445</v>
      </c>
      <c r="I363" s="85" t="s">
        <v>1446</v>
      </c>
      <c r="J363" s="29">
        <v>192</v>
      </c>
      <c r="K363" s="36">
        <v>48</v>
      </c>
      <c r="L363" s="25" t="str">
        <f t="shared" si="11"/>
        <v/>
      </c>
    </row>
    <row r="364" spans="1:12">
      <c r="A364" s="32" t="s">
        <v>1447</v>
      </c>
      <c r="B364" s="33">
        <v>647</v>
      </c>
      <c r="C364" s="33">
        <v>6</v>
      </c>
      <c r="D364" s="32" t="s">
        <v>1448</v>
      </c>
      <c r="E364" s="20"/>
      <c r="F364" s="34">
        <v>7.5</v>
      </c>
      <c r="G364" s="22">
        <f t="shared" si="10"/>
        <v>1.25</v>
      </c>
      <c r="H364" s="85" t="s">
        <v>1449</v>
      </c>
      <c r="I364" s="85" t="s">
        <v>1450</v>
      </c>
      <c r="J364" s="29">
        <v>434</v>
      </c>
      <c r="K364" s="36">
        <v>62</v>
      </c>
      <c r="L364" s="25" t="str">
        <f t="shared" si="11"/>
        <v/>
      </c>
    </row>
    <row r="365" spans="1:12">
      <c r="A365" s="32" t="s">
        <v>1451</v>
      </c>
      <c r="B365" s="33">
        <v>625</v>
      </c>
      <c r="C365" s="33">
        <v>6</v>
      </c>
      <c r="D365" s="32" t="s">
        <v>1452</v>
      </c>
      <c r="E365" s="20"/>
      <c r="F365" s="34">
        <v>7.5</v>
      </c>
      <c r="G365" s="22">
        <f t="shared" si="10"/>
        <v>1.25</v>
      </c>
      <c r="H365" s="85" t="s">
        <v>1453</v>
      </c>
      <c r="I365" s="85" t="s">
        <v>1454</v>
      </c>
      <c r="J365" s="29">
        <v>434</v>
      </c>
      <c r="K365" s="36">
        <v>62</v>
      </c>
      <c r="L365" s="25" t="str">
        <f t="shared" si="11"/>
        <v/>
      </c>
    </row>
    <row r="366" spans="1:12">
      <c r="A366" s="32" t="s">
        <v>1455</v>
      </c>
      <c r="B366" s="33">
        <v>5</v>
      </c>
      <c r="C366" s="33">
        <v>6</v>
      </c>
      <c r="D366" s="32" t="s">
        <v>1456</v>
      </c>
      <c r="E366" s="20"/>
      <c r="F366" s="34">
        <v>7.5</v>
      </c>
      <c r="G366" s="22">
        <f t="shared" si="10"/>
        <v>1.25</v>
      </c>
      <c r="H366" s="85" t="s">
        <v>1457</v>
      </c>
      <c r="I366" s="85" t="s">
        <v>1458</v>
      </c>
      <c r="J366" s="29">
        <v>434</v>
      </c>
      <c r="K366" s="36">
        <v>62</v>
      </c>
      <c r="L366" s="25" t="str">
        <f t="shared" si="11"/>
        <v/>
      </c>
    </row>
    <row r="367" spans="1:12">
      <c r="A367" s="32" t="s">
        <v>1459</v>
      </c>
      <c r="B367" s="33">
        <v>635</v>
      </c>
      <c r="C367" s="33">
        <v>6</v>
      </c>
      <c r="D367" s="32" t="s">
        <v>1460</v>
      </c>
      <c r="E367" s="20"/>
      <c r="F367" s="34">
        <v>7.4</v>
      </c>
      <c r="G367" s="22">
        <f t="shared" si="10"/>
        <v>1.23333333333333</v>
      </c>
      <c r="H367" s="85" t="s">
        <v>1461</v>
      </c>
      <c r="I367" s="85" t="s">
        <v>1462</v>
      </c>
      <c r="J367" s="29">
        <v>441</v>
      </c>
      <c r="K367" s="36">
        <v>63</v>
      </c>
      <c r="L367" s="25" t="str">
        <f t="shared" si="11"/>
        <v/>
      </c>
    </row>
    <row r="368" spans="1:12">
      <c r="A368" s="32" t="s">
        <v>1463</v>
      </c>
      <c r="B368" s="33">
        <v>683</v>
      </c>
      <c r="C368" s="33">
        <v>6</v>
      </c>
      <c r="D368" s="32" t="s">
        <v>1464</v>
      </c>
      <c r="E368" s="20"/>
      <c r="F368" s="34">
        <v>7.4</v>
      </c>
      <c r="G368" s="22">
        <f t="shared" si="10"/>
        <v>1.23333333333333</v>
      </c>
      <c r="H368" s="85" t="s">
        <v>1465</v>
      </c>
      <c r="I368" s="85" t="s">
        <v>1466</v>
      </c>
      <c r="J368" s="29">
        <v>441</v>
      </c>
      <c r="K368" s="36">
        <v>63</v>
      </c>
      <c r="L368" s="25" t="str">
        <f t="shared" si="11"/>
        <v/>
      </c>
    </row>
    <row r="369" spans="1:12">
      <c r="A369" s="32" t="s">
        <v>1467</v>
      </c>
      <c r="B369" s="33">
        <v>20</v>
      </c>
      <c r="C369" s="33">
        <v>6</v>
      </c>
      <c r="D369" s="32" t="s">
        <v>1468</v>
      </c>
      <c r="E369" s="20"/>
      <c r="F369" s="34">
        <v>7.4</v>
      </c>
      <c r="G369" s="22">
        <f t="shared" si="10"/>
        <v>1.23333333333333</v>
      </c>
      <c r="H369" s="85" t="s">
        <v>1469</v>
      </c>
      <c r="I369" s="85" t="s">
        <v>1470</v>
      </c>
      <c r="J369" s="29">
        <v>441</v>
      </c>
      <c r="K369" s="36">
        <v>63</v>
      </c>
      <c r="L369" s="25" t="str">
        <f t="shared" si="11"/>
        <v/>
      </c>
    </row>
    <row r="370" spans="1:12">
      <c r="A370" s="32" t="s">
        <v>1471</v>
      </c>
      <c r="B370" s="33">
        <v>492</v>
      </c>
      <c r="C370" s="33">
        <v>6</v>
      </c>
      <c r="D370" s="32" t="s">
        <v>1472</v>
      </c>
      <c r="E370" s="20"/>
      <c r="F370" s="34">
        <v>19.4</v>
      </c>
      <c r="G370" s="34">
        <f t="shared" si="10"/>
        <v>3.23333333333333</v>
      </c>
      <c r="H370" s="85" t="s">
        <v>1473</v>
      </c>
      <c r="I370" s="85" t="s">
        <v>1474</v>
      </c>
      <c r="J370" s="29">
        <v>427</v>
      </c>
      <c r="K370" s="36">
        <v>61</v>
      </c>
      <c r="L370" s="40" t="str">
        <f t="shared" si="11"/>
        <v/>
      </c>
    </row>
    <row r="371" spans="1:12">
      <c r="A371" s="32" t="s">
        <v>1475</v>
      </c>
      <c r="B371" s="33">
        <v>74</v>
      </c>
      <c r="C371" s="33">
        <v>6</v>
      </c>
      <c r="D371" s="32" t="s">
        <v>1476</v>
      </c>
      <c r="E371" s="20"/>
      <c r="F371" s="34">
        <v>19.4</v>
      </c>
      <c r="G371" s="22">
        <f t="shared" si="10"/>
        <v>3.23333333333333</v>
      </c>
      <c r="H371" s="85" t="s">
        <v>1477</v>
      </c>
      <c r="I371" s="85" t="s">
        <v>1478</v>
      </c>
      <c r="J371" s="29">
        <v>295</v>
      </c>
      <c r="K371" s="36">
        <v>59</v>
      </c>
      <c r="L371" s="40" t="str">
        <f t="shared" si="11"/>
        <v/>
      </c>
    </row>
    <row r="372" spans="1:12">
      <c r="A372" s="32" t="s">
        <v>1479</v>
      </c>
      <c r="B372" s="33">
        <v>113</v>
      </c>
      <c r="C372" s="33">
        <v>10</v>
      </c>
      <c r="D372" s="32" t="s">
        <v>1480</v>
      </c>
      <c r="E372" s="29"/>
      <c r="F372" s="34">
        <v>3</v>
      </c>
      <c r="G372" s="34">
        <f t="shared" si="10"/>
        <v>0.3</v>
      </c>
      <c r="H372" s="85" t="s">
        <v>1481</v>
      </c>
      <c r="I372" s="85" t="s">
        <v>1482</v>
      </c>
      <c r="J372" s="29"/>
      <c r="K372" s="36"/>
      <c r="L372" s="25" t="str">
        <f t="shared" si="11"/>
        <v/>
      </c>
    </row>
    <row r="373" spans="1:12">
      <c r="A373" s="32" t="s">
        <v>1483</v>
      </c>
      <c r="B373" s="33">
        <v>33</v>
      </c>
      <c r="C373" s="33">
        <v>20</v>
      </c>
      <c r="D373" s="32" t="s">
        <v>1484</v>
      </c>
      <c r="E373" s="29"/>
      <c r="F373" s="34">
        <v>7.99</v>
      </c>
      <c r="G373" s="34">
        <f t="shared" si="10"/>
        <v>0.3995</v>
      </c>
      <c r="H373" s="85" t="s">
        <v>1485</v>
      </c>
      <c r="I373" s="85" t="s">
        <v>1486</v>
      </c>
      <c r="J373" s="29">
        <v>1152</v>
      </c>
      <c r="K373" s="36">
        <v>144</v>
      </c>
      <c r="L373" s="25" t="str">
        <f t="shared" si="11"/>
        <v/>
      </c>
    </row>
    <row r="374" spans="1:12">
      <c r="A374" s="32" t="s">
        <v>1487</v>
      </c>
      <c r="B374" s="33">
        <v>641</v>
      </c>
      <c r="C374" s="33">
        <v>20</v>
      </c>
      <c r="D374" s="32" t="s">
        <v>1488</v>
      </c>
      <c r="E374" s="29"/>
      <c r="F374" s="34">
        <v>7.99</v>
      </c>
      <c r="G374" s="34">
        <f t="shared" si="10"/>
        <v>0.3995</v>
      </c>
      <c r="H374" s="85" t="s">
        <v>1489</v>
      </c>
      <c r="I374" s="85" t="s">
        <v>1490</v>
      </c>
      <c r="J374" s="29">
        <v>1152</v>
      </c>
      <c r="K374" s="36">
        <v>144</v>
      </c>
      <c r="L374" s="25" t="str">
        <f t="shared" si="11"/>
        <v/>
      </c>
    </row>
    <row r="375" spans="1:12">
      <c r="A375" s="32" t="s">
        <v>1491</v>
      </c>
      <c r="B375" s="33">
        <v>167</v>
      </c>
      <c r="C375" s="33">
        <v>20</v>
      </c>
      <c r="D375" s="32" t="s">
        <v>1492</v>
      </c>
      <c r="E375" s="29"/>
      <c r="F375" s="34">
        <v>7.99</v>
      </c>
      <c r="G375" s="34">
        <f t="shared" si="10"/>
        <v>0.3995</v>
      </c>
      <c r="H375" s="85" t="s">
        <v>1493</v>
      </c>
      <c r="I375" s="85" t="s">
        <v>1494</v>
      </c>
      <c r="J375" s="29">
        <v>1152</v>
      </c>
      <c r="K375" s="36">
        <v>144</v>
      </c>
      <c r="L375" s="25" t="str">
        <f t="shared" si="11"/>
        <v/>
      </c>
    </row>
    <row r="376" spans="1:12">
      <c r="A376" s="32" t="s">
        <v>1495</v>
      </c>
      <c r="B376" s="33">
        <v>234</v>
      </c>
      <c r="C376" s="33">
        <v>20</v>
      </c>
      <c r="D376" s="32" t="s">
        <v>1496</v>
      </c>
      <c r="E376" s="29"/>
      <c r="F376" s="34">
        <v>7.99</v>
      </c>
      <c r="G376" s="34">
        <f t="shared" si="10"/>
        <v>0.3995</v>
      </c>
      <c r="H376" s="85" t="s">
        <v>1497</v>
      </c>
      <c r="I376" s="85" t="s">
        <v>1498</v>
      </c>
      <c r="J376" s="29">
        <v>840</v>
      </c>
      <c r="K376" s="36">
        <v>120</v>
      </c>
      <c r="L376" s="40" t="str">
        <f t="shared" si="11"/>
        <v/>
      </c>
    </row>
    <row r="377" spans="1:12">
      <c r="A377" s="32" t="s">
        <v>1499</v>
      </c>
      <c r="B377" s="33">
        <v>304</v>
      </c>
      <c r="C377" s="33">
        <v>20</v>
      </c>
      <c r="D377" s="32" t="s">
        <v>1500</v>
      </c>
      <c r="E377" s="29"/>
      <c r="F377" s="34">
        <v>7.99</v>
      </c>
      <c r="G377" s="34">
        <f t="shared" si="10"/>
        <v>0.3995</v>
      </c>
      <c r="H377" s="85" t="s">
        <v>1501</v>
      </c>
      <c r="I377" s="85" t="s">
        <v>1502</v>
      </c>
      <c r="J377" s="29">
        <v>840</v>
      </c>
      <c r="K377" s="36">
        <v>120</v>
      </c>
      <c r="L377" s="25" t="str">
        <f t="shared" si="11"/>
        <v/>
      </c>
    </row>
    <row r="378" spans="1:12">
      <c r="A378" s="32" t="s">
        <v>1503</v>
      </c>
      <c r="B378" s="33">
        <v>547</v>
      </c>
      <c r="C378" s="33">
        <v>20</v>
      </c>
      <c r="D378" s="32" t="s">
        <v>1504</v>
      </c>
      <c r="E378" s="29"/>
      <c r="F378" s="34">
        <v>7.99</v>
      </c>
      <c r="G378" s="34">
        <f t="shared" si="10"/>
        <v>0.3995</v>
      </c>
      <c r="H378" s="85" t="s">
        <v>1505</v>
      </c>
      <c r="I378" s="85" t="s">
        <v>1506</v>
      </c>
      <c r="J378" s="29">
        <v>840</v>
      </c>
      <c r="K378" s="36">
        <v>120</v>
      </c>
      <c r="L378" s="25" t="str">
        <f t="shared" si="11"/>
        <v/>
      </c>
    </row>
    <row r="379" spans="1:12">
      <c r="A379" s="32" t="s">
        <v>1507</v>
      </c>
      <c r="B379" s="33">
        <v>440</v>
      </c>
      <c r="C379" s="33">
        <v>20</v>
      </c>
      <c r="D379" s="32" t="s">
        <v>1508</v>
      </c>
      <c r="E379" s="29"/>
      <c r="F379" s="34">
        <v>7.99</v>
      </c>
      <c r="G379" s="34">
        <f t="shared" si="10"/>
        <v>0.3995</v>
      </c>
      <c r="H379" s="85" t="s">
        <v>1509</v>
      </c>
      <c r="I379" s="85" t="s">
        <v>1510</v>
      </c>
      <c r="J379" s="29">
        <v>840</v>
      </c>
      <c r="K379" s="36">
        <v>120</v>
      </c>
      <c r="L379" s="25" t="str">
        <f t="shared" si="11"/>
        <v/>
      </c>
    </row>
    <row r="380" spans="1:12">
      <c r="A380" s="32" t="s">
        <v>1511</v>
      </c>
      <c r="B380" s="33">
        <v>584</v>
      </c>
      <c r="C380" s="33">
        <v>20</v>
      </c>
      <c r="D380" s="32" t="s">
        <v>1512</v>
      </c>
      <c r="E380" s="29"/>
      <c r="F380" s="34">
        <v>7.99</v>
      </c>
      <c r="G380" s="34">
        <f t="shared" si="10"/>
        <v>0.3995</v>
      </c>
      <c r="H380" s="85" t="s">
        <v>1513</v>
      </c>
      <c r="I380" s="85" t="s">
        <v>1514</v>
      </c>
      <c r="J380" s="29">
        <v>840</v>
      </c>
      <c r="K380" s="36">
        <v>120</v>
      </c>
      <c r="L380" s="40" t="str">
        <f t="shared" si="11"/>
        <v/>
      </c>
    </row>
    <row r="381" spans="1:12">
      <c r="A381" s="32" t="s">
        <v>1515</v>
      </c>
      <c r="B381" s="33">
        <v>445</v>
      </c>
      <c r="C381" s="33">
        <v>6</v>
      </c>
      <c r="D381" s="32" t="s">
        <v>1516</v>
      </c>
      <c r="E381" s="29"/>
      <c r="F381" s="34">
        <v>9.9</v>
      </c>
      <c r="G381" s="34">
        <f t="shared" si="10"/>
        <v>1.65</v>
      </c>
      <c r="H381" s="85" t="s">
        <v>1517</v>
      </c>
      <c r="I381" s="85" t="s">
        <v>1518</v>
      </c>
      <c r="J381" s="29">
        <v>258</v>
      </c>
      <c r="K381" s="30">
        <v>86</v>
      </c>
      <c r="L381" s="25" t="str">
        <f t="shared" si="11"/>
        <v/>
      </c>
    </row>
    <row r="382" spans="1:12">
      <c r="A382" s="32" t="s">
        <v>1519</v>
      </c>
      <c r="B382" s="33">
        <v>171</v>
      </c>
      <c r="C382" s="33">
        <v>6</v>
      </c>
      <c r="D382" s="32" t="s">
        <v>1520</v>
      </c>
      <c r="E382" s="20"/>
      <c r="F382" s="34">
        <v>9.9</v>
      </c>
      <c r="G382" s="22">
        <f t="shared" si="10"/>
        <v>1.65</v>
      </c>
      <c r="H382" s="85" t="s">
        <v>1521</v>
      </c>
      <c r="I382" s="85" t="s">
        <v>1522</v>
      </c>
      <c r="J382" s="29">
        <v>258</v>
      </c>
      <c r="K382" s="36">
        <v>86</v>
      </c>
      <c r="L382" s="25" t="str">
        <f t="shared" si="11"/>
        <v/>
      </c>
    </row>
    <row r="383" spans="1:12">
      <c r="A383" s="32" t="s">
        <v>1523</v>
      </c>
      <c r="B383" s="33">
        <v>250</v>
      </c>
      <c r="C383" s="33">
        <v>6</v>
      </c>
      <c r="D383" s="32" t="s">
        <v>1524</v>
      </c>
      <c r="E383" s="20"/>
      <c r="F383" s="34">
        <v>9.9</v>
      </c>
      <c r="G383" s="22">
        <f t="shared" si="10"/>
        <v>1.65</v>
      </c>
      <c r="H383" s="85" t="s">
        <v>1525</v>
      </c>
      <c r="I383" s="85" t="s">
        <v>1526</v>
      </c>
      <c r="J383" s="29">
        <v>246</v>
      </c>
      <c r="K383" s="36">
        <v>82</v>
      </c>
      <c r="L383" s="25" t="str">
        <f t="shared" si="11"/>
        <v/>
      </c>
    </row>
    <row r="384" spans="1:12">
      <c r="A384" s="32" t="s">
        <v>1527</v>
      </c>
      <c r="B384" s="33">
        <v>316</v>
      </c>
      <c r="C384" s="33">
        <v>6</v>
      </c>
      <c r="D384" s="32" t="s">
        <v>1528</v>
      </c>
      <c r="E384" s="20"/>
      <c r="F384" s="34">
        <v>9.9</v>
      </c>
      <c r="G384" s="22">
        <f t="shared" si="10"/>
        <v>1.65</v>
      </c>
      <c r="H384" s="85" t="s">
        <v>1529</v>
      </c>
      <c r="I384" s="85" t="s">
        <v>1530</v>
      </c>
      <c r="J384" s="29">
        <v>246</v>
      </c>
      <c r="K384" s="36">
        <v>82</v>
      </c>
      <c r="L384" s="25" t="str">
        <f t="shared" si="11"/>
        <v/>
      </c>
    </row>
    <row r="385" spans="1:12">
      <c r="A385" s="32" t="s">
        <v>1531</v>
      </c>
      <c r="B385" s="33">
        <v>27</v>
      </c>
      <c r="C385" s="33">
        <v>6</v>
      </c>
      <c r="D385" s="32" t="s">
        <v>1532</v>
      </c>
      <c r="E385" s="20"/>
      <c r="F385" s="34">
        <v>9.9</v>
      </c>
      <c r="G385" s="22">
        <f t="shared" ref="G385:G447" si="12">F385/C385</f>
        <v>1.65</v>
      </c>
      <c r="H385" s="85" t="s">
        <v>1533</v>
      </c>
      <c r="I385" s="85" t="s">
        <v>1534</v>
      </c>
      <c r="J385" s="29">
        <v>246</v>
      </c>
      <c r="K385" s="36">
        <v>82</v>
      </c>
      <c r="L385" s="25" t="str">
        <f t="shared" ref="L385:L447" si="13">IF(E385,E385*F385,"")</f>
        <v/>
      </c>
    </row>
    <row r="386" spans="1:12">
      <c r="A386" s="32" t="s">
        <v>1535</v>
      </c>
      <c r="B386" s="33">
        <v>93</v>
      </c>
      <c r="C386" s="33">
        <v>6</v>
      </c>
      <c r="D386" s="32" t="s">
        <v>1536</v>
      </c>
      <c r="E386" s="29"/>
      <c r="F386" s="34">
        <v>9.9</v>
      </c>
      <c r="G386" s="22">
        <f t="shared" si="12"/>
        <v>1.65</v>
      </c>
      <c r="H386" s="85" t="s">
        <v>1537</v>
      </c>
      <c r="I386" s="85" t="s">
        <v>1538</v>
      </c>
      <c r="J386" s="29">
        <v>246</v>
      </c>
      <c r="K386" s="30">
        <v>82</v>
      </c>
      <c r="L386" s="25" t="str">
        <f t="shared" si="13"/>
        <v/>
      </c>
    </row>
    <row r="387" spans="1:12">
      <c r="A387" s="32" t="s">
        <v>1539</v>
      </c>
      <c r="B387" s="33">
        <v>619</v>
      </c>
      <c r="C387" s="33">
        <v>6</v>
      </c>
      <c r="D387" s="32" t="s">
        <v>1540</v>
      </c>
      <c r="E387" s="29"/>
      <c r="F387" s="34">
        <v>9.9</v>
      </c>
      <c r="G387" s="22">
        <f t="shared" si="12"/>
        <v>1.65</v>
      </c>
      <c r="H387" s="85" t="s">
        <v>1541</v>
      </c>
      <c r="I387" s="85" t="s">
        <v>1542</v>
      </c>
      <c r="J387" s="29">
        <v>246</v>
      </c>
      <c r="K387" s="36">
        <v>82</v>
      </c>
      <c r="L387" s="25" t="str">
        <f t="shared" si="13"/>
        <v/>
      </c>
    </row>
    <row r="388" spans="1:12">
      <c r="A388" s="32" t="s">
        <v>1543</v>
      </c>
      <c r="B388" s="33">
        <v>351</v>
      </c>
      <c r="C388" s="33">
        <v>6</v>
      </c>
      <c r="D388" s="32" t="s">
        <v>1544</v>
      </c>
      <c r="E388" s="20"/>
      <c r="F388" s="34">
        <v>9.9</v>
      </c>
      <c r="G388" s="22">
        <f t="shared" si="12"/>
        <v>1.65</v>
      </c>
      <c r="H388" s="85" t="s">
        <v>1545</v>
      </c>
      <c r="I388" s="85" t="s">
        <v>1546</v>
      </c>
      <c r="J388" s="29">
        <v>246</v>
      </c>
      <c r="K388" s="36">
        <v>82</v>
      </c>
      <c r="L388" s="25" t="str">
        <f t="shared" si="13"/>
        <v/>
      </c>
    </row>
    <row r="389" spans="1:12">
      <c r="A389" s="32" t="s">
        <v>1547</v>
      </c>
      <c r="B389" s="33">
        <v>104</v>
      </c>
      <c r="C389" s="33">
        <v>6</v>
      </c>
      <c r="D389" s="32" t="s">
        <v>1548</v>
      </c>
      <c r="E389" s="20"/>
      <c r="F389" s="34">
        <v>9.9</v>
      </c>
      <c r="G389" s="22">
        <f t="shared" si="12"/>
        <v>1.65</v>
      </c>
      <c r="H389" s="85" t="s">
        <v>1549</v>
      </c>
      <c r="I389" s="85" t="s">
        <v>1550</v>
      </c>
      <c r="J389" s="29">
        <v>246</v>
      </c>
      <c r="K389" s="36">
        <v>82</v>
      </c>
      <c r="L389" s="25" t="str">
        <f t="shared" si="13"/>
        <v/>
      </c>
    </row>
    <row r="390" spans="1:12">
      <c r="A390" s="32" t="s">
        <v>1551</v>
      </c>
      <c r="B390" s="33">
        <v>17</v>
      </c>
      <c r="C390" s="33">
        <v>6</v>
      </c>
      <c r="D390" s="32" t="s">
        <v>1552</v>
      </c>
      <c r="E390" s="20"/>
      <c r="F390" s="34">
        <v>11.85</v>
      </c>
      <c r="G390" s="22">
        <f t="shared" si="12"/>
        <v>1.975</v>
      </c>
      <c r="H390" s="85" t="s">
        <v>1553</v>
      </c>
      <c r="I390" s="85" t="s">
        <v>1554</v>
      </c>
      <c r="J390" s="29">
        <v>219</v>
      </c>
      <c r="K390" s="36">
        <v>73</v>
      </c>
      <c r="L390" s="25" t="str">
        <f t="shared" si="13"/>
        <v/>
      </c>
    </row>
    <row r="391" spans="1:12">
      <c r="A391" s="32" t="s">
        <v>1555</v>
      </c>
      <c r="B391" s="33">
        <v>40</v>
      </c>
      <c r="C391" s="33">
        <v>6</v>
      </c>
      <c r="D391" s="32" t="s">
        <v>1556</v>
      </c>
      <c r="E391" s="20"/>
      <c r="F391" s="34">
        <v>11.85</v>
      </c>
      <c r="G391" s="22">
        <f t="shared" si="12"/>
        <v>1.975</v>
      </c>
      <c r="H391" s="85" t="s">
        <v>1557</v>
      </c>
      <c r="I391" s="85" t="s">
        <v>1558</v>
      </c>
      <c r="J391" s="29">
        <v>219</v>
      </c>
      <c r="K391" s="36">
        <v>73</v>
      </c>
      <c r="L391" s="25" t="str">
        <f t="shared" si="13"/>
        <v/>
      </c>
    </row>
    <row r="392" spans="1:12">
      <c r="A392" s="32" t="s">
        <v>1559</v>
      </c>
      <c r="B392" s="33">
        <v>3</v>
      </c>
      <c r="C392" s="33">
        <v>6</v>
      </c>
      <c r="D392" s="32" t="s">
        <v>1560</v>
      </c>
      <c r="E392" s="20"/>
      <c r="F392" s="34">
        <v>11.85</v>
      </c>
      <c r="G392" s="22">
        <f t="shared" si="12"/>
        <v>1.975</v>
      </c>
      <c r="H392" s="85" t="s">
        <v>1561</v>
      </c>
      <c r="I392" s="85" t="s">
        <v>1562</v>
      </c>
      <c r="J392" s="36">
        <v>219</v>
      </c>
      <c r="K392" s="36">
        <v>73</v>
      </c>
      <c r="L392" s="25" t="str">
        <f t="shared" si="13"/>
        <v/>
      </c>
    </row>
    <row r="393" spans="1:12">
      <c r="A393" s="32" t="s">
        <v>1563</v>
      </c>
      <c r="B393" s="33">
        <v>97</v>
      </c>
      <c r="C393" s="33">
        <v>6</v>
      </c>
      <c r="D393" s="32" t="s">
        <v>1564</v>
      </c>
      <c r="E393" s="20"/>
      <c r="F393" s="34">
        <v>11.85</v>
      </c>
      <c r="G393" s="22">
        <f t="shared" si="12"/>
        <v>1.975</v>
      </c>
      <c r="H393" s="85" t="s">
        <v>1565</v>
      </c>
      <c r="I393" s="85" t="s">
        <v>1566</v>
      </c>
      <c r="J393" s="29">
        <v>219</v>
      </c>
      <c r="K393" s="36">
        <v>73</v>
      </c>
      <c r="L393" s="25" t="str">
        <f t="shared" si="13"/>
        <v/>
      </c>
    </row>
    <row r="394" spans="1:12">
      <c r="A394" s="32" t="s">
        <v>1567</v>
      </c>
      <c r="B394" s="33">
        <v>290</v>
      </c>
      <c r="C394" s="33">
        <v>6</v>
      </c>
      <c r="D394" s="32" t="s">
        <v>1568</v>
      </c>
      <c r="E394" s="20"/>
      <c r="F394" s="34">
        <v>11.85</v>
      </c>
      <c r="G394" s="22">
        <f t="shared" si="12"/>
        <v>1.975</v>
      </c>
      <c r="H394" s="85" t="s">
        <v>1569</v>
      </c>
      <c r="I394" s="85" t="s">
        <v>1570</v>
      </c>
      <c r="J394" s="29">
        <v>219</v>
      </c>
      <c r="K394" s="36">
        <v>73</v>
      </c>
      <c r="L394" s="25" t="str">
        <f t="shared" si="13"/>
        <v/>
      </c>
    </row>
    <row r="395" spans="1:12">
      <c r="A395" s="32" t="s">
        <v>1571</v>
      </c>
      <c r="B395" s="33">
        <v>73</v>
      </c>
      <c r="C395" s="33">
        <v>6</v>
      </c>
      <c r="D395" s="32" t="s">
        <v>1572</v>
      </c>
      <c r="E395" s="20"/>
      <c r="F395" s="34">
        <v>11.85</v>
      </c>
      <c r="G395" s="22">
        <f t="shared" si="12"/>
        <v>1.975</v>
      </c>
      <c r="H395" s="35"/>
      <c r="I395" s="35"/>
      <c r="J395" s="29">
        <v>219</v>
      </c>
      <c r="K395" s="36">
        <v>73</v>
      </c>
      <c r="L395" s="25" t="str">
        <f t="shared" si="13"/>
        <v/>
      </c>
    </row>
    <row r="396" spans="1:12">
      <c r="A396" s="32" t="s">
        <v>1573</v>
      </c>
      <c r="B396" s="33">
        <v>62</v>
      </c>
      <c r="C396" s="33">
        <v>6</v>
      </c>
      <c r="D396" s="32" t="s">
        <v>1574</v>
      </c>
      <c r="E396" s="20"/>
      <c r="F396" s="37">
        <v>14.95</v>
      </c>
      <c r="G396" s="38">
        <f t="shared" si="12"/>
        <v>2.49166666666667</v>
      </c>
      <c r="H396" s="85" t="s">
        <v>1575</v>
      </c>
      <c r="I396" s="85" t="s">
        <v>1576</v>
      </c>
      <c r="J396" s="29">
        <v>171</v>
      </c>
      <c r="K396" s="36">
        <v>57</v>
      </c>
      <c r="L396" s="25" t="str">
        <f t="shared" si="13"/>
        <v/>
      </c>
    </row>
    <row r="397" spans="1:12">
      <c r="A397" s="32" t="s">
        <v>1577</v>
      </c>
      <c r="B397" s="33">
        <v>528</v>
      </c>
      <c r="C397" s="33">
        <v>6</v>
      </c>
      <c r="D397" s="32" t="s">
        <v>1578</v>
      </c>
      <c r="E397" s="20"/>
      <c r="F397" s="34">
        <v>14.95</v>
      </c>
      <c r="G397" s="22">
        <f t="shared" si="12"/>
        <v>2.49166666666667</v>
      </c>
      <c r="H397" s="85" t="s">
        <v>1579</v>
      </c>
      <c r="I397" s="85" t="s">
        <v>1580</v>
      </c>
      <c r="J397" s="29">
        <v>171</v>
      </c>
      <c r="K397" s="36">
        <v>57</v>
      </c>
      <c r="L397" s="25" t="str">
        <f t="shared" si="13"/>
        <v/>
      </c>
    </row>
    <row r="398" spans="1:12">
      <c r="A398" s="32" t="s">
        <v>1581</v>
      </c>
      <c r="B398" s="33">
        <v>6</v>
      </c>
      <c r="C398" s="33">
        <v>6</v>
      </c>
      <c r="D398" s="32" t="s">
        <v>1582</v>
      </c>
      <c r="E398" s="20"/>
      <c r="F398" s="34">
        <v>14.95</v>
      </c>
      <c r="G398" s="22">
        <f t="shared" si="12"/>
        <v>2.49166666666667</v>
      </c>
      <c r="H398" s="85" t="s">
        <v>1583</v>
      </c>
      <c r="I398" s="85" t="s">
        <v>1584</v>
      </c>
      <c r="J398" s="29">
        <v>171</v>
      </c>
      <c r="K398" s="36">
        <v>57</v>
      </c>
      <c r="L398" s="25" t="str">
        <f t="shared" si="13"/>
        <v/>
      </c>
    </row>
    <row r="399" spans="1:12">
      <c r="A399" s="32" t="s">
        <v>1585</v>
      </c>
      <c r="B399" s="33">
        <v>61</v>
      </c>
      <c r="C399" s="33">
        <v>6</v>
      </c>
      <c r="D399" s="32" t="s">
        <v>1586</v>
      </c>
      <c r="E399" s="20"/>
      <c r="F399" s="34">
        <v>14.95</v>
      </c>
      <c r="G399" s="22">
        <f t="shared" si="12"/>
        <v>2.49166666666667</v>
      </c>
      <c r="H399" s="85" t="s">
        <v>1587</v>
      </c>
      <c r="I399" s="85" t="s">
        <v>1588</v>
      </c>
      <c r="J399" s="29">
        <v>171</v>
      </c>
      <c r="K399" s="36">
        <v>57</v>
      </c>
      <c r="L399" s="25" t="str">
        <f t="shared" si="13"/>
        <v/>
      </c>
    </row>
    <row r="400" spans="1:12">
      <c r="A400" s="32" t="s">
        <v>1589</v>
      </c>
      <c r="B400" s="33">
        <v>20</v>
      </c>
      <c r="C400" s="33">
        <v>6</v>
      </c>
      <c r="D400" s="32" t="s">
        <v>1590</v>
      </c>
      <c r="E400" s="20"/>
      <c r="F400" s="34">
        <v>6.6</v>
      </c>
      <c r="G400" s="22">
        <f t="shared" si="12"/>
        <v>1.1</v>
      </c>
      <c r="H400" s="85" t="s">
        <v>1591</v>
      </c>
      <c r="I400" s="85" t="s">
        <v>1592</v>
      </c>
      <c r="J400" s="29"/>
      <c r="K400" s="36"/>
      <c r="L400" s="25" t="str">
        <f t="shared" si="13"/>
        <v/>
      </c>
    </row>
    <row r="401" spans="1:12">
      <c r="A401" s="41" t="s">
        <v>1593</v>
      </c>
      <c r="B401" s="31">
        <v>177</v>
      </c>
      <c r="C401" s="30">
        <v>10</v>
      </c>
      <c r="D401" s="41" t="s">
        <v>1594</v>
      </c>
      <c r="E401" s="20"/>
      <c r="F401" s="48">
        <v>6.3</v>
      </c>
      <c r="G401" s="22">
        <f t="shared" si="12"/>
        <v>0.63</v>
      </c>
      <c r="H401" s="87" t="s">
        <v>1595</v>
      </c>
      <c r="I401" s="87" t="s">
        <v>1596</v>
      </c>
      <c r="J401" s="29">
        <v>120</v>
      </c>
      <c r="K401" s="36">
        <v>20</v>
      </c>
      <c r="L401" s="25" t="str">
        <f t="shared" si="13"/>
        <v/>
      </c>
    </row>
    <row r="402" spans="1:12">
      <c r="A402" s="32" t="s">
        <v>1597</v>
      </c>
      <c r="B402" s="33">
        <v>3</v>
      </c>
      <c r="C402" s="33">
        <v>10</v>
      </c>
      <c r="D402" s="32" t="s">
        <v>1598</v>
      </c>
      <c r="E402" s="20"/>
      <c r="F402" s="34">
        <v>6.3</v>
      </c>
      <c r="G402" s="22">
        <f t="shared" si="12"/>
        <v>0.63</v>
      </c>
      <c r="H402" s="85" t="s">
        <v>1599</v>
      </c>
      <c r="I402" s="85" t="s">
        <v>1600</v>
      </c>
      <c r="J402" s="29">
        <v>120</v>
      </c>
      <c r="K402" s="36">
        <v>20</v>
      </c>
      <c r="L402" s="25" t="str">
        <f t="shared" si="13"/>
        <v/>
      </c>
    </row>
    <row r="403" spans="1:12">
      <c r="A403" s="32" t="s">
        <v>1601</v>
      </c>
      <c r="B403" s="33">
        <v>199</v>
      </c>
      <c r="C403" s="33">
        <v>6</v>
      </c>
      <c r="D403" s="32" t="s">
        <v>1602</v>
      </c>
      <c r="E403" s="20"/>
      <c r="F403" s="34">
        <v>3.84</v>
      </c>
      <c r="G403" s="34">
        <f t="shared" si="12"/>
        <v>0.64</v>
      </c>
      <c r="H403" s="85" t="s">
        <v>1603</v>
      </c>
      <c r="I403" s="85" t="s">
        <v>1604</v>
      </c>
      <c r="J403" s="29">
        <v>480</v>
      </c>
      <c r="K403" s="36">
        <v>80</v>
      </c>
      <c r="L403" s="25" t="str">
        <f t="shared" si="13"/>
        <v/>
      </c>
    </row>
    <row r="404" spans="1:12">
      <c r="A404" s="32" t="s">
        <v>1605</v>
      </c>
      <c r="B404" s="33">
        <v>216</v>
      </c>
      <c r="C404" s="33">
        <v>6</v>
      </c>
      <c r="D404" s="32" t="s">
        <v>1606</v>
      </c>
      <c r="E404" s="20"/>
      <c r="F404" s="34">
        <v>4.2</v>
      </c>
      <c r="G404" s="34">
        <f t="shared" si="12"/>
        <v>0.7</v>
      </c>
      <c r="H404" s="85" t="s">
        <v>1607</v>
      </c>
      <c r="I404" s="85" t="s">
        <v>1608</v>
      </c>
      <c r="J404" s="29">
        <v>352</v>
      </c>
      <c r="K404" s="36">
        <v>44</v>
      </c>
      <c r="L404" s="25" t="str">
        <f t="shared" si="13"/>
        <v/>
      </c>
    </row>
    <row r="405" spans="1:12">
      <c r="A405" s="32" t="s">
        <v>1609</v>
      </c>
      <c r="B405" s="33">
        <v>261</v>
      </c>
      <c r="C405" s="33">
        <v>6</v>
      </c>
      <c r="D405" s="32" t="s">
        <v>1610</v>
      </c>
      <c r="E405" s="20"/>
      <c r="F405" s="34">
        <v>4.2</v>
      </c>
      <c r="G405" s="34">
        <f t="shared" si="12"/>
        <v>0.7</v>
      </c>
      <c r="H405" s="85" t="s">
        <v>1611</v>
      </c>
      <c r="I405" s="85" t="s">
        <v>1612</v>
      </c>
      <c r="J405" s="29">
        <v>352</v>
      </c>
      <c r="K405" s="36">
        <v>44</v>
      </c>
      <c r="L405" s="25" t="str">
        <f t="shared" si="13"/>
        <v/>
      </c>
    </row>
    <row r="406" spans="1:12">
      <c r="A406" s="32" t="s">
        <v>1613</v>
      </c>
      <c r="B406" s="33">
        <v>424</v>
      </c>
      <c r="C406" s="33">
        <v>6</v>
      </c>
      <c r="D406" s="32" t="s">
        <v>1614</v>
      </c>
      <c r="E406" s="20"/>
      <c r="F406" s="34">
        <v>4.2</v>
      </c>
      <c r="G406" s="34">
        <f t="shared" si="12"/>
        <v>0.7</v>
      </c>
      <c r="H406" s="85" t="s">
        <v>1615</v>
      </c>
      <c r="I406" s="85" t="s">
        <v>1616</v>
      </c>
      <c r="J406" s="29">
        <v>352</v>
      </c>
      <c r="K406" s="36">
        <v>44</v>
      </c>
      <c r="L406" s="25" t="str">
        <f t="shared" si="13"/>
        <v/>
      </c>
    </row>
    <row r="407" spans="1:12">
      <c r="A407" s="32" t="s">
        <v>1617</v>
      </c>
      <c r="B407" s="33">
        <v>416</v>
      </c>
      <c r="C407" s="33">
        <v>6</v>
      </c>
      <c r="D407" s="32" t="s">
        <v>1618</v>
      </c>
      <c r="E407" s="20"/>
      <c r="F407" s="34">
        <v>4.2</v>
      </c>
      <c r="G407" s="34">
        <f t="shared" si="12"/>
        <v>0.7</v>
      </c>
      <c r="H407" s="85" t="s">
        <v>1619</v>
      </c>
      <c r="I407" s="85" t="s">
        <v>1620</v>
      </c>
      <c r="J407" s="29">
        <v>352</v>
      </c>
      <c r="K407" s="36">
        <v>44</v>
      </c>
      <c r="L407" s="25" t="str">
        <f t="shared" si="13"/>
        <v/>
      </c>
    </row>
    <row r="408" spans="1:12">
      <c r="A408" s="32" t="s">
        <v>1621</v>
      </c>
      <c r="B408" s="33">
        <v>130</v>
      </c>
      <c r="C408" s="33">
        <v>6</v>
      </c>
      <c r="D408" s="32" t="s">
        <v>1622</v>
      </c>
      <c r="E408" s="20"/>
      <c r="F408" s="34">
        <v>4.2</v>
      </c>
      <c r="G408" s="34">
        <f t="shared" si="12"/>
        <v>0.7</v>
      </c>
      <c r="H408" s="85" t="s">
        <v>1623</v>
      </c>
      <c r="I408" s="85" t="s">
        <v>1624</v>
      </c>
      <c r="J408" s="29">
        <v>352</v>
      </c>
      <c r="K408" s="36">
        <v>44</v>
      </c>
      <c r="L408" s="25" t="str">
        <f t="shared" si="13"/>
        <v/>
      </c>
    </row>
    <row r="409" spans="1:12">
      <c r="A409" s="32" t="s">
        <v>1625</v>
      </c>
      <c r="B409" s="33">
        <v>383</v>
      </c>
      <c r="C409" s="33">
        <v>6</v>
      </c>
      <c r="D409" s="32" t="s">
        <v>1626</v>
      </c>
      <c r="E409" s="20"/>
      <c r="F409" s="34">
        <v>4.2</v>
      </c>
      <c r="G409" s="34">
        <f t="shared" si="12"/>
        <v>0.7</v>
      </c>
      <c r="H409" s="85" t="s">
        <v>1627</v>
      </c>
      <c r="I409" s="85" t="s">
        <v>1628</v>
      </c>
      <c r="J409" s="29">
        <v>352</v>
      </c>
      <c r="K409" s="36">
        <v>44</v>
      </c>
      <c r="L409" s="25" t="str">
        <f t="shared" si="13"/>
        <v/>
      </c>
    </row>
    <row r="410" spans="1:12">
      <c r="A410" s="32" t="s">
        <v>1629</v>
      </c>
      <c r="B410" s="33">
        <v>77</v>
      </c>
      <c r="C410" s="33">
        <v>6</v>
      </c>
      <c r="D410" s="32" t="s">
        <v>1630</v>
      </c>
      <c r="E410" s="20"/>
      <c r="F410" s="34">
        <v>4.2</v>
      </c>
      <c r="G410" s="34">
        <f t="shared" si="12"/>
        <v>0.7</v>
      </c>
      <c r="H410" s="85" t="s">
        <v>1631</v>
      </c>
      <c r="I410" s="85" t="s">
        <v>1632</v>
      </c>
      <c r="J410" s="29">
        <v>352</v>
      </c>
      <c r="K410" s="36">
        <v>44</v>
      </c>
      <c r="L410" s="25" t="str">
        <f t="shared" si="13"/>
        <v/>
      </c>
    </row>
    <row r="411" spans="1:12">
      <c r="A411" s="32" t="s">
        <v>1633</v>
      </c>
      <c r="B411" s="33">
        <v>5</v>
      </c>
      <c r="C411" s="33">
        <v>9</v>
      </c>
      <c r="D411" s="32" t="s">
        <v>1634</v>
      </c>
      <c r="E411" s="20"/>
      <c r="F411" s="34">
        <v>7.25</v>
      </c>
      <c r="G411" s="34">
        <f t="shared" si="12"/>
        <v>0.805555555555556</v>
      </c>
      <c r="H411" s="85" t="s">
        <v>1635</v>
      </c>
      <c r="I411" s="85" t="s">
        <v>1636</v>
      </c>
      <c r="J411" s="29">
        <v>315</v>
      </c>
      <c r="K411" s="36">
        <v>35</v>
      </c>
      <c r="L411" s="25" t="str">
        <f t="shared" si="13"/>
        <v/>
      </c>
    </row>
    <row r="412" spans="1:12">
      <c r="A412" s="32" t="s">
        <v>1637</v>
      </c>
      <c r="B412" s="33">
        <v>423</v>
      </c>
      <c r="C412" s="33">
        <v>9</v>
      </c>
      <c r="D412" s="32" t="s">
        <v>1638</v>
      </c>
      <c r="E412" s="20"/>
      <c r="F412" s="34">
        <v>7.25</v>
      </c>
      <c r="G412" s="34">
        <f t="shared" si="12"/>
        <v>0.805555555555556</v>
      </c>
      <c r="H412" s="85" t="s">
        <v>1639</v>
      </c>
      <c r="I412" s="85" t="s">
        <v>1640</v>
      </c>
      <c r="J412" s="29">
        <v>315</v>
      </c>
      <c r="K412" s="36">
        <v>35</v>
      </c>
      <c r="L412" s="25" t="str">
        <f t="shared" si="13"/>
        <v/>
      </c>
    </row>
    <row r="413" spans="1:12">
      <c r="A413" s="32" t="s">
        <v>1641</v>
      </c>
      <c r="B413" s="19">
        <v>187</v>
      </c>
      <c r="C413" s="33">
        <v>8</v>
      </c>
      <c r="D413" s="32" t="s">
        <v>1642</v>
      </c>
      <c r="E413" s="20"/>
      <c r="F413" s="34">
        <v>12</v>
      </c>
      <c r="G413" s="22">
        <f t="shared" si="12"/>
        <v>1.5</v>
      </c>
      <c r="H413" s="55">
        <v>5000101513893</v>
      </c>
      <c r="I413" s="55">
        <v>5000101513886</v>
      </c>
      <c r="J413" s="19">
        <v>208</v>
      </c>
      <c r="K413" s="30">
        <v>26</v>
      </c>
      <c r="L413" s="25" t="str">
        <f t="shared" si="13"/>
        <v/>
      </c>
    </row>
    <row r="414" spans="1:12">
      <c r="A414" s="32" t="s">
        <v>1643</v>
      </c>
      <c r="B414" s="33">
        <v>36</v>
      </c>
      <c r="C414" s="33">
        <v>18</v>
      </c>
      <c r="D414" s="32" t="s">
        <v>1644</v>
      </c>
      <c r="E414" s="20"/>
      <c r="F414" s="34">
        <v>26.4</v>
      </c>
      <c r="G414" s="34">
        <f t="shared" si="12"/>
        <v>1.46666666666667</v>
      </c>
      <c r="H414" s="85" t="s">
        <v>1645</v>
      </c>
      <c r="I414" s="85" t="s">
        <v>1646</v>
      </c>
      <c r="J414" s="29">
        <v>85</v>
      </c>
      <c r="K414" s="36">
        <v>17</v>
      </c>
      <c r="L414" s="25" t="str">
        <f t="shared" si="13"/>
        <v/>
      </c>
    </row>
    <row r="415" spans="1:12">
      <c r="A415" s="32" t="s">
        <v>1647</v>
      </c>
      <c r="B415" s="33">
        <v>2</v>
      </c>
      <c r="C415" s="33">
        <v>12</v>
      </c>
      <c r="D415" s="32" t="s">
        <v>1648</v>
      </c>
      <c r="E415" s="20"/>
      <c r="F415" s="34">
        <v>41</v>
      </c>
      <c r="G415" s="34">
        <f t="shared" si="12"/>
        <v>3.41666666666667</v>
      </c>
      <c r="H415" s="85" t="s">
        <v>1649</v>
      </c>
      <c r="I415" s="85" t="s">
        <v>1650</v>
      </c>
      <c r="J415" s="29">
        <v>50</v>
      </c>
      <c r="K415" s="36">
        <v>10</v>
      </c>
      <c r="L415" s="25" t="str">
        <f t="shared" si="13"/>
        <v/>
      </c>
    </row>
    <row r="416" spans="1:12">
      <c r="A416" s="32" t="s">
        <v>1651</v>
      </c>
      <c r="B416" s="33">
        <v>48</v>
      </c>
      <c r="C416" s="33">
        <v>6</v>
      </c>
      <c r="D416" s="32" t="s">
        <v>1652</v>
      </c>
      <c r="E416" s="20"/>
      <c r="F416" s="34">
        <v>3.9</v>
      </c>
      <c r="G416" s="34">
        <f t="shared" si="12"/>
        <v>0.65</v>
      </c>
      <c r="H416" s="85" t="s">
        <v>1653</v>
      </c>
      <c r="I416" s="85" t="s">
        <v>1654</v>
      </c>
      <c r="J416" s="29"/>
      <c r="K416" s="36"/>
      <c r="L416" s="25" t="str">
        <f t="shared" si="13"/>
        <v/>
      </c>
    </row>
    <row r="417" spans="1:12">
      <c r="A417" s="32" t="s">
        <v>1655</v>
      </c>
      <c r="B417" s="33">
        <v>47</v>
      </c>
      <c r="C417" s="33">
        <v>6</v>
      </c>
      <c r="D417" s="32" t="s">
        <v>1656</v>
      </c>
      <c r="E417" s="20"/>
      <c r="F417" s="34">
        <v>3.9</v>
      </c>
      <c r="G417" s="34">
        <f t="shared" si="12"/>
        <v>0.65</v>
      </c>
      <c r="H417" s="85" t="s">
        <v>1657</v>
      </c>
      <c r="I417" s="85" t="s">
        <v>1658</v>
      </c>
      <c r="J417" s="29"/>
      <c r="K417" s="36"/>
      <c r="L417" s="25" t="str">
        <f t="shared" si="13"/>
        <v/>
      </c>
    </row>
    <row r="418" spans="1:12">
      <c r="A418" s="32" t="s">
        <v>1659</v>
      </c>
      <c r="B418" s="33">
        <v>175</v>
      </c>
      <c r="C418" s="33">
        <v>6</v>
      </c>
      <c r="D418" s="32" t="s">
        <v>1660</v>
      </c>
      <c r="E418" s="20"/>
      <c r="F418" s="34">
        <v>8.4</v>
      </c>
      <c r="G418" s="34">
        <f t="shared" si="12"/>
        <v>1.4</v>
      </c>
      <c r="H418" s="85" t="s">
        <v>1661</v>
      </c>
      <c r="I418" s="85" t="s">
        <v>1662</v>
      </c>
      <c r="J418" s="29">
        <v>280</v>
      </c>
      <c r="K418" s="36">
        <v>56</v>
      </c>
      <c r="L418" s="25" t="str">
        <f t="shared" si="13"/>
        <v/>
      </c>
    </row>
    <row r="419" spans="1:12">
      <c r="A419" s="32" t="s">
        <v>1663</v>
      </c>
      <c r="B419" s="33">
        <v>203</v>
      </c>
      <c r="C419" s="33">
        <v>6</v>
      </c>
      <c r="D419" s="32" t="s">
        <v>1664</v>
      </c>
      <c r="E419" s="20"/>
      <c r="F419" s="34">
        <v>8.4</v>
      </c>
      <c r="G419" s="34">
        <f t="shared" si="12"/>
        <v>1.4</v>
      </c>
      <c r="H419" s="85" t="s">
        <v>1665</v>
      </c>
      <c r="I419" s="85" t="s">
        <v>1666</v>
      </c>
      <c r="J419" s="29">
        <v>280</v>
      </c>
      <c r="K419" s="36">
        <v>56</v>
      </c>
      <c r="L419" s="25" t="str">
        <f t="shared" si="13"/>
        <v/>
      </c>
    </row>
    <row r="420" spans="1:12">
      <c r="A420" s="32" t="s">
        <v>1667</v>
      </c>
      <c r="B420" s="33">
        <v>80</v>
      </c>
      <c r="C420" s="33">
        <v>6</v>
      </c>
      <c r="D420" s="32" t="s">
        <v>1668</v>
      </c>
      <c r="E420" s="20"/>
      <c r="F420" s="34">
        <v>8.4</v>
      </c>
      <c r="G420" s="34">
        <f t="shared" si="12"/>
        <v>1.4</v>
      </c>
      <c r="H420" s="85" t="s">
        <v>1669</v>
      </c>
      <c r="I420" s="85" t="s">
        <v>1670</v>
      </c>
      <c r="J420" s="29">
        <v>280</v>
      </c>
      <c r="K420" s="36">
        <v>56</v>
      </c>
      <c r="L420" s="25" t="str">
        <f t="shared" si="13"/>
        <v/>
      </c>
    </row>
    <row r="421" spans="1:12">
      <c r="A421" s="32" t="s">
        <v>1671</v>
      </c>
      <c r="B421" s="33">
        <v>217</v>
      </c>
      <c r="C421" s="33">
        <v>6</v>
      </c>
      <c r="D421" s="32" t="s">
        <v>1672</v>
      </c>
      <c r="E421" s="20"/>
      <c r="F421" s="34">
        <v>8.4</v>
      </c>
      <c r="G421" s="34">
        <f t="shared" si="12"/>
        <v>1.4</v>
      </c>
      <c r="H421" s="85" t="s">
        <v>1673</v>
      </c>
      <c r="I421" s="85" t="s">
        <v>1674</v>
      </c>
      <c r="J421" s="29">
        <v>280</v>
      </c>
      <c r="K421" s="36">
        <v>56</v>
      </c>
      <c r="L421" s="25" t="str">
        <f t="shared" si="13"/>
        <v/>
      </c>
    </row>
    <row r="422" spans="1:12">
      <c r="A422" s="32" t="s">
        <v>1675</v>
      </c>
      <c r="B422" s="33">
        <v>222</v>
      </c>
      <c r="C422" s="33">
        <v>6</v>
      </c>
      <c r="D422" s="32" t="s">
        <v>1676</v>
      </c>
      <c r="E422" s="20"/>
      <c r="F422" s="34">
        <v>8.4</v>
      </c>
      <c r="G422" s="34">
        <f t="shared" si="12"/>
        <v>1.4</v>
      </c>
      <c r="H422" s="85" t="s">
        <v>1677</v>
      </c>
      <c r="I422" s="85" t="s">
        <v>1678</v>
      </c>
      <c r="J422" s="29">
        <v>280</v>
      </c>
      <c r="K422" s="36">
        <v>56</v>
      </c>
      <c r="L422" s="25" t="str">
        <f t="shared" si="13"/>
        <v/>
      </c>
    </row>
    <row r="423" spans="1:12">
      <c r="A423" s="32" t="s">
        <v>1679</v>
      </c>
      <c r="B423" s="33">
        <v>210</v>
      </c>
      <c r="C423" s="33">
        <v>6</v>
      </c>
      <c r="D423" s="32" t="s">
        <v>1680</v>
      </c>
      <c r="E423" s="20"/>
      <c r="F423" s="34">
        <v>8.4</v>
      </c>
      <c r="G423" s="34">
        <f t="shared" si="12"/>
        <v>1.4</v>
      </c>
      <c r="H423" s="85" t="s">
        <v>1681</v>
      </c>
      <c r="I423" s="85" t="s">
        <v>1682</v>
      </c>
      <c r="J423" s="29">
        <v>280</v>
      </c>
      <c r="K423" s="36">
        <v>56</v>
      </c>
      <c r="L423" s="25" t="str">
        <f t="shared" si="13"/>
        <v/>
      </c>
    </row>
    <row r="424" spans="1:12">
      <c r="A424" s="32" t="s">
        <v>1683</v>
      </c>
      <c r="B424" s="33">
        <v>134</v>
      </c>
      <c r="C424" s="33">
        <v>6</v>
      </c>
      <c r="D424" s="32" t="s">
        <v>1684</v>
      </c>
      <c r="E424" s="29"/>
      <c r="F424" s="34">
        <v>5.4</v>
      </c>
      <c r="G424" s="22">
        <f t="shared" si="12"/>
        <v>0.9</v>
      </c>
      <c r="H424" s="85" t="s">
        <v>1685</v>
      </c>
      <c r="I424" s="85" t="s">
        <v>1686</v>
      </c>
      <c r="J424" s="29">
        <v>720</v>
      </c>
      <c r="K424" s="36">
        <v>120</v>
      </c>
      <c r="L424" s="25" t="str">
        <f t="shared" si="13"/>
        <v/>
      </c>
    </row>
    <row r="425" spans="1:12">
      <c r="A425" s="32" t="s">
        <v>1687</v>
      </c>
      <c r="B425" s="33">
        <v>158</v>
      </c>
      <c r="C425" s="33">
        <v>6</v>
      </c>
      <c r="D425" s="32" t="s">
        <v>1688</v>
      </c>
      <c r="E425" s="29"/>
      <c r="F425" s="34">
        <v>5.4</v>
      </c>
      <c r="G425" s="22">
        <f t="shared" si="12"/>
        <v>0.9</v>
      </c>
      <c r="H425" s="85" t="s">
        <v>1689</v>
      </c>
      <c r="I425" s="92" t="s">
        <v>1690</v>
      </c>
      <c r="J425" s="29">
        <v>720</v>
      </c>
      <c r="K425" s="36">
        <v>120</v>
      </c>
      <c r="L425" s="25" t="str">
        <f t="shared" si="13"/>
        <v/>
      </c>
    </row>
    <row r="426" spans="1:12">
      <c r="A426" s="32" t="s">
        <v>1691</v>
      </c>
      <c r="B426" s="33">
        <v>593</v>
      </c>
      <c r="C426" s="33">
        <v>6</v>
      </c>
      <c r="D426" s="32" t="s">
        <v>1692</v>
      </c>
      <c r="E426" s="29"/>
      <c r="F426" s="34">
        <v>5.4</v>
      </c>
      <c r="G426" s="22">
        <f t="shared" si="12"/>
        <v>0.9</v>
      </c>
      <c r="H426" s="85" t="s">
        <v>1693</v>
      </c>
      <c r="I426" s="92" t="s">
        <v>1694</v>
      </c>
      <c r="J426" s="29">
        <v>720</v>
      </c>
      <c r="K426" s="36">
        <v>120</v>
      </c>
      <c r="L426" s="25" t="str">
        <f t="shared" si="13"/>
        <v/>
      </c>
    </row>
    <row r="427" spans="1:12">
      <c r="A427" s="32" t="s">
        <v>1695</v>
      </c>
      <c r="B427" s="33">
        <v>422</v>
      </c>
      <c r="C427" s="33">
        <v>6</v>
      </c>
      <c r="D427" s="32" t="s">
        <v>1696</v>
      </c>
      <c r="E427" s="20"/>
      <c r="F427" s="34">
        <v>5.4</v>
      </c>
      <c r="G427" s="34">
        <f t="shared" si="12"/>
        <v>0.9</v>
      </c>
      <c r="H427" s="85" t="s">
        <v>1697</v>
      </c>
      <c r="I427" s="85" t="s">
        <v>1698</v>
      </c>
      <c r="J427" s="29">
        <v>720</v>
      </c>
      <c r="K427" s="36">
        <v>120</v>
      </c>
      <c r="L427" s="25" t="str">
        <f t="shared" si="13"/>
        <v/>
      </c>
    </row>
    <row r="428" spans="1:12">
      <c r="A428" s="32" t="s">
        <v>1699</v>
      </c>
      <c r="B428" s="33">
        <v>331</v>
      </c>
      <c r="C428" s="33">
        <v>6</v>
      </c>
      <c r="D428" s="32" t="s">
        <v>1700</v>
      </c>
      <c r="E428" s="20"/>
      <c r="F428" s="34">
        <v>5.4</v>
      </c>
      <c r="G428" s="22">
        <f t="shared" si="12"/>
        <v>0.9</v>
      </c>
      <c r="H428" s="85" t="s">
        <v>1701</v>
      </c>
      <c r="I428" s="85" t="s">
        <v>1702</v>
      </c>
      <c r="J428" s="29">
        <v>720</v>
      </c>
      <c r="K428" s="36">
        <v>120</v>
      </c>
      <c r="L428" s="25" t="str">
        <f t="shared" si="13"/>
        <v/>
      </c>
    </row>
    <row r="429" spans="1:12">
      <c r="A429" s="32" t="s">
        <v>1703</v>
      </c>
      <c r="B429" s="33">
        <v>51</v>
      </c>
      <c r="C429" s="33">
        <v>6</v>
      </c>
      <c r="D429" s="32" t="s">
        <v>1704</v>
      </c>
      <c r="E429" s="20"/>
      <c r="F429" s="34">
        <v>5.4</v>
      </c>
      <c r="G429" s="22">
        <f t="shared" si="12"/>
        <v>0.9</v>
      </c>
      <c r="H429" s="85" t="s">
        <v>1705</v>
      </c>
      <c r="I429" s="85" t="s">
        <v>1706</v>
      </c>
      <c r="J429" s="29">
        <v>720</v>
      </c>
      <c r="K429" s="36">
        <v>120</v>
      </c>
      <c r="L429" s="25" t="str">
        <f t="shared" si="13"/>
        <v/>
      </c>
    </row>
    <row r="430" spans="1:12">
      <c r="A430" s="32" t="s">
        <v>1707</v>
      </c>
      <c r="B430" s="33">
        <v>335</v>
      </c>
      <c r="C430" s="33">
        <v>6</v>
      </c>
      <c r="D430" s="32" t="s">
        <v>1708</v>
      </c>
      <c r="E430" s="20"/>
      <c r="F430" s="34">
        <v>5.4</v>
      </c>
      <c r="G430" s="22">
        <f t="shared" si="12"/>
        <v>0.9</v>
      </c>
      <c r="H430" s="85" t="s">
        <v>1709</v>
      </c>
      <c r="I430" s="85" t="s">
        <v>1710</v>
      </c>
      <c r="J430" s="29">
        <v>720</v>
      </c>
      <c r="K430" s="36">
        <v>120</v>
      </c>
      <c r="L430" s="25" t="str">
        <f t="shared" si="13"/>
        <v/>
      </c>
    </row>
    <row r="431" spans="1:12">
      <c r="A431" s="32" t="s">
        <v>1711</v>
      </c>
      <c r="B431" s="33">
        <v>27</v>
      </c>
      <c r="C431" s="33">
        <v>6</v>
      </c>
      <c r="D431" s="32" t="s">
        <v>1712</v>
      </c>
      <c r="E431" s="20"/>
      <c r="F431" s="34">
        <v>3.6</v>
      </c>
      <c r="G431" s="22">
        <f t="shared" si="12"/>
        <v>0.6</v>
      </c>
      <c r="H431" s="85" t="s">
        <v>1713</v>
      </c>
      <c r="I431" s="85" t="s">
        <v>1714</v>
      </c>
      <c r="J431" s="29"/>
      <c r="K431" s="36"/>
      <c r="L431" s="25" t="str">
        <f t="shared" si="13"/>
        <v/>
      </c>
    </row>
    <row r="432" spans="1:12">
      <c r="A432" s="32" t="s">
        <v>1715</v>
      </c>
      <c r="B432" s="33">
        <v>98</v>
      </c>
      <c r="C432" s="33">
        <v>12</v>
      </c>
      <c r="D432" s="32" t="s">
        <v>1716</v>
      </c>
      <c r="E432" s="20"/>
      <c r="F432" s="34">
        <v>6.15</v>
      </c>
      <c r="G432" s="22">
        <f t="shared" si="12"/>
        <v>0.5125</v>
      </c>
      <c r="H432" s="85" t="s">
        <v>1717</v>
      </c>
      <c r="I432" s="85" t="s">
        <v>1718</v>
      </c>
      <c r="J432" s="29">
        <v>344</v>
      </c>
      <c r="K432" s="36">
        <v>43</v>
      </c>
      <c r="L432" s="25" t="str">
        <f t="shared" si="13"/>
        <v/>
      </c>
    </row>
    <row r="433" spans="1:12">
      <c r="A433" s="32" t="s">
        <v>1719</v>
      </c>
      <c r="B433" s="33">
        <v>689</v>
      </c>
      <c r="C433" s="33">
        <v>12</v>
      </c>
      <c r="D433" s="32" t="s">
        <v>1720</v>
      </c>
      <c r="E433" s="20"/>
      <c r="F433" s="34">
        <v>6.48</v>
      </c>
      <c r="G433" s="22">
        <f t="shared" si="12"/>
        <v>0.54</v>
      </c>
      <c r="H433" s="85" t="s">
        <v>1721</v>
      </c>
      <c r="I433" s="92" t="s">
        <v>1722</v>
      </c>
      <c r="J433" s="29">
        <v>720</v>
      </c>
      <c r="K433" s="36">
        <v>90</v>
      </c>
      <c r="L433" s="25" t="str">
        <f t="shared" si="13"/>
        <v/>
      </c>
    </row>
    <row r="434" spans="1:12">
      <c r="A434" s="32" t="s">
        <v>1723</v>
      </c>
      <c r="B434" s="33">
        <v>13</v>
      </c>
      <c r="C434" s="33">
        <v>12</v>
      </c>
      <c r="D434" s="32" t="s">
        <v>1724</v>
      </c>
      <c r="E434" s="20"/>
      <c r="F434" s="34">
        <v>8.4</v>
      </c>
      <c r="G434" s="34">
        <f t="shared" si="12"/>
        <v>0.7</v>
      </c>
      <c r="H434" s="85" t="s">
        <v>1725</v>
      </c>
      <c r="I434" s="85" t="s">
        <v>1726</v>
      </c>
      <c r="J434" s="29">
        <v>300</v>
      </c>
      <c r="K434" s="36">
        <v>75</v>
      </c>
      <c r="L434" s="40" t="str">
        <f t="shared" si="13"/>
        <v/>
      </c>
    </row>
    <row r="435" spans="1:12">
      <c r="A435" s="32" t="s">
        <v>1727</v>
      </c>
      <c r="B435" s="33">
        <v>2</v>
      </c>
      <c r="C435" s="33">
        <v>6</v>
      </c>
      <c r="D435" s="32" t="s">
        <v>1728</v>
      </c>
      <c r="E435" s="20"/>
      <c r="F435" s="34">
        <v>5.7</v>
      </c>
      <c r="G435" s="22">
        <f t="shared" si="12"/>
        <v>0.95</v>
      </c>
      <c r="H435" s="85" t="s">
        <v>1729</v>
      </c>
      <c r="I435" s="55">
        <v>3574661384641</v>
      </c>
      <c r="J435" s="29">
        <v>144</v>
      </c>
      <c r="K435" s="36">
        <v>48</v>
      </c>
      <c r="L435" s="25" t="str">
        <f t="shared" si="13"/>
        <v/>
      </c>
    </row>
    <row r="436" spans="1:12">
      <c r="A436" s="32" t="s">
        <v>1730</v>
      </c>
      <c r="B436" s="33">
        <v>153</v>
      </c>
      <c r="C436" s="30">
        <v>6</v>
      </c>
      <c r="D436" s="32" t="s">
        <v>1731</v>
      </c>
      <c r="E436" s="20"/>
      <c r="F436" s="34">
        <v>5.7</v>
      </c>
      <c r="G436" s="22">
        <f t="shared" si="12"/>
        <v>0.95</v>
      </c>
      <c r="H436" s="85" t="s">
        <v>1732</v>
      </c>
      <c r="I436" s="92" t="s">
        <v>1733</v>
      </c>
      <c r="J436" s="29">
        <v>144</v>
      </c>
      <c r="K436" s="36">
        <v>48</v>
      </c>
      <c r="L436" s="25" t="str">
        <f t="shared" si="13"/>
        <v/>
      </c>
    </row>
    <row r="437" spans="1:12">
      <c r="A437" s="32" t="s">
        <v>1734</v>
      </c>
      <c r="B437" s="33">
        <v>9</v>
      </c>
      <c r="C437" s="33">
        <v>6</v>
      </c>
      <c r="D437" s="32" t="s">
        <v>1735</v>
      </c>
      <c r="E437" s="20"/>
      <c r="F437" s="34">
        <v>5.7</v>
      </c>
      <c r="G437" s="22">
        <f t="shared" si="12"/>
        <v>0.95</v>
      </c>
      <c r="H437" s="85" t="s">
        <v>1736</v>
      </c>
      <c r="I437" s="92" t="s">
        <v>1737</v>
      </c>
      <c r="J437" s="29">
        <v>144</v>
      </c>
      <c r="K437" s="36">
        <v>48</v>
      </c>
      <c r="L437" s="25" t="str">
        <f t="shared" si="13"/>
        <v/>
      </c>
    </row>
    <row r="438" spans="1:12">
      <c r="A438" s="32" t="s">
        <v>1738</v>
      </c>
      <c r="B438" s="33">
        <v>135</v>
      </c>
      <c r="C438" s="33">
        <v>12</v>
      </c>
      <c r="D438" s="32" t="s">
        <v>1739</v>
      </c>
      <c r="E438" s="29"/>
      <c r="F438" s="37">
        <v>8.8</v>
      </c>
      <c r="G438" s="38">
        <f t="shared" si="12"/>
        <v>0.733333333333333</v>
      </c>
      <c r="H438" s="85" t="s">
        <v>1740</v>
      </c>
      <c r="I438" s="85" t="s">
        <v>1741</v>
      </c>
      <c r="J438" s="29">
        <v>175</v>
      </c>
      <c r="K438" s="30">
        <v>35</v>
      </c>
      <c r="L438" s="25" t="str">
        <f t="shared" si="13"/>
        <v/>
      </c>
    </row>
    <row r="439" spans="1:12">
      <c r="A439" s="32" t="s">
        <v>1742</v>
      </c>
      <c r="B439" s="33">
        <v>1033</v>
      </c>
      <c r="C439" s="33">
        <v>12</v>
      </c>
      <c r="D439" s="32" t="s">
        <v>1743</v>
      </c>
      <c r="E439" s="20"/>
      <c r="F439" s="34">
        <v>7.4</v>
      </c>
      <c r="G439" s="22">
        <f t="shared" si="12"/>
        <v>0.616666666666667</v>
      </c>
      <c r="H439" s="85" t="s">
        <v>1744</v>
      </c>
      <c r="I439" s="85" t="s">
        <v>1745</v>
      </c>
      <c r="J439" s="29">
        <v>250</v>
      </c>
      <c r="K439" s="30">
        <v>25</v>
      </c>
      <c r="L439" s="25" t="str">
        <f t="shared" si="13"/>
        <v/>
      </c>
    </row>
    <row r="440" spans="1:12">
      <c r="A440" s="32" t="s">
        <v>1746</v>
      </c>
      <c r="B440" s="33">
        <v>1767</v>
      </c>
      <c r="C440" s="33">
        <v>6</v>
      </c>
      <c r="D440" s="32" t="s">
        <v>1747</v>
      </c>
      <c r="E440" s="20"/>
      <c r="F440" s="34">
        <v>5.4</v>
      </c>
      <c r="G440" s="22">
        <f t="shared" si="12"/>
        <v>0.9</v>
      </c>
      <c r="H440" s="85" t="s">
        <v>1748</v>
      </c>
      <c r="I440" s="85" t="s">
        <v>1749</v>
      </c>
      <c r="J440" s="29">
        <v>250</v>
      </c>
      <c r="K440" s="36">
        <v>25</v>
      </c>
      <c r="L440" s="25" t="str">
        <f t="shared" si="13"/>
        <v/>
      </c>
    </row>
    <row r="441" spans="1:12">
      <c r="A441" s="32" t="s">
        <v>1750</v>
      </c>
      <c r="B441" s="33">
        <v>2784</v>
      </c>
      <c r="C441" s="33">
        <v>6</v>
      </c>
      <c r="D441" s="32" t="s">
        <v>1751</v>
      </c>
      <c r="E441" s="29"/>
      <c r="F441" s="34">
        <v>6</v>
      </c>
      <c r="G441" s="34">
        <f t="shared" si="12"/>
        <v>1</v>
      </c>
      <c r="H441" s="85" t="s">
        <v>1752</v>
      </c>
      <c r="I441" s="85" t="s">
        <v>1753</v>
      </c>
      <c r="J441" s="29">
        <v>414</v>
      </c>
      <c r="K441" s="36">
        <v>69</v>
      </c>
      <c r="L441" s="25" t="str">
        <f t="shared" si="13"/>
        <v/>
      </c>
    </row>
    <row r="442" spans="1:12">
      <c r="A442" s="32" t="s">
        <v>1754</v>
      </c>
      <c r="B442" s="33">
        <v>953</v>
      </c>
      <c r="C442" s="33">
        <v>6</v>
      </c>
      <c r="D442" s="32" t="s">
        <v>1755</v>
      </c>
      <c r="E442" s="29"/>
      <c r="F442" s="34">
        <v>9.25</v>
      </c>
      <c r="G442" s="34">
        <f t="shared" si="12"/>
        <v>1.54166666666667</v>
      </c>
      <c r="H442" s="85" t="s">
        <v>1756</v>
      </c>
      <c r="I442" s="85" t="s">
        <v>1757</v>
      </c>
      <c r="J442" s="29">
        <v>288</v>
      </c>
      <c r="K442" s="36">
        <v>72</v>
      </c>
      <c r="L442" s="40" t="str">
        <f t="shared" si="13"/>
        <v/>
      </c>
    </row>
    <row r="443" spans="1:12">
      <c r="A443" s="32" t="s">
        <v>1758</v>
      </c>
      <c r="B443" s="33">
        <v>103</v>
      </c>
      <c r="C443" s="33">
        <v>6</v>
      </c>
      <c r="D443" s="32" t="s">
        <v>1759</v>
      </c>
      <c r="E443" s="29"/>
      <c r="F443" s="34">
        <v>9.25</v>
      </c>
      <c r="G443" s="34">
        <f t="shared" si="12"/>
        <v>1.54166666666667</v>
      </c>
      <c r="H443" s="85" t="s">
        <v>1760</v>
      </c>
      <c r="I443" s="85" t="s">
        <v>1761</v>
      </c>
      <c r="J443" s="29">
        <v>240</v>
      </c>
      <c r="K443" s="36">
        <v>48</v>
      </c>
      <c r="L443" s="40" t="str">
        <f t="shared" si="13"/>
        <v/>
      </c>
    </row>
    <row r="444" spans="1:12">
      <c r="A444" s="32" t="s">
        <v>1762</v>
      </c>
      <c r="B444" s="33">
        <v>659</v>
      </c>
      <c r="C444" s="33">
        <v>6</v>
      </c>
      <c r="D444" s="32" t="s">
        <v>1763</v>
      </c>
      <c r="E444" s="20"/>
      <c r="F444" s="34">
        <v>12.8</v>
      </c>
      <c r="G444" s="22">
        <f t="shared" si="12"/>
        <v>2.13333333333333</v>
      </c>
      <c r="H444" s="85" t="s">
        <v>1764</v>
      </c>
      <c r="I444" s="85" t="s">
        <v>1765</v>
      </c>
      <c r="J444" s="29">
        <v>180</v>
      </c>
      <c r="K444" s="36">
        <v>36</v>
      </c>
      <c r="L444" s="25" t="str">
        <f t="shared" si="13"/>
        <v/>
      </c>
    </row>
    <row r="445" spans="1:12">
      <c r="A445" s="32" t="s">
        <v>1766</v>
      </c>
      <c r="B445" s="33">
        <v>5177</v>
      </c>
      <c r="C445" s="33">
        <v>6</v>
      </c>
      <c r="D445" s="32" t="s">
        <v>1767</v>
      </c>
      <c r="E445" s="20"/>
      <c r="F445" s="34">
        <v>13.5</v>
      </c>
      <c r="G445" s="22">
        <f t="shared" si="12"/>
        <v>2.25</v>
      </c>
      <c r="H445" s="85" t="s">
        <v>1768</v>
      </c>
      <c r="I445" s="85" t="s">
        <v>1769</v>
      </c>
      <c r="J445" s="29">
        <v>180</v>
      </c>
      <c r="K445" s="36">
        <v>36</v>
      </c>
      <c r="L445" s="25" t="str">
        <f t="shared" si="13"/>
        <v/>
      </c>
    </row>
    <row r="446" spans="1:12">
      <c r="A446" s="32" t="s">
        <v>1770</v>
      </c>
      <c r="B446" s="33">
        <v>29</v>
      </c>
      <c r="C446" s="33">
        <v>6</v>
      </c>
      <c r="D446" s="32" t="s">
        <v>1771</v>
      </c>
      <c r="E446" s="20"/>
      <c r="F446" s="34">
        <v>5.25</v>
      </c>
      <c r="G446" s="22">
        <f t="shared" si="12"/>
        <v>0.875</v>
      </c>
      <c r="H446" s="85" t="s">
        <v>1772</v>
      </c>
      <c r="I446" s="85" t="s">
        <v>1773</v>
      </c>
      <c r="J446" s="29">
        <v>200</v>
      </c>
      <c r="K446" s="36">
        <v>40</v>
      </c>
      <c r="L446" s="25" t="str">
        <f t="shared" si="13"/>
        <v/>
      </c>
    </row>
    <row r="447" spans="1:12">
      <c r="A447" s="32" t="s">
        <v>1774</v>
      </c>
      <c r="B447" s="33">
        <v>325</v>
      </c>
      <c r="C447" s="33">
        <v>6</v>
      </c>
      <c r="D447" s="32" t="s">
        <v>1775</v>
      </c>
      <c r="E447" s="20"/>
      <c r="F447" s="34">
        <v>10.2</v>
      </c>
      <c r="G447" s="22">
        <f t="shared" si="12"/>
        <v>1.7</v>
      </c>
      <c r="H447" s="85" t="s">
        <v>1776</v>
      </c>
      <c r="I447" s="85" t="s">
        <v>1777</v>
      </c>
      <c r="J447" s="29">
        <v>120</v>
      </c>
      <c r="K447" s="36">
        <v>30</v>
      </c>
      <c r="L447" s="25" t="str">
        <f t="shared" si="13"/>
        <v/>
      </c>
    </row>
    <row r="448" spans="1:12">
      <c r="A448" s="32" t="s">
        <v>1778</v>
      </c>
      <c r="B448" s="33">
        <v>42</v>
      </c>
      <c r="C448" s="33">
        <v>12</v>
      </c>
      <c r="D448" s="32" t="s">
        <v>1779</v>
      </c>
      <c r="E448" s="20"/>
      <c r="F448" s="34">
        <v>23.8</v>
      </c>
      <c r="G448" s="22">
        <f t="shared" ref="G448:G511" si="14">F448/C448</f>
        <v>1.98333333333333</v>
      </c>
      <c r="H448" s="85" t="s">
        <v>1780</v>
      </c>
      <c r="I448" s="85" t="s">
        <v>1781</v>
      </c>
      <c r="J448" s="29">
        <v>72</v>
      </c>
      <c r="K448" s="36">
        <v>12</v>
      </c>
      <c r="L448" s="25" t="str">
        <f t="shared" ref="L448:L511" si="15">IF(E448,E448*F448,"")</f>
        <v/>
      </c>
    </row>
    <row r="449" spans="1:14">
      <c r="A449" s="41" t="s">
        <v>1782</v>
      </c>
      <c r="B449" s="31">
        <v>2299</v>
      </c>
      <c r="C449" s="30">
        <v>6</v>
      </c>
      <c r="D449" s="41" t="s">
        <v>1783</v>
      </c>
      <c r="E449" s="20"/>
      <c r="F449" s="48">
        <v>8.08</v>
      </c>
      <c r="G449" s="22">
        <f t="shared" si="14"/>
        <v>1.34666666666667</v>
      </c>
      <c r="H449" s="85" t="s">
        <v>1784</v>
      </c>
      <c r="I449" s="87" t="s">
        <v>1785</v>
      </c>
      <c r="J449" s="31">
        <v>360</v>
      </c>
      <c r="K449" s="30">
        <v>120</v>
      </c>
      <c r="L449" s="25" t="str">
        <f t="shared" si="15"/>
        <v/>
      </c>
    </row>
    <row r="450" spans="1:14">
      <c r="A450" s="41" t="s">
        <v>1786</v>
      </c>
      <c r="B450" s="31">
        <v>492</v>
      </c>
      <c r="C450" s="30">
        <v>6</v>
      </c>
      <c r="D450" s="41" t="s">
        <v>1787</v>
      </c>
      <c r="E450" s="20"/>
      <c r="F450" s="59">
        <v>13.8</v>
      </c>
      <c r="G450" s="60">
        <f t="shared" si="14"/>
        <v>2.3</v>
      </c>
      <c r="H450" s="85" t="s">
        <v>1788</v>
      </c>
      <c r="I450" s="87" t="s">
        <v>1789</v>
      </c>
      <c r="J450" s="31">
        <v>128</v>
      </c>
      <c r="K450" s="36">
        <v>32</v>
      </c>
      <c r="L450" s="25" t="str">
        <f t="shared" si="15"/>
        <v/>
      </c>
    </row>
    <row r="451" spans="1:14">
      <c r="A451" s="41" t="s">
        <v>1790</v>
      </c>
      <c r="B451" s="31">
        <v>517</v>
      </c>
      <c r="C451" s="30">
        <v>6</v>
      </c>
      <c r="D451" s="41" t="s">
        <v>1791</v>
      </c>
      <c r="E451" s="20"/>
      <c r="F451" s="48">
        <v>6.75</v>
      </c>
      <c r="G451" s="22">
        <f t="shared" si="14"/>
        <v>1.125</v>
      </c>
      <c r="H451" s="85" t="s">
        <v>1792</v>
      </c>
      <c r="I451" s="87" t="s">
        <v>1793</v>
      </c>
      <c r="J451" s="31">
        <v>220</v>
      </c>
      <c r="K451" s="30">
        <v>44</v>
      </c>
      <c r="L451" s="25" t="str">
        <f t="shared" si="15"/>
        <v/>
      </c>
    </row>
    <row r="452" spans="1:14">
      <c r="A452" s="32" t="s">
        <v>1794</v>
      </c>
      <c r="B452" s="33">
        <v>257</v>
      </c>
      <c r="C452" s="33">
        <v>6</v>
      </c>
      <c r="D452" s="32" t="s">
        <v>1795</v>
      </c>
      <c r="E452" s="20"/>
      <c r="F452" s="34">
        <v>10.2</v>
      </c>
      <c r="G452" s="22">
        <f t="shared" si="14"/>
        <v>1.7</v>
      </c>
      <c r="H452" s="85" t="s">
        <v>1796</v>
      </c>
      <c r="I452" s="85" t="s">
        <v>1797</v>
      </c>
      <c r="J452" s="29">
        <v>120</v>
      </c>
      <c r="K452" s="36">
        <v>30</v>
      </c>
      <c r="L452" s="25" t="str">
        <f t="shared" si="15"/>
        <v/>
      </c>
    </row>
    <row r="453" spans="1:14">
      <c r="A453" s="32" t="s">
        <v>1798</v>
      </c>
      <c r="B453" s="33">
        <v>536</v>
      </c>
      <c r="C453" s="33">
        <v>6</v>
      </c>
      <c r="D453" s="32" t="s">
        <v>1799</v>
      </c>
      <c r="E453" s="20"/>
      <c r="F453" s="34">
        <v>6.9</v>
      </c>
      <c r="G453" s="22">
        <f t="shared" si="14"/>
        <v>1.15</v>
      </c>
      <c r="H453" s="85" t="s">
        <v>1800</v>
      </c>
      <c r="I453" s="85" t="s">
        <v>1801</v>
      </c>
      <c r="J453" s="29">
        <v>200</v>
      </c>
      <c r="K453" s="36">
        <v>40</v>
      </c>
      <c r="L453" s="25" t="str">
        <f t="shared" si="15"/>
        <v/>
      </c>
    </row>
    <row r="454" spans="1:14">
      <c r="A454" s="32" t="s">
        <v>1802</v>
      </c>
      <c r="B454" s="33">
        <v>310</v>
      </c>
      <c r="C454" s="33">
        <v>6</v>
      </c>
      <c r="D454" s="32" t="s">
        <v>1803</v>
      </c>
      <c r="E454" s="20"/>
      <c r="F454" s="34">
        <v>10.2</v>
      </c>
      <c r="G454" s="22">
        <f t="shared" si="14"/>
        <v>1.7</v>
      </c>
      <c r="H454" s="85" t="s">
        <v>1804</v>
      </c>
      <c r="I454" s="85" t="s">
        <v>1805</v>
      </c>
      <c r="J454" s="29">
        <v>128</v>
      </c>
      <c r="K454" s="36">
        <v>32</v>
      </c>
      <c r="L454" s="25" t="str">
        <f t="shared" si="15"/>
        <v/>
      </c>
    </row>
    <row r="455" spans="1:14">
      <c r="A455" s="41" t="s">
        <v>1806</v>
      </c>
      <c r="B455" s="31">
        <v>63</v>
      </c>
      <c r="C455" s="30">
        <v>12</v>
      </c>
      <c r="D455" s="41" t="s">
        <v>1807</v>
      </c>
      <c r="E455" s="36"/>
      <c r="F455" s="43">
        <v>23.8</v>
      </c>
      <c r="G455" s="43">
        <f t="shared" si="14"/>
        <v>1.98333333333333</v>
      </c>
      <c r="H455" s="87" t="s">
        <v>1808</v>
      </c>
      <c r="I455" s="87" t="s">
        <v>1809</v>
      </c>
      <c r="J455" s="31">
        <v>72</v>
      </c>
      <c r="K455" s="31">
        <v>12</v>
      </c>
      <c r="L455" s="56" t="str">
        <f t="shared" si="15"/>
        <v/>
      </c>
    </row>
    <row r="456" spans="1:14">
      <c r="A456" s="32" t="s">
        <v>1810</v>
      </c>
      <c r="B456" s="33">
        <v>135</v>
      </c>
      <c r="C456" s="33">
        <v>6</v>
      </c>
      <c r="D456" s="32" t="s">
        <v>1811</v>
      </c>
      <c r="E456" s="29"/>
      <c r="F456" s="34">
        <v>10.8</v>
      </c>
      <c r="G456" s="22">
        <f t="shared" si="14"/>
        <v>1.8</v>
      </c>
      <c r="H456" s="85" t="s">
        <v>1812</v>
      </c>
      <c r="I456" s="85" t="s">
        <v>1813</v>
      </c>
      <c r="J456" s="33">
        <v>128</v>
      </c>
      <c r="K456" s="36">
        <v>32</v>
      </c>
      <c r="L456" s="25" t="str">
        <f t="shared" si="15"/>
        <v/>
      </c>
    </row>
    <row r="457" spans="1:14">
      <c r="A457" s="32" t="s">
        <v>1814</v>
      </c>
      <c r="B457" s="33">
        <v>0</v>
      </c>
      <c r="C457" s="33">
        <v>12</v>
      </c>
      <c r="D457" s="32" t="s">
        <v>1815</v>
      </c>
      <c r="E457" s="29"/>
      <c r="F457" s="37">
        <v>28.8</v>
      </c>
      <c r="G457" s="37">
        <f t="shared" si="14"/>
        <v>2.4</v>
      </c>
      <c r="H457" s="85" t="s">
        <v>1816</v>
      </c>
      <c r="I457" s="85" t="s">
        <v>1817</v>
      </c>
      <c r="J457" s="29"/>
      <c r="K457" s="51"/>
      <c r="L457" s="40" t="str">
        <f t="shared" si="15"/>
        <v/>
      </c>
    </row>
    <row r="458" spans="1:14">
      <c r="A458" s="32" t="s">
        <v>1818</v>
      </c>
      <c r="B458" s="33">
        <v>491</v>
      </c>
      <c r="C458" s="33">
        <v>12</v>
      </c>
      <c r="D458" s="32" t="s">
        <v>1819</v>
      </c>
      <c r="E458" s="20"/>
      <c r="F458" s="34">
        <v>6.99</v>
      </c>
      <c r="G458" s="22">
        <f t="shared" si="14"/>
        <v>0.5825</v>
      </c>
      <c r="H458" s="85" t="s">
        <v>1820</v>
      </c>
      <c r="I458" s="85" t="s">
        <v>1821</v>
      </c>
      <c r="J458" s="29">
        <v>972</v>
      </c>
      <c r="K458" s="36">
        <v>81</v>
      </c>
      <c r="L458" s="25" t="str">
        <f t="shared" si="15"/>
        <v/>
      </c>
    </row>
    <row r="459" spans="1:14">
      <c r="A459" s="32" t="s">
        <v>1822</v>
      </c>
      <c r="B459" s="33">
        <v>848</v>
      </c>
      <c r="C459" s="33">
        <v>6</v>
      </c>
      <c r="D459" s="32" t="s">
        <v>1823</v>
      </c>
      <c r="E459" s="20"/>
      <c r="F459" s="34">
        <v>11.25</v>
      </c>
      <c r="G459" s="22">
        <f t="shared" si="14"/>
        <v>1.875</v>
      </c>
      <c r="H459" s="85" t="s">
        <v>1824</v>
      </c>
      <c r="I459" s="85" t="s">
        <v>1825</v>
      </c>
      <c r="J459" s="29">
        <v>750</v>
      </c>
      <c r="K459" s="36">
        <v>50</v>
      </c>
      <c r="L459" s="25" t="str">
        <f t="shared" si="15"/>
        <v/>
      </c>
    </row>
    <row r="460" spans="1:14">
      <c r="A460" s="32" t="s">
        <v>1826</v>
      </c>
      <c r="B460" s="33">
        <v>887</v>
      </c>
      <c r="C460" s="33">
        <v>6</v>
      </c>
      <c r="D460" s="32" t="s">
        <v>1827</v>
      </c>
      <c r="E460" s="20"/>
      <c r="F460" s="34">
        <v>11.25</v>
      </c>
      <c r="G460" s="22">
        <f t="shared" si="14"/>
        <v>1.875</v>
      </c>
      <c r="H460" s="85" t="s">
        <v>1828</v>
      </c>
      <c r="I460" s="85" t="s">
        <v>1829</v>
      </c>
      <c r="J460" s="29">
        <v>750</v>
      </c>
      <c r="K460" s="36">
        <v>50</v>
      </c>
      <c r="L460" s="25" t="str">
        <f t="shared" si="15"/>
        <v/>
      </c>
      <c r="N460" s="53"/>
    </row>
    <row r="461" spans="1:14">
      <c r="A461" s="32" t="s">
        <v>1830</v>
      </c>
      <c r="B461" s="33">
        <v>526</v>
      </c>
      <c r="C461" s="33">
        <v>6</v>
      </c>
      <c r="D461" s="32" t="s">
        <v>1831</v>
      </c>
      <c r="E461" s="20"/>
      <c r="F461" s="34">
        <v>24</v>
      </c>
      <c r="G461" s="22">
        <f t="shared" si="14"/>
        <v>4</v>
      </c>
      <c r="H461" s="85" t="s">
        <v>1832</v>
      </c>
      <c r="I461" s="85" t="s">
        <v>1833</v>
      </c>
      <c r="J461" s="29">
        <v>360</v>
      </c>
      <c r="K461" s="36">
        <v>20</v>
      </c>
      <c r="L461" s="56" t="str">
        <f t="shared" si="15"/>
        <v/>
      </c>
      <c r="N461" s="53"/>
    </row>
    <row r="462" spans="1:14">
      <c r="A462" s="32" t="s">
        <v>1834</v>
      </c>
      <c r="B462" s="33">
        <v>182</v>
      </c>
      <c r="C462" s="33">
        <v>6</v>
      </c>
      <c r="D462" s="32" t="s">
        <v>1835</v>
      </c>
      <c r="E462" s="20"/>
      <c r="F462" s="34">
        <v>24</v>
      </c>
      <c r="G462" s="22">
        <f t="shared" si="14"/>
        <v>4</v>
      </c>
      <c r="H462" s="85" t="s">
        <v>1836</v>
      </c>
      <c r="I462" s="85" t="s">
        <v>1837</v>
      </c>
      <c r="J462" s="29">
        <v>360</v>
      </c>
      <c r="K462" s="36">
        <v>20</v>
      </c>
      <c r="L462" s="56" t="str">
        <f t="shared" si="15"/>
        <v/>
      </c>
      <c r="N462" s="53"/>
    </row>
    <row r="463" spans="1:14">
      <c r="A463" s="32" t="s">
        <v>1838</v>
      </c>
      <c r="B463" s="19">
        <v>539</v>
      </c>
      <c r="C463" s="33">
        <v>6</v>
      </c>
      <c r="D463" s="32" t="s">
        <v>1839</v>
      </c>
      <c r="E463" s="20"/>
      <c r="F463" s="34">
        <v>29.45</v>
      </c>
      <c r="G463" s="34">
        <f t="shared" si="14"/>
        <v>4.90833333333333</v>
      </c>
      <c r="H463" s="86" t="s">
        <v>1840</v>
      </c>
      <c r="I463" s="86" t="s">
        <v>1841</v>
      </c>
      <c r="J463" s="19">
        <v>288</v>
      </c>
      <c r="K463" s="30">
        <v>48</v>
      </c>
      <c r="L463" s="56" t="str">
        <f t="shared" si="15"/>
        <v/>
      </c>
    </row>
    <row r="464" spans="1:14">
      <c r="A464" s="32" t="s">
        <v>1842</v>
      </c>
      <c r="B464" s="19">
        <v>379</v>
      </c>
      <c r="C464" s="33">
        <v>6</v>
      </c>
      <c r="D464" s="32" t="s">
        <v>1843</v>
      </c>
      <c r="E464" s="20"/>
      <c r="F464" s="34">
        <v>29.45</v>
      </c>
      <c r="G464" s="34">
        <f t="shared" si="14"/>
        <v>4.90833333333333</v>
      </c>
      <c r="H464" s="86" t="s">
        <v>1844</v>
      </c>
      <c r="I464" s="86" t="s">
        <v>1845</v>
      </c>
      <c r="J464" s="19">
        <v>288</v>
      </c>
      <c r="K464" s="30">
        <v>48</v>
      </c>
      <c r="L464" s="56" t="str">
        <f t="shared" si="15"/>
        <v/>
      </c>
    </row>
    <row r="465" spans="1:12">
      <c r="A465" s="32" t="s">
        <v>1846</v>
      </c>
      <c r="B465" s="33">
        <v>601</v>
      </c>
      <c r="C465" s="33">
        <v>6</v>
      </c>
      <c r="D465" s="32" t="s">
        <v>1847</v>
      </c>
      <c r="E465" s="20"/>
      <c r="F465" s="34">
        <v>29.45</v>
      </c>
      <c r="G465" s="34">
        <f t="shared" si="14"/>
        <v>4.90833333333333</v>
      </c>
      <c r="H465" s="85" t="s">
        <v>1848</v>
      </c>
      <c r="I465" s="85" t="s">
        <v>1849</v>
      </c>
      <c r="J465" s="29">
        <v>288</v>
      </c>
      <c r="K465" s="30">
        <v>48</v>
      </c>
      <c r="L465" s="40" t="str">
        <f t="shared" si="15"/>
        <v/>
      </c>
    </row>
    <row r="466" spans="1:12">
      <c r="A466" s="32" t="s">
        <v>1850</v>
      </c>
      <c r="B466" s="33">
        <v>7</v>
      </c>
      <c r="C466" s="33">
        <v>6</v>
      </c>
      <c r="D466" s="32" t="s">
        <v>1851</v>
      </c>
      <c r="E466" s="20"/>
      <c r="F466" s="34">
        <v>26.95</v>
      </c>
      <c r="G466" s="22">
        <f t="shared" si="14"/>
        <v>4.49166666666667</v>
      </c>
      <c r="H466" s="85" t="s">
        <v>1852</v>
      </c>
      <c r="I466" s="85" t="s">
        <v>1853</v>
      </c>
      <c r="J466" s="29">
        <v>288</v>
      </c>
      <c r="K466" s="30">
        <v>48</v>
      </c>
      <c r="L466" s="25" t="str">
        <f t="shared" si="15"/>
        <v/>
      </c>
    </row>
    <row r="467" spans="1:12">
      <c r="A467" s="32" t="s">
        <v>1854</v>
      </c>
      <c r="B467" s="19">
        <v>425</v>
      </c>
      <c r="C467" s="33">
        <v>6</v>
      </c>
      <c r="D467" s="32" t="s">
        <v>1855</v>
      </c>
      <c r="E467" s="20"/>
      <c r="F467" s="34">
        <v>26.95</v>
      </c>
      <c r="G467" s="22">
        <f t="shared" si="14"/>
        <v>4.49166666666667</v>
      </c>
      <c r="H467" s="85" t="s">
        <v>1856</v>
      </c>
      <c r="I467" s="85" t="s">
        <v>1857</v>
      </c>
      <c r="J467" s="19">
        <v>288</v>
      </c>
      <c r="K467" s="30">
        <v>48</v>
      </c>
      <c r="L467" s="25" t="str">
        <f t="shared" si="15"/>
        <v/>
      </c>
    </row>
    <row r="468" spans="1:12">
      <c r="A468" s="32" t="s">
        <v>1858</v>
      </c>
      <c r="B468" s="19">
        <v>571</v>
      </c>
      <c r="C468" s="33">
        <v>6</v>
      </c>
      <c r="D468" s="32" t="s">
        <v>1859</v>
      </c>
      <c r="E468" s="20"/>
      <c r="F468" s="34">
        <v>26.95</v>
      </c>
      <c r="G468" s="22">
        <f t="shared" si="14"/>
        <v>4.49166666666667</v>
      </c>
      <c r="H468" s="85" t="s">
        <v>1860</v>
      </c>
      <c r="I468" s="85" t="s">
        <v>1861</v>
      </c>
      <c r="J468" s="19">
        <v>288</v>
      </c>
      <c r="K468" s="30">
        <v>48</v>
      </c>
      <c r="L468" s="25" t="str">
        <f t="shared" si="15"/>
        <v/>
      </c>
    </row>
    <row r="469" spans="1:12">
      <c r="A469" s="32" t="s">
        <v>1862</v>
      </c>
      <c r="B469" s="19">
        <v>617</v>
      </c>
      <c r="C469" s="33">
        <v>6</v>
      </c>
      <c r="D469" s="32" t="s">
        <v>1863</v>
      </c>
      <c r="E469" s="20"/>
      <c r="F469" s="34">
        <v>26.95</v>
      </c>
      <c r="G469" s="22">
        <f t="shared" si="14"/>
        <v>4.49166666666667</v>
      </c>
      <c r="H469" s="85" t="s">
        <v>1864</v>
      </c>
      <c r="I469" s="85" t="s">
        <v>1865</v>
      </c>
      <c r="J469" s="19">
        <v>288</v>
      </c>
      <c r="K469" s="30">
        <v>48</v>
      </c>
      <c r="L469" s="25" t="str">
        <f t="shared" si="15"/>
        <v/>
      </c>
    </row>
    <row r="470" spans="1:12">
      <c r="A470" s="32" t="s">
        <v>1866</v>
      </c>
      <c r="B470" s="33">
        <v>311</v>
      </c>
      <c r="C470" s="33">
        <v>6</v>
      </c>
      <c r="D470" s="32" t="s">
        <v>1867</v>
      </c>
      <c r="E470" s="20"/>
      <c r="F470" s="34">
        <v>7.4</v>
      </c>
      <c r="G470" s="22">
        <f t="shared" si="14"/>
        <v>1.23333333333333</v>
      </c>
      <c r="H470" s="85" t="s">
        <v>1868</v>
      </c>
      <c r="I470" s="85" t="s">
        <v>1869</v>
      </c>
      <c r="J470" s="29">
        <v>156</v>
      </c>
      <c r="K470" s="36">
        <v>26</v>
      </c>
      <c r="L470" s="25" t="str">
        <f t="shared" si="15"/>
        <v/>
      </c>
    </row>
    <row r="471" spans="1:12">
      <c r="A471" s="32" t="s">
        <v>1870</v>
      </c>
      <c r="B471" s="33">
        <v>35</v>
      </c>
      <c r="C471" s="33">
        <v>8</v>
      </c>
      <c r="D471" s="32" t="s">
        <v>1871</v>
      </c>
      <c r="E471" s="20"/>
      <c r="F471" s="34">
        <v>10.8</v>
      </c>
      <c r="G471" s="22">
        <f t="shared" si="14"/>
        <v>1.35</v>
      </c>
      <c r="H471" s="85" t="s">
        <v>1872</v>
      </c>
      <c r="I471" s="85" t="s">
        <v>1873</v>
      </c>
      <c r="J471" s="29">
        <v>64</v>
      </c>
      <c r="K471" s="36">
        <v>16</v>
      </c>
      <c r="L471" s="25" t="str">
        <f t="shared" si="15"/>
        <v/>
      </c>
    </row>
    <row r="472" spans="1:12">
      <c r="A472" s="32" t="s">
        <v>1874</v>
      </c>
      <c r="B472" s="33">
        <v>52</v>
      </c>
      <c r="C472" s="33">
        <v>5</v>
      </c>
      <c r="D472" s="32" t="s">
        <v>1875</v>
      </c>
      <c r="E472" s="20"/>
      <c r="F472" s="34">
        <v>6.72</v>
      </c>
      <c r="G472" s="22">
        <f t="shared" si="14"/>
        <v>1.344</v>
      </c>
      <c r="H472" s="85" t="s">
        <v>1876</v>
      </c>
      <c r="I472" s="85" t="s">
        <v>1877</v>
      </c>
      <c r="J472" s="29">
        <v>100</v>
      </c>
      <c r="K472" s="36">
        <v>20</v>
      </c>
      <c r="L472" s="25" t="str">
        <f t="shared" si="15"/>
        <v/>
      </c>
    </row>
    <row r="473" spans="1:12">
      <c r="A473" s="32" t="s">
        <v>1878</v>
      </c>
      <c r="B473" s="33">
        <v>56</v>
      </c>
      <c r="C473" s="33">
        <v>6</v>
      </c>
      <c r="D473" s="32" t="s">
        <v>1879</v>
      </c>
      <c r="E473" s="20"/>
      <c r="F473" s="34">
        <v>10.75</v>
      </c>
      <c r="G473" s="22">
        <f t="shared" si="14"/>
        <v>1.79166666666667</v>
      </c>
      <c r="H473" s="85" t="s">
        <v>1880</v>
      </c>
      <c r="I473" s="85" t="s">
        <v>1881</v>
      </c>
      <c r="J473" s="29">
        <v>96</v>
      </c>
      <c r="K473" s="36">
        <v>16</v>
      </c>
      <c r="L473" s="25" t="str">
        <f t="shared" si="15"/>
        <v/>
      </c>
    </row>
    <row r="474" spans="1:12">
      <c r="A474" s="32" t="s">
        <v>1882</v>
      </c>
      <c r="B474" s="33">
        <v>81</v>
      </c>
      <c r="C474" s="33">
        <v>20</v>
      </c>
      <c r="D474" s="32" t="s">
        <v>1883</v>
      </c>
      <c r="E474" s="29"/>
      <c r="F474" s="34">
        <v>3.9</v>
      </c>
      <c r="G474" s="22">
        <f t="shared" si="14"/>
        <v>0.195</v>
      </c>
      <c r="H474" s="85" t="s">
        <v>1884</v>
      </c>
      <c r="I474" s="85" t="s">
        <v>1884</v>
      </c>
      <c r="J474" s="29"/>
      <c r="K474" s="51"/>
      <c r="L474" s="25" t="str">
        <f t="shared" si="15"/>
        <v/>
      </c>
    </row>
    <row r="475" spans="1:12">
      <c r="A475" s="32" t="s">
        <v>1885</v>
      </c>
      <c r="B475" s="33">
        <v>35</v>
      </c>
      <c r="C475" s="33">
        <v>8</v>
      </c>
      <c r="D475" s="32" t="s">
        <v>1886</v>
      </c>
      <c r="E475" s="29"/>
      <c r="F475" s="34">
        <v>6.64</v>
      </c>
      <c r="G475" s="22">
        <f t="shared" si="14"/>
        <v>0.83</v>
      </c>
      <c r="H475" s="93" t="s">
        <v>1887</v>
      </c>
      <c r="I475" s="85" t="s">
        <v>1888</v>
      </c>
      <c r="J475" s="29"/>
      <c r="K475" s="51"/>
      <c r="L475" s="25" t="str">
        <f t="shared" si="15"/>
        <v/>
      </c>
    </row>
    <row r="476" spans="1:12">
      <c r="A476" s="32" t="s">
        <v>1889</v>
      </c>
      <c r="B476" s="33">
        <v>16</v>
      </c>
      <c r="C476" s="33">
        <v>8</v>
      </c>
      <c r="D476" s="32" t="s">
        <v>1890</v>
      </c>
      <c r="E476" s="29"/>
      <c r="F476" s="34">
        <v>6.64</v>
      </c>
      <c r="G476" s="22">
        <f t="shared" si="14"/>
        <v>0.83</v>
      </c>
      <c r="H476" s="93" t="s">
        <v>1891</v>
      </c>
      <c r="I476" s="85" t="s">
        <v>1892</v>
      </c>
      <c r="J476" s="29"/>
      <c r="K476" s="51"/>
      <c r="L476" s="25" t="str">
        <f t="shared" si="15"/>
        <v/>
      </c>
    </row>
    <row r="477" spans="1:12">
      <c r="A477" s="32" t="s">
        <v>1893</v>
      </c>
      <c r="B477" s="33">
        <v>15</v>
      </c>
      <c r="C477" s="33">
        <v>8</v>
      </c>
      <c r="D477" s="32" t="s">
        <v>1894</v>
      </c>
      <c r="E477" s="29"/>
      <c r="F477" s="34">
        <v>6.64</v>
      </c>
      <c r="G477" s="22">
        <f t="shared" si="14"/>
        <v>0.83</v>
      </c>
      <c r="H477" s="93" t="s">
        <v>1895</v>
      </c>
      <c r="I477" s="85" t="s">
        <v>1896</v>
      </c>
      <c r="J477" s="29"/>
      <c r="K477" s="51"/>
      <c r="L477" s="25" t="str">
        <f t="shared" si="15"/>
        <v/>
      </c>
    </row>
    <row r="478" spans="1:12">
      <c r="A478" s="32" t="s">
        <v>1897</v>
      </c>
      <c r="B478" s="33">
        <v>106</v>
      </c>
      <c r="C478" s="33">
        <v>16</v>
      </c>
      <c r="D478" s="32" t="s">
        <v>1898</v>
      </c>
      <c r="E478" s="20"/>
      <c r="F478" s="34">
        <v>11.4</v>
      </c>
      <c r="G478" s="22">
        <f t="shared" si="14"/>
        <v>0.7125</v>
      </c>
      <c r="H478" s="85" t="s">
        <v>1899</v>
      </c>
      <c r="I478" s="85" t="s">
        <v>1900</v>
      </c>
      <c r="J478" s="29">
        <v>216</v>
      </c>
      <c r="K478" s="36">
        <v>27</v>
      </c>
      <c r="L478" s="25" t="str">
        <f t="shared" si="15"/>
        <v/>
      </c>
    </row>
    <row r="479" spans="1:12">
      <c r="A479" s="32" t="s">
        <v>1901</v>
      </c>
      <c r="B479" s="33">
        <v>121</v>
      </c>
      <c r="C479" s="33">
        <v>16</v>
      </c>
      <c r="D479" s="32" t="s">
        <v>1902</v>
      </c>
      <c r="E479" s="20"/>
      <c r="F479" s="34">
        <v>11.4</v>
      </c>
      <c r="G479" s="22">
        <f t="shared" si="14"/>
        <v>0.7125</v>
      </c>
      <c r="H479" s="85" t="s">
        <v>1903</v>
      </c>
      <c r="I479" s="85" t="s">
        <v>1904</v>
      </c>
      <c r="J479" s="29">
        <v>216</v>
      </c>
      <c r="K479" s="36">
        <v>27</v>
      </c>
      <c r="L479" s="25" t="str">
        <f t="shared" si="15"/>
        <v/>
      </c>
    </row>
    <row r="480" spans="1:12">
      <c r="A480" s="32" t="s">
        <v>1905</v>
      </c>
      <c r="B480" s="33">
        <v>206</v>
      </c>
      <c r="C480" s="33">
        <v>16</v>
      </c>
      <c r="D480" s="32" t="s">
        <v>1906</v>
      </c>
      <c r="E480" s="20"/>
      <c r="F480" s="34">
        <v>11.4</v>
      </c>
      <c r="G480" s="22">
        <f t="shared" si="14"/>
        <v>0.7125</v>
      </c>
      <c r="H480" s="85" t="s">
        <v>1907</v>
      </c>
      <c r="I480" s="85" t="s">
        <v>1908</v>
      </c>
      <c r="J480" s="29">
        <v>216</v>
      </c>
      <c r="K480" s="36">
        <v>27</v>
      </c>
      <c r="L480" s="25" t="str">
        <f t="shared" si="15"/>
        <v/>
      </c>
    </row>
    <row r="481" spans="1:14">
      <c r="A481" s="32" t="s">
        <v>1909</v>
      </c>
      <c r="B481" s="33">
        <v>126</v>
      </c>
      <c r="C481" s="33">
        <v>16</v>
      </c>
      <c r="D481" s="32" t="s">
        <v>1910</v>
      </c>
      <c r="E481" s="20"/>
      <c r="F481" s="34">
        <v>11.4</v>
      </c>
      <c r="G481" s="22">
        <f t="shared" si="14"/>
        <v>0.7125</v>
      </c>
      <c r="H481" s="85" t="s">
        <v>1911</v>
      </c>
      <c r="I481" s="85" t="s">
        <v>1912</v>
      </c>
      <c r="J481" s="29">
        <v>216</v>
      </c>
      <c r="K481" s="36">
        <v>27</v>
      </c>
      <c r="L481" s="25" t="str">
        <f t="shared" si="15"/>
        <v/>
      </c>
    </row>
    <row r="482" spans="1:14">
      <c r="A482" s="32" t="s">
        <v>1913</v>
      </c>
      <c r="B482" s="33">
        <v>145</v>
      </c>
      <c r="C482" s="33">
        <v>16</v>
      </c>
      <c r="D482" s="32" t="s">
        <v>1914</v>
      </c>
      <c r="E482" s="20"/>
      <c r="F482" s="34">
        <v>11.4</v>
      </c>
      <c r="G482" s="22">
        <f t="shared" si="14"/>
        <v>0.7125</v>
      </c>
      <c r="H482" s="85" t="s">
        <v>1915</v>
      </c>
      <c r="I482" s="85" t="s">
        <v>1916</v>
      </c>
      <c r="J482" s="29">
        <v>216</v>
      </c>
      <c r="K482" s="36">
        <v>27</v>
      </c>
      <c r="L482" s="25" t="str">
        <f t="shared" si="15"/>
        <v/>
      </c>
    </row>
    <row r="483" spans="1:14">
      <c r="A483" s="32" t="s">
        <v>1917</v>
      </c>
      <c r="B483" s="33">
        <v>1095</v>
      </c>
      <c r="C483" s="33">
        <v>6</v>
      </c>
      <c r="D483" s="32" t="s">
        <v>1918</v>
      </c>
      <c r="E483" s="20"/>
      <c r="F483" s="34">
        <v>5.7</v>
      </c>
      <c r="G483" s="22">
        <f t="shared" si="14"/>
        <v>0.95</v>
      </c>
      <c r="H483" s="85" t="s">
        <v>1919</v>
      </c>
      <c r="I483" s="85" t="s">
        <v>1920</v>
      </c>
      <c r="J483" s="29">
        <v>260</v>
      </c>
      <c r="K483" s="30">
        <v>52</v>
      </c>
      <c r="L483" s="25" t="str">
        <f t="shared" si="15"/>
        <v/>
      </c>
    </row>
    <row r="484" spans="1:14">
      <c r="A484" s="32" t="s">
        <v>1921</v>
      </c>
      <c r="B484" s="33">
        <v>90</v>
      </c>
      <c r="C484" s="33">
        <v>6</v>
      </c>
      <c r="D484" s="32" t="s">
        <v>1922</v>
      </c>
      <c r="E484" s="29"/>
      <c r="F484" s="34">
        <v>5.7</v>
      </c>
      <c r="G484" s="22">
        <f t="shared" si="14"/>
        <v>0.95</v>
      </c>
      <c r="H484" s="85" t="s">
        <v>1923</v>
      </c>
      <c r="I484" s="85" t="s">
        <v>1924</v>
      </c>
      <c r="J484" s="29">
        <v>260</v>
      </c>
      <c r="K484" s="30">
        <v>52</v>
      </c>
      <c r="L484" s="25" t="str">
        <f t="shared" si="15"/>
        <v/>
      </c>
    </row>
    <row r="485" spans="1:14">
      <c r="A485" s="32" t="s">
        <v>1925</v>
      </c>
      <c r="B485" s="33">
        <v>552</v>
      </c>
      <c r="C485" s="33">
        <v>6</v>
      </c>
      <c r="D485" s="32" t="s">
        <v>1926</v>
      </c>
      <c r="E485" s="20"/>
      <c r="F485" s="34">
        <v>7.2</v>
      </c>
      <c r="G485" s="34">
        <f t="shared" si="14"/>
        <v>1.2</v>
      </c>
      <c r="H485" s="85" t="s">
        <v>1927</v>
      </c>
      <c r="I485" s="85" t="s">
        <v>1928</v>
      </c>
      <c r="J485" s="29">
        <v>260</v>
      </c>
      <c r="K485" s="36">
        <v>52</v>
      </c>
      <c r="L485" s="25" t="str">
        <f t="shared" si="15"/>
        <v/>
      </c>
    </row>
    <row r="486" spans="1:14">
      <c r="A486" s="32" t="s">
        <v>1929</v>
      </c>
      <c r="B486" s="33">
        <v>487</v>
      </c>
      <c r="C486" s="33">
        <v>6</v>
      </c>
      <c r="D486" s="32" t="s">
        <v>1930</v>
      </c>
      <c r="E486" s="20"/>
      <c r="F486" s="34">
        <v>7.2</v>
      </c>
      <c r="G486" s="22">
        <f t="shared" si="14"/>
        <v>1.2</v>
      </c>
      <c r="H486" s="85" t="s">
        <v>1931</v>
      </c>
      <c r="I486" s="85" t="s">
        <v>1932</v>
      </c>
      <c r="J486" s="29">
        <v>260</v>
      </c>
      <c r="K486" s="36">
        <v>52</v>
      </c>
      <c r="L486" s="25" t="str">
        <f t="shared" si="15"/>
        <v/>
      </c>
    </row>
    <row r="487" spans="1:14">
      <c r="A487" s="32" t="s">
        <v>1933</v>
      </c>
      <c r="B487" s="33">
        <v>127</v>
      </c>
      <c r="C487" s="33">
        <v>6</v>
      </c>
      <c r="D487" s="32" t="s">
        <v>1934</v>
      </c>
      <c r="E487" s="29"/>
      <c r="F487" s="37">
        <v>8.8</v>
      </c>
      <c r="G487" s="38">
        <f t="shared" si="14"/>
        <v>1.46666666666667</v>
      </c>
      <c r="H487" s="85" t="s">
        <v>1935</v>
      </c>
      <c r="I487" s="85" t="s">
        <v>1936</v>
      </c>
      <c r="J487" s="29">
        <v>260</v>
      </c>
      <c r="K487" s="36">
        <v>52</v>
      </c>
      <c r="L487" s="25" t="str">
        <f t="shared" si="15"/>
        <v/>
      </c>
      <c r="N487" s="53"/>
    </row>
    <row r="488" spans="1:14">
      <c r="A488" s="32" t="s">
        <v>1937</v>
      </c>
      <c r="B488" s="33">
        <v>269</v>
      </c>
      <c r="C488" s="33">
        <v>6</v>
      </c>
      <c r="D488" s="32" t="s">
        <v>1938</v>
      </c>
      <c r="E488" s="29"/>
      <c r="F488" s="34">
        <v>9.4</v>
      </c>
      <c r="G488" s="22">
        <f t="shared" si="14"/>
        <v>1.56666666666667</v>
      </c>
      <c r="H488" s="85" t="s">
        <v>1939</v>
      </c>
      <c r="I488" s="85" t="s">
        <v>1940</v>
      </c>
      <c r="J488" s="29">
        <v>260</v>
      </c>
      <c r="K488" s="36">
        <v>52</v>
      </c>
      <c r="L488" s="25" t="str">
        <f t="shared" si="15"/>
        <v/>
      </c>
    </row>
    <row r="489" spans="1:14">
      <c r="A489" s="32" t="s">
        <v>1941</v>
      </c>
      <c r="B489" s="33">
        <v>306</v>
      </c>
      <c r="C489" s="33">
        <v>6</v>
      </c>
      <c r="D489" s="32" t="s">
        <v>1942</v>
      </c>
      <c r="E489" s="20"/>
      <c r="F489" s="34">
        <v>9.6</v>
      </c>
      <c r="G489" s="22">
        <f t="shared" si="14"/>
        <v>1.6</v>
      </c>
      <c r="H489" s="85" t="s">
        <v>1943</v>
      </c>
      <c r="I489" s="85" t="s">
        <v>1944</v>
      </c>
      <c r="J489" s="29">
        <v>144</v>
      </c>
      <c r="K489" s="36">
        <v>36</v>
      </c>
      <c r="L489" s="25" t="str">
        <f t="shared" si="15"/>
        <v/>
      </c>
      <c r="N489" s="53"/>
    </row>
    <row r="490" spans="1:14">
      <c r="A490" s="32" t="s">
        <v>1945</v>
      </c>
      <c r="B490" s="33">
        <v>232</v>
      </c>
      <c r="C490" s="33">
        <v>6</v>
      </c>
      <c r="D490" s="32" t="s">
        <v>1946</v>
      </c>
      <c r="E490" s="20"/>
      <c r="F490" s="34">
        <v>9.6</v>
      </c>
      <c r="G490" s="22">
        <f t="shared" si="14"/>
        <v>1.6</v>
      </c>
      <c r="H490" s="85" t="s">
        <v>1947</v>
      </c>
      <c r="I490" s="85" t="s">
        <v>1948</v>
      </c>
      <c r="J490" s="29">
        <v>144</v>
      </c>
      <c r="K490" s="30">
        <v>36</v>
      </c>
      <c r="L490" s="25" t="str">
        <f t="shared" si="15"/>
        <v/>
      </c>
    </row>
    <row r="491" spans="1:14">
      <c r="A491" s="32" t="s">
        <v>1949</v>
      </c>
      <c r="B491" s="33">
        <v>71</v>
      </c>
      <c r="C491" s="33">
        <v>6</v>
      </c>
      <c r="D491" s="32" t="s">
        <v>1950</v>
      </c>
      <c r="E491" s="20"/>
      <c r="F491" s="34">
        <v>9.6</v>
      </c>
      <c r="G491" s="22">
        <f t="shared" si="14"/>
        <v>1.6</v>
      </c>
      <c r="H491" s="85" t="s">
        <v>1951</v>
      </c>
      <c r="I491" s="85" t="s">
        <v>1952</v>
      </c>
      <c r="J491" s="29">
        <v>144</v>
      </c>
      <c r="K491" s="36">
        <v>36</v>
      </c>
      <c r="L491" s="25" t="str">
        <f t="shared" si="15"/>
        <v/>
      </c>
      <c r="N491" s="53"/>
    </row>
    <row r="492" spans="1:14">
      <c r="A492" s="32" t="s">
        <v>1953</v>
      </c>
      <c r="B492" s="33">
        <v>124</v>
      </c>
      <c r="C492" s="33">
        <v>6</v>
      </c>
      <c r="D492" s="32" t="s">
        <v>1954</v>
      </c>
      <c r="E492" s="29"/>
      <c r="F492" s="34">
        <v>10.4</v>
      </c>
      <c r="G492" s="22">
        <f t="shared" si="14"/>
        <v>1.73333333333333</v>
      </c>
      <c r="H492" s="85" t="s">
        <v>1955</v>
      </c>
      <c r="I492" s="85" t="s">
        <v>1956</v>
      </c>
      <c r="J492" s="29">
        <v>144</v>
      </c>
      <c r="K492" s="36">
        <v>36</v>
      </c>
      <c r="L492" s="25" t="str">
        <f t="shared" si="15"/>
        <v/>
      </c>
      <c r="N492" s="53"/>
    </row>
    <row r="493" spans="1:14">
      <c r="A493" s="32" t="s">
        <v>1957</v>
      </c>
      <c r="B493" s="33">
        <v>86</v>
      </c>
      <c r="C493" s="33">
        <v>6</v>
      </c>
      <c r="D493" s="32" t="s">
        <v>1958</v>
      </c>
      <c r="E493" s="20"/>
      <c r="F493" s="34">
        <v>10.4</v>
      </c>
      <c r="G493" s="22">
        <f t="shared" si="14"/>
        <v>1.73333333333333</v>
      </c>
      <c r="H493" s="85" t="s">
        <v>1959</v>
      </c>
      <c r="I493" s="85" t="s">
        <v>1960</v>
      </c>
      <c r="J493" s="29">
        <v>144</v>
      </c>
      <c r="K493" s="30">
        <v>36</v>
      </c>
      <c r="L493" s="25" t="str">
        <f t="shared" si="15"/>
        <v/>
      </c>
    </row>
    <row r="494" spans="1:14">
      <c r="A494" s="32" t="s">
        <v>1961</v>
      </c>
      <c r="B494" s="33">
        <v>144</v>
      </c>
      <c r="C494" s="33">
        <v>6</v>
      </c>
      <c r="D494" s="32" t="s">
        <v>1962</v>
      </c>
      <c r="E494" s="29"/>
      <c r="F494" s="37">
        <v>10.4</v>
      </c>
      <c r="G494" s="38">
        <f t="shared" si="14"/>
        <v>1.73333333333333</v>
      </c>
      <c r="H494" s="85" t="s">
        <v>1963</v>
      </c>
      <c r="I494" s="85" t="s">
        <v>1964</v>
      </c>
      <c r="J494" s="29">
        <v>144</v>
      </c>
      <c r="K494" s="51">
        <v>36</v>
      </c>
      <c r="L494" s="25" t="str">
        <f t="shared" si="15"/>
        <v/>
      </c>
    </row>
    <row r="495" spans="1:14">
      <c r="A495" s="32" t="s">
        <v>1965</v>
      </c>
      <c r="B495" s="19">
        <v>71</v>
      </c>
      <c r="C495" s="33">
        <v>6</v>
      </c>
      <c r="D495" s="32" t="s">
        <v>1966</v>
      </c>
      <c r="E495" s="20"/>
      <c r="F495" s="34">
        <v>10.8</v>
      </c>
      <c r="G495" s="22">
        <f t="shared" si="14"/>
        <v>1.8</v>
      </c>
      <c r="H495" s="86" t="s">
        <v>1967</v>
      </c>
      <c r="I495" s="86" t="s">
        <v>1968</v>
      </c>
      <c r="J495" s="19">
        <v>144</v>
      </c>
      <c r="K495" s="30">
        <v>36</v>
      </c>
      <c r="L495" s="25" t="str">
        <f t="shared" si="15"/>
        <v/>
      </c>
    </row>
    <row r="496" spans="1:14">
      <c r="A496" s="32" t="s">
        <v>1969</v>
      </c>
      <c r="B496" s="19">
        <v>21</v>
      </c>
      <c r="C496" s="33">
        <v>6</v>
      </c>
      <c r="D496" s="32" t="s">
        <v>1970</v>
      </c>
      <c r="E496" s="20"/>
      <c r="F496" s="37">
        <v>12.4</v>
      </c>
      <c r="G496" s="38">
        <f t="shared" si="14"/>
        <v>2.06666666666667</v>
      </c>
      <c r="H496" s="86" t="s">
        <v>1971</v>
      </c>
      <c r="I496" s="86" t="s">
        <v>1972</v>
      </c>
      <c r="J496" s="19">
        <v>144</v>
      </c>
      <c r="K496" s="30">
        <v>36</v>
      </c>
      <c r="L496" s="25" t="str">
        <f t="shared" si="15"/>
        <v/>
      </c>
      <c r="N496" s="53"/>
    </row>
    <row r="497" spans="1:12">
      <c r="A497" s="32" t="s">
        <v>1973</v>
      </c>
      <c r="B497" s="19">
        <v>51</v>
      </c>
      <c r="C497" s="33">
        <v>6</v>
      </c>
      <c r="D497" s="32" t="s">
        <v>1974</v>
      </c>
      <c r="E497" s="29"/>
      <c r="F497" s="37">
        <v>12.4</v>
      </c>
      <c r="G497" s="38">
        <f t="shared" si="14"/>
        <v>2.06666666666667</v>
      </c>
      <c r="H497" s="86" t="s">
        <v>1975</v>
      </c>
      <c r="I497" s="86" t="s">
        <v>1976</v>
      </c>
      <c r="J497" s="19">
        <v>144</v>
      </c>
      <c r="K497" s="30">
        <v>36</v>
      </c>
      <c r="L497" s="25" t="str">
        <f t="shared" si="15"/>
        <v/>
      </c>
    </row>
    <row r="498" spans="1:12">
      <c r="A498" s="32" t="s">
        <v>1977</v>
      </c>
      <c r="B498" s="33">
        <v>60</v>
      </c>
      <c r="C498" s="33">
        <v>3</v>
      </c>
      <c r="D498" s="32" t="s">
        <v>1978</v>
      </c>
      <c r="E498" s="29"/>
      <c r="F498" s="34">
        <v>10.8</v>
      </c>
      <c r="G498" s="22">
        <f t="shared" si="14"/>
        <v>3.6</v>
      </c>
      <c r="H498" s="85" t="s">
        <v>1979</v>
      </c>
      <c r="I498" s="85" t="s">
        <v>1980</v>
      </c>
      <c r="J498" s="29">
        <v>528</v>
      </c>
      <c r="K498" s="30">
        <v>66</v>
      </c>
      <c r="L498" s="25" t="str">
        <f t="shared" si="15"/>
        <v/>
      </c>
    </row>
    <row r="499" spans="1:12">
      <c r="A499" s="32" t="s">
        <v>1981</v>
      </c>
      <c r="B499" s="33">
        <v>14</v>
      </c>
      <c r="C499" s="33">
        <v>6</v>
      </c>
      <c r="D499" s="32" t="s">
        <v>1982</v>
      </c>
      <c r="E499" s="20"/>
      <c r="F499" s="34">
        <v>13.2</v>
      </c>
      <c r="G499" s="22">
        <f t="shared" si="14"/>
        <v>2.2</v>
      </c>
      <c r="H499" s="85" t="s">
        <v>1983</v>
      </c>
      <c r="I499" s="85" t="s">
        <v>1984</v>
      </c>
      <c r="J499" s="29">
        <v>396</v>
      </c>
      <c r="K499" s="30">
        <v>66</v>
      </c>
      <c r="L499" s="25" t="str">
        <f t="shared" si="15"/>
        <v/>
      </c>
    </row>
    <row r="500" spans="1:12">
      <c r="A500" s="32" t="s">
        <v>1985</v>
      </c>
      <c r="B500" s="33">
        <v>455</v>
      </c>
      <c r="C500" s="33">
        <v>6</v>
      </c>
      <c r="D500" s="32" t="s">
        <v>1986</v>
      </c>
      <c r="E500" s="29"/>
      <c r="F500" s="34">
        <v>13.2</v>
      </c>
      <c r="G500" s="22">
        <f t="shared" si="14"/>
        <v>2.2</v>
      </c>
      <c r="H500" s="85" t="s">
        <v>1987</v>
      </c>
      <c r="I500" s="85" t="s">
        <v>1988</v>
      </c>
      <c r="J500" s="29">
        <v>396</v>
      </c>
      <c r="K500" s="36">
        <v>66</v>
      </c>
      <c r="L500" s="25" t="str">
        <f t="shared" si="15"/>
        <v/>
      </c>
    </row>
    <row r="501" spans="1:12">
      <c r="A501" s="32" t="s">
        <v>1989</v>
      </c>
      <c r="B501" s="33">
        <v>11</v>
      </c>
      <c r="C501" s="33">
        <v>6</v>
      </c>
      <c r="D501" s="32" t="s">
        <v>1990</v>
      </c>
      <c r="E501" s="20"/>
      <c r="F501" s="34">
        <v>14.4</v>
      </c>
      <c r="G501" s="22">
        <f t="shared" si="14"/>
        <v>2.4</v>
      </c>
      <c r="H501" s="87" t="s">
        <v>1991</v>
      </c>
      <c r="I501" s="85" t="s">
        <v>1992</v>
      </c>
      <c r="J501" s="29">
        <v>396</v>
      </c>
      <c r="K501" s="36">
        <v>66</v>
      </c>
      <c r="L501" s="25" t="str">
        <f t="shared" si="15"/>
        <v/>
      </c>
    </row>
    <row r="502" spans="1:12">
      <c r="A502" s="32" t="s">
        <v>1993</v>
      </c>
      <c r="B502" s="33">
        <v>82</v>
      </c>
      <c r="C502" s="33">
        <v>6</v>
      </c>
      <c r="D502" s="32" t="s">
        <v>1994</v>
      </c>
      <c r="E502" s="29"/>
      <c r="F502" s="34">
        <v>6.3</v>
      </c>
      <c r="G502" s="22">
        <f t="shared" si="14"/>
        <v>1.05</v>
      </c>
      <c r="H502" s="85" t="s">
        <v>1995</v>
      </c>
      <c r="I502" s="85" t="s">
        <v>1996</v>
      </c>
      <c r="J502" s="29">
        <v>360</v>
      </c>
      <c r="K502" s="36">
        <v>60</v>
      </c>
      <c r="L502" s="25" t="str">
        <f t="shared" si="15"/>
        <v/>
      </c>
    </row>
    <row r="503" spans="1:12">
      <c r="A503" s="32" t="s">
        <v>1997</v>
      </c>
      <c r="B503" s="33">
        <v>139</v>
      </c>
      <c r="C503" s="33">
        <v>6</v>
      </c>
      <c r="D503" s="32" t="s">
        <v>1998</v>
      </c>
      <c r="E503" s="29"/>
      <c r="F503" s="34">
        <v>6.3</v>
      </c>
      <c r="G503" s="22">
        <f t="shared" si="14"/>
        <v>1.05</v>
      </c>
      <c r="H503" s="85" t="s">
        <v>1999</v>
      </c>
      <c r="I503" s="85" t="s">
        <v>2000</v>
      </c>
      <c r="J503" s="29">
        <v>360</v>
      </c>
      <c r="K503" s="36">
        <v>60</v>
      </c>
      <c r="L503" s="25" t="str">
        <f t="shared" si="15"/>
        <v/>
      </c>
    </row>
    <row r="504" spans="1:12">
      <c r="A504" s="32" t="s">
        <v>2001</v>
      </c>
      <c r="B504" s="33">
        <v>4</v>
      </c>
      <c r="C504" s="33">
        <v>6</v>
      </c>
      <c r="D504" s="32" t="s">
        <v>2002</v>
      </c>
      <c r="E504" s="29"/>
      <c r="F504" s="34">
        <v>6.3</v>
      </c>
      <c r="G504" s="22">
        <f t="shared" si="14"/>
        <v>1.05</v>
      </c>
      <c r="H504" s="85" t="s">
        <v>2003</v>
      </c>
      <c r="I504" s="85" t="s">
        <v>2004</v>
      </c>
      <c r="J504" s="29">
        <v>360</v>
      </c>
      <c r="K504" s="36">
        <v>60</v>
      </c>
      <c r="L504" s="25" t="str">
        <f t="shared" si="15"/>
        <v/>
      </c>
    </row>
    <row r="505" spans="1:12">
      <c r="A505" s="32" t="s">
        <v>2005</v>
      </c>
      <c r="B505" s="33">
        <v>284</v>
      </c>
      <c r="C505" s="33">
        <v>6</v>
      </c>
      <c r="D505" s="32" t="s">
        <v>2006</v>
      </c>
      <c r="E505" s="29"/>
      <c r="F505" s="34">
        <v>6.3</v>
      </c>
      <c r="G505" s="22">
        <f t="shared" si="14"/>
        <v>1.05</v>
      </c>
      <c r="H505" s="85" t="s">
        <v>2007</v>
      </c>
      <c r="I505" s="85" t="s">
        <v>2008</v>
      </c>
      <c r="J505" s="29">
        <v>360</v>
      </c>
      <c r="K505" s="36">
        <v>60</v>
      </c>
      <c r="L505" s="25" t="str">
        <f t="shared" si="15"/>
        <v/>
      </c>
    </row>
    <row r="506" spans="1:12">
      <c r="A506" s="32" t="s">
        <v>2009</v>
      </c>
      <c r="B506" s="33">
        <v>270</v>
      </c>
      <c r="C506" s="33">
        <v>6</v>
      </c>
      <c r="D506" s="41" t="s">
        <v>2010</v>
      </c>
      <c r="E506" s="20"/>
      <c r="F506" s="34">
        <v>6.3</v>
      </c>
      <c r="G506" s="22">
        <f t="shared" si="14"/>
        <v>1.05</v>
      </c>
      <c r="H506" s="85" t="s">
        <v>2011</v>
      </c>
      <c r="I506" s="85" t="s">
        <v>2012</v>
      </c>
      <c r="J506" s="29">
        <v>360</v>
      </c>
      <c r="K506" s="36">
        <v>60</v>
      </c>
      <c r="L506" s="25" t="str">
        <f t="shared" si="15"/>
        <v/>
      </c>
    </row>
    <row r="507" spans="1:12">
      <c r="A507" s="32" t="s">
        <v>2013</v>
      </c>
      <c r="B507" s="33">
        <v>282</v>
      </c>
      <c r="C507" s="33">
        <v>6</v>
      </c>
      <c r="D507" s="41" t="s">
        <v>2014</v>
      </c>
      <c r="E507" s="20"/>
      <c r="F507" s="34">
        <v>6.3</v>
      </c>
      <c r="G507" s="22">
        <f t="shared" si="14"/>
        <v>1.05</v>
      </c>
      <c r="H507" s="85" t="s">
        <v>2015</v>
      </c>
      <c r="I507" s="85" t="s">
        <v>2016</v>
      </c>
      <c r="J507" s="29">
        <v>360</v>
      </c>
      <c r="K507" s="36">
        <v>60</v>
      </c>
      <c r="L507" s="25" t="str">
        <f t="shared" si="15"/>
        <v/>
      </c>
    </row>
    <row r="508" spans="1:12">
      <c r="A508" s="32" t="s">
        <v>2017</v>
      </c>
      <c r="B508" s="33">
        <v>129</v>
      </c>
      <c r="C508" s="33">
        <v>6</v>
      </c>
      <c r="D508" s="41" t="s">
        <v>2018</v>
      </c>
      <c r="E508" s="20"/>
      <c r="F508" s="34">
        <v>6.3</v>
      </c>
      <c r="G508" s="22">
        <f t="shared" si="14"/>
        <v>1.05</v>
      </c>
      <c r="H508" s="85" t="s">
        <v>2019</v>
      </c>
      <c r="I508" s="85" t="s">
        <v>2020</v>
      </c>
      <c r="J508" s="29">
        <v>360</v>
      </c>
      <c r="K508" s="36">
        <v>60</v>
      </c>
      <c r="L508" s="25" t="str">
        <f t="shared" si="15"/>
        <v/>
      </c>
    </row>
    <row r="509" spans="1:12">
      <c r="A509" s="32" t="s">
        <v>2021</v>
      </c>
      <c r="B509" s="33">
        <v>323</v>
      </c>
      <c r="C509" s="33">
        <v>6</v>
      </c>
      <c r="D509" s="41" t="s">
        <v>2022</v>
      </c>
      <c r="E509" s="20"/>
      <c r="F509" s="34">
        <v>6.3</v>
      </c>
      <c r="G509" s="22">
        <f t="shared" si="14"/>
        <v>1.05</v>
      </c>
      <c r="H509" s="85" t="s">
        <v>2023</v>
      </c>
      <c r="I509" s="85" t="s">
        <v>2024</v>
      </c>
      <c r="J509" s="29">
        <v>360</v>
      </c>
      <c r="K509" s="36">
        <v>60</v>
      </c>
      <c r="L509" s="25" t="str">
        <f t="shared" si="15"/>
        <v/>
      </c>
    </row>
    <row r="510" spans="1:12">
      <c r="A510" s="32" t="s">
        <v>2025</v>
      </c>
      <c r="B510" s="33">
        <v>633</v>
      </c>
      <c r="C510" s="33">
        <v>6</v>
      </c>
      <c r="D510" s="41" t="s">
        <v>2026</v>
      </c>
      <c r="E510" s="20"/>
      <c r="F510" s="34">
        <v>6.3</v>
      </c>
      <c r="G510" s="22">
        <f t="shared" si="14"/>
        <v>1.05</v>
      </c>
      <c r="H510" s="85" t="s">
        <v>2027</v>
      </c>
      <c r="I510" s="85" t="s">
        <v>2028</v>
      </c>
      <c r="J510" s="29">
        <v>360</v>
      </c>
      <c r="K510" s="36">
        <v>60</v>
      </c>
      <c r="L510" s="25" t="str">
        <f t="shared" si="15"/>
        <v/>
      </c>
    </row>
    <row r="511" spans="1:12">
      <c r="A511" s="32" t="s">
        <v>2029</v>
      </c>
      <c r="B511" s="33">
        <v>0</v>
      </c>
      <c r="C511" s="33">
        <v>6</v>
      </c>
      <c r="D511" s="32" t="s">
        <v>2030</v>
      </c>
      <c r="E511" s="20"/>
      <c r="F511" s="34">
        <v>6.3</v>
      </c>
      <c r="G511" s="22">
        <f t="shared" si="14"/>
        <v>1.05</v>
      </c>
      <c r="H511" s="85" t="s">
        <v>2031</v>
      </c>
      <c r="I511" s="85" t="s">
        <v>2032</v>
      </c>
      <c r="J511" s="29">
        <v>360</v>
      </c>
      <c r="K511" s="30">
        <v>60</v>
      </c>
      <c r="L511" s="25" t="str">
        <f t="shared" si="15"/>
        <v/>
      </c>
    </row>
    <row r="512" spans="1:12">
      <c r="A512" s="32" t="s">
        <v>2033</v>
      </c>
      <c r="B512" s="33">
        <v>33</v>
      </c>
      <c r="C512" s="33">
        <v>6</v>
      </c>
      <c r="D512" s="41" t="s">
        <v>2034</v>
      </c>
      <c r="E512" s="20"/>
      <c r="F512" s="37">
        <v>7.5</v>
      </c>
      <c r="G512" s="38">
        <f t="shared" ref="G512:G575" si="16">F512/C512</f>
        <v>1.25</v>
      </c>
      <c r="H512" s="85" t="s">
        <v>2035</v>
      </c>
      <c r="I512" s="85" t="s">
        <v>2036</v>
      </c>
      <c r="J512" s="29">
        <v>180</v>
      </c>
      <c r="K512" s="36">
        <v>36</v>
      </c>
      <c r="L512" s="25" t="str">
        <f t="shared" ref="L512:L575" si="17">IF(E512,E512*F512,"")</f>
        <v/>
      </c>
    </row>
    <row r="513" spans="1:12">
      <c r="A513" s="32" t="s">
        <v>2037</v>
      </c>
      <c r="B513" s="33">
        <v>0</v>
      </c>
      <c r="C513" s="33">
        <v>6</v>
      </c>
      <c r="D513" s="41" t="s">
        <v>2038</v>
      </c>
      <c r="E513" s="20"/>
      <c r="F513" s="37">
        <v>15</v>
      </c>
      <c r="G513" s="38">
        <f t="shared" si="16"/>
        <v>2.5</v>
      </c>
      <c r="H513" s="85" t="s">
        <v>2039</v>
      </c>
      <c r="I513" s="85" t="s">
        <v>2040</v>
      </c>
      <c r="J513" s="29">
        <v>126</v>
      </c>
      <c r="K513" s="36">
        <v>21</v>
      </c>
      <c r="L513" s="25" t="str">
        <f t="shared" si="17"/>
        <v/>
      </c>
    </row>
    <row r="514" spans="1:12">
      <c r="A514" s="32" t="s">
        <v>2041</v>
      </c>
      <c r="B514" s="33">
        <v>46</v>
      </c>
      <c r="C514" s="33">
        <v>30</v>
      </c>
      <c r="D514" s="41" t="s">
        <v>2042</v>
      </c>
      <c r="E514" s="20"/>
      <c r="F514" s="37">
        <v>19.4</v>
      </c>
      <c r="G514" s="38">
        <f t="shared" si="16"/>
        <v>0.646666666666667</v>
      </c>
      <c r="H514" s="85" t="s">
        <v>2043</v>
      </c>
      <c r="I514" s="85" t="s">
        <v>2044</v>
      </c>
      <c r="J514" s="29"/>
      <c r="K514" s="36"/>
      <c r="L514" s="25" t="str">
        <f t="shared" si="17"/>
        <v/>
      </c>
    </row>
    <row r="515" spans="1:12">
      <c r="A515" s="32" t="s">
        <v>2045</v>
      </c>
      <c r="B515" s="33">
        <v>18</v>
      </c>
      <c r="C515" s="33">
        <v>9</v>
      </c>
      <c r="D515" s="41" t="s">
        <v>2046</v>
      </c>
      <c r="E515" s="20"/>
      <c r="F515" s="34">
        <v>6.4</v>
      </c>
      <c r="G515" s="22">
        <f t="shared" si="16"/>
        <v>0.711111111111111</v>
      </c>
      <c r="H515" s="85" t="s">
        <v>2047</v>
      </c>
      <c r="I515" s="85" t="s">
        <v>2048</v>
      </c>
      <c r="J515" s="29">
        <v>405</v>
      </c>
      <c r="K515" s="36">
        <v>135</v>
      </c>
      <c r="L515" s="25" t="str">
        <f t="shared" si="17"/>
        <v/>
      </c>
    </row>
    <row r="516" spans="1:12">
      <c r="A516" s="32" t="s">
        <v>2049</v>
      </c>
      <c r="B516" s="33">
        <v>11</v>
      </c>
      <c r="C516" s="33">
        <v>9</v>
      </c>
      <c r="D516" s="41" t="s">
        <v>2050</v>
      </c>
      <c r="E516" s="20"/>
      <c r="F516" s="34">
        <v>6.4</v>
      </c>
      <c r="G516" s="22">
        <f t="shared" si="16"/>
        <v>0.711111111111111</v>
      </c>
      <c r="H516" s="85" t="s">
        <v>2051</v>
      </c>
      <c r="I516" s="85" t="s">
        <v>2052</v>
      </c>
      <c r="J516" s="29">
        <v>405</v>
      </c>
      <c r="K516" s="36">
        <v>135</v>
      </c>
      <c r="L516" s="25" t="str">
        <f t="shared" si="17"/>
        <v/>
      </c>
    </row>
    <row r="517" spans="1:12">
      <c r="A517" s="32" t="s">
        <v>2053</v>
      </c>
      <c r="B517" s="33">
        <v>5</v>
      </c>
      <c r="C517" s="33">
        <v>9</v>
      </c>
      <c r="D517" s="41" t="s">
        <v>2054</v>
      </c>
      <c r="E517" s="20"/>
      <c r="F517" s="34">
        <v>6.4</v>
      </c>
      <c r="G517" s="22">
        <f t="shared" si="16"/>
        <v>0.711111111111111</v>
      </c>
      <c r="H517" s="85" t="s">
        <v>2055</v>
      </c>
      <c r="I517" s="85" t="s">
        <v>2056</v>
      </c>
      <c r="J517" s="29">
        <v>405</v>
      </c>
      <c r="K517" s="36">
        <v>135</v>
      </c>
      <c r="L517" s="25" t="str">
        <f t="shared" si="17"/>
        <v/>
      </c>
    </row>
    <row r="518" spans="1:12">
      <c r="A518" s="32" t="s">
        <v>2057</v>
      </c>
      <c r="B518" s="33">
        <v>15</v>
      </c>
      <c r="C518" s="33">
        <v>10</v>
      </c>
      <c r="D518" s="41" t="s">
        <v>2058</v>
      </c>
      <c r="E518" s="20"/>
      <c r="F518" s="34">
        <v>6.5</v>
      </c>
      <c r="G518" s="22">
        <f t="shared" si="16"/>
        <v>0.65</v>
      </c>
      <c r="H518" s="85" t="s">
        <v>2059</v>
      </c>
      <c r="I518" s="85" t="s">
        <v>2060</v>
      </c>
      <c r="J518" s="29"/>
      <c r="K518" s="36"/>
      <c r="L518" s="25" t="str">
        <f t="shared" si="17"/>
        <v/>
      </c>
    </row>
    <row r="519" spans="1:12">
      <c r="A519" s="32" t="s">
        <v>2061</v>
      </c>
      <c r="B519" s="33">
        <v>72</v>
      </c>
      <c r="C519" s="33">
        <v>12</v>
      </c>
      <c r="D519" s="41" t="s">
        <v>2062</v>
      </c>
      <c r="E519" s="20"/>
      <c r="F519" s="34">
        <v>9.4</v>
      </c>
      <c r="G519" s="22">
        <f t="shared" si="16"/>
        <v>0.783333333333333</v>
      </c>
      <c r="H519" s="35"/>
      <c r="I519" s="35"/>
      <c r="J519" s="29">
        <v>360</v>
      </c>
      <c r="K519" s="36">
        <v>72</v>
      </c>
      <c r="L519" s="25" t="str">
        <f t="shared" si="17"/>
        <v/>
      </c>
    </row>
    <row r="520" spans="1:12">
      <c r="A520" s="32" t="s">
        <v>2063</v>
      </c>
      <c r="B520" s="33">
        <v>31</v>
      </c>
      <c r="C520" s="33">
        <v>24</v>
      </c>
      <c r="D520" s="32" t="s">
        <v>2064</v>
      </c>
      <c r="E520" s="20"/>
      <c r="F520" s="34">
        <v>15</v>
      </c>
      <c r="G520" s="22">
        <f t="shared" si="16"/>
        <v>0.625</v>
      </c>
      <c r="H520" s="85" t="s">
        <v>2065</v>
      </c>
      <c r="I520" s="85" t="s">
        <v>2066</v>
      </c>
      <c r="J520" s="29">
        <v>384</v>
      </c>
      <c r="K520" s="36">
        <v>64</v>
      </c>
      <c r="L520" s="25" t="str">
        <f t="shared" si="17"/>
        <v/>
      </c>
    </row>
    <row r="521" spans="1:12">
      <c r="A521" s="32" t="s">
        <v>2067</v>
      </c>
      <c r="B521" s="33">
        <v>111</v>
      </c>
      <c r="C521" s="33">
        <v>24</v>
      </c>
      <c r="D521" s="32" t="s">
        <v>2068</v>
      </c>
      <c r="E521" s="20"/>
      <c r="F521" s="34">
        <v>15</v>
      </c>
      <c r="G521" s="22">
        <f t="shared" si="16"/>
        <v>0.625</v>
      </c>
      <c r="H521" s="85" t="s">
        <v>2069</v>
      </c>
      <c r="I521" s="85" t="s">
        <v>2070</v>
      </c>
      <c r="J521" s="29">
        <v>384</v>
      </c>
      <c r="K521" s="36">
        <v>64</v>
      </c>
      <c r="L521" s="25" t="str">
        <f t="shared" si="17"/>
        <v/>
      </c>
    </row>
    <row r="522" spans="1:12">
      <c r="A522" s="32" t="s">
        <v>2071</v>
      </c>
      <c r="B522" s="33">
        <v>71</v>
      </c>
      <c r="C522" s="33">
        <v>24</v>
      </c>
      <c r="D522" s="32" t="s">
        <v>2072</v>
      </c>
      <c r="E522" s="20"/>
      <c r="F522" s="34">
        <v>15</v>
      </c>
      <c r="G522" s="22">
        <f t="shared" si="16"/>
        <v>0.625</v>
      </c>
      <c r="H522" s="85" t="s">
        <v>2073</v>
      </c>
      <c r="I522" s="85" t="s">
        <v>2074</v>
      </c>
      <c r="J522" s="29">
        <v>384</v>
      </c>
      <c r="K522" s="36">
        <v>64</v>
      </c>
      <c r="L522" s="25" t="str">
        <f t="shared" si="17"/>
        <v/>
      </c>
    </row>
    <row r="523" spans="1:12">
      <c r="A523" s="32" t="s">
        <v>2075</v>
      </c>
      <c r="B523" s="33">
        <v>219</v>
      </c>
      <c r="C523" s="33">
        <v>6</v>
      </c>
      <c r="D523" s="32" t="s">
        <v>2076</v>
      </c>
      <c r="E523" s="29"/>
      <c r="F523" s="34">
        <v>22</v>
      </c>
      <c r="G523" s="34">
        <f t="shared" si="16"/>
        <v>3.66666666666667</v>
      </c>
      <c r="H523" s="85" t="s">
        <v>2077</v>
      </c>
      <c r="I523" s="85" t="s">
        <v>2078</v>
      </c>
      <c r="J523" s="29">
        <v>360</v>
      </c>
      <c r="K523" s="36">
        <v>60</v>
      </c>
      <c r="L523" s="25" t="str">
        <f t="shared" si="17"/>
        <v/>
      </c>
    </row>
    <row r="524" spans="1:12">
      <c r="A524" s="32" t="s">
        <v>2079</v>
      </c>
      <c r="B524" s="33">
        <v>400</v>
      </c>
      <c r="C524" s="33">
        <v>6</v>
      </c>
      <c r="D524" s="32" t="s">
        <v>2080</v>
      </c>
      <c r="E524" s="20"/>
      <c r="F524" s="34">
        <v>6.6</v>
      </c>
      <c r="G524" s="22">
        <f t="shared" si="16"/>
        <v>1.1</v>
      </c>
      <c r="H524" s="85" t="s">
        <v>2081</v>
      </c>
      <c r="I524" s="85" t="s">
        <v>2082</v>
      </c>
      <c r="J524" s="29">
        <v>504</v>
      </c>
      <c r="K524" s="36">
        <v>72</v>
      </c>
      <c r="L524" s="25" t="str">
        <f t="shared" si="17"/>
        <v/>
      </c>
    </row>
    <row r="525" spans="1:12">
      <c r="A525" s="32" t="s">
        <v>2083</v>
      </c>
      <c r="B525" s="33">
        <v>1884</v>
      </c>
      <c r="C525" s="33">
        <v>6</v>
      </c>
      <c r="D525" s="32" t="s">
        <v>2084</v>
      </c>
      <c r="E525" s="20"/>
      <c r="F525" s="34">
        <v>6.6</v>
      </c>
      <c r="G525" s="22">
        <f t="shared" si="16"/>
        <v>1.1</v>
      </c>
      <c r="H525" s="85" t="s">
        <v>2085</v>
      </c>
      <c r="I525" s="85" t="s">
        <v>2086</v>
      </c>
      <c r="J525" s="29">
        <v>504</v>
      </c>
      <c r="K525" s="36">
        <v>72</v>
      </c>
      <c r="L525" s="25" t="str">
        <f t="shared" si="17"/>
        <v/>
      </c>
    </row>
    <row r="526" spans="1:12">
      <c r="A526" s="32" t="s">
        <v>2087</v>
      </c>
      <c r="B526" s="33">
        <v>135</v>
      </c>
      <c r="C526" s="33">
        <v>6</v>
      </c>
      <c r="D526" s="32" t="s">
        <v>2088</v>
      </c>
      <c r="E526" s="20"/>
      <c r="F526" s="34">
        <v>6.6</v>
      </c>
      <c r="G526" s="22">
        <f t="shared" si="16"/>
        <v>1.1</v>
      </c>
      <c r="H526" s="85" t="s">
        <v>2089</v>
      </c>
      <c r="I526" s="85" t="s">
        <v>2090</v>
      </c>
      <c r="J526" s="29">
        <v>504</v>
      </c>
      <c r="K526" s="36">
        <v>72</v>
      </c>
      <c r="L526" s="40" t="str">
        <f t="shared" si="17"/>
        <v/>
      </c>
    </row>
    <row r="527" spans="1:12">
      <c r="A527" s="32" t="s">
        <v>2091</v>
      </c>
      <c r="B527" s="33">
        <v>49</v>
      </c>
      <c r="C527" s="33">
        <v>6</v>
      </c>
      <c r="D527" s="32" t="s">
        <v>2092</v>
      </c>
      <c r="E527" s="29"/>
      <c r="F527" s="37">
        <v>9.6</v>
      </c>
      <c r="G527" s="38">
        <f t="shared" si="16"/>
        <v>1.6</v>
      </c>
      <c r="H527" s="85" t="s">
        <v>2093</v>
      </c>
      <c r="I527" s="85" t="s">
        <v>2094</v>
      </c>
      <c r="J527" s="29">
        <v>60</v>
      </c>
      <c r="K527" s="36">
        <v>20</v>
      </c>
      <c r="L527" s="25" t="str">
        <f t="shared" si="17"/>
        <v/>
      </c>
    </row>
    <row r="528" spans="1:12">
      <c r="A528" s="32" t="s">
        <v>2095</v>
      </c>
      <c r="B528" s="33">
        <v>1</v>
      </c>
      <c r="C528" s="33">
        <v>6</v>
      </c>
      <c r="D528" s="32" t="s">
        <v>2096</v>
      </c>
      <c r="E528" s="29"/>
      <c r="F528" s="34">
        <v>9.6</v>
      </c>
      <c r="G528" s="34">
        <f t="shared" si="16"/>
        <v>1.6</v>
      </c>
      <c r="H528" s="85" t="s">
        <v>2097</v>
      </c>
      <c r="I528" s="85" t="s">
        <v>2098</v>
      </c>
      <c r="J528" s="29">
        <v>60</v>
      </c>
      <c r="K528" s="36">
        <v>20</v>
      </c>
      <c r="L528" s="25" t="str">
        <f t="shared" si="17"/>
        <v/>
      </c>
    </row>
    <row r="529" spans="1:12">
      <c r="A529" s="32" t="s">
        <v>2099</v>
      </c>
      <c r="B529" s="33">
        <v>17</v>
      </c>
      <c r="C529" s="33">
        <v>6</v>
      </c>
      <c r="D529" s="32" t="s">
        <v>2100</v>
      </c>
      <c r="E529" s="29"/>
      <c r="F529" s="34">
        <v>9.6</v>
      </c>
      <c r="G529" s="34">
        <f t="shared" si="16"/>
        <v>1.6</v>
      </c>
      <c r="H529" s="85" t="s">
        <v>2101</v>
      </c>
      <c r="I529" s="85" t="s">
        <v>2102</v>
      </c>
      <c r="J529" s="29">
        <v>60</v>
      </c>
      <c r="K529" s="30">
        <v>20</v>
      </c>
      <c r="L529" s="40" t="str">
        <f t="shared" si="17"/>
        <v/>
      </c>
    </row>
    <row r="530" spans="1:12">
      <c r="A530" s="32" t="s">
        <v>2103</v>
      </c>
      <c r="B530" s="33">
        <v>172</v>
      </c>
      <c r="C530" s="33">
        <v>12</v>
      </c>
      <c r="D530" s="32" t="s">
        <v>2104</v>
      </c>
      <c r="E530" s="29"/>
      <c r="F530" s="34">
        <v>21.6</v>
      </c>
      <c r="G530" s="22">
        <f t="shared" si="16"/>
        <v>1.8</v>
      </c>
      <c r="H530" s="85" t="s">
        <v>2105</v>
      </c>
      <c r="I530" s="85" t="s">
        <v>2106</v>
      </c>
      <c r="J530" s="29">
        <v>132</v>
      </c>
      <c r="K530" s="36">
        <v>33</v>
      </c>
      <c r="L530" s="25" t="str">
        <f t="shared" si="17"/>
        <v/>
      </c>
    </row>
    <row r="531" spans="1:12">
      <c r="A531" s="32" t="s">
        <v>2107</v>
      </c>
      <c r="B531" s="33">
        <v>13</v>
      </c>
      <c r="C531" s="33">
        <v>6</v>
      </c>
      <c r="D531" s="32" t="s">
        <v>2108</v>
      </c>
      <c r="E531" s="29"/>
      <c r="F531" s="34">
        <v>3.96</v>
      </c>
      <c r="G531" s="22">
        <f t="shared" si="16"/>
        <v>0.66</v>
      </c>
      <c r="H531" s="85" t="s">
        <v>2109</v>
      </c>
      <c r="I531" s="85" t="s">
        <v>2110</v>
      </c>
      <c r="J531" s="29">
        <v>360</v>
      </c>
      <c r="K531" s="36">
        <v>72</v>
      </c>
      <c r="L531" s="25" t="str">
        <f t="shared" si="17"/>
        <v/>
      </c>
    </row>
    <row r="532" spans="1:12">
      <c r="A532" s="32" t="s">
        <v>2111</v>
      </c>
      <c r="B532" s="33">
        <v>26</v>
      </c>
      <c r="C532" s="33">
        <v>12</v>
      </c>
      <c r="D532" s="32" t="s">
        <v>2112</v>
      </c>
      <c r="E532" s="29"/>
      <c r="F532" s="34">
        <v>7.2</v>
      </c>
      <c r="G532" s="22">
        <f t="shared" si="16"/>
        <v>0.6</v>
      </c>
      <c r="H532" s="85" t="s">
        <v>2113</v>
      </c>
      <c r="I532" s="85" t="s">
        <v>2114</v>
      </c>
      <c r="J532" s="29">
        <v>224</v>
      </c>
      <c r="K532" s="36">
        <v>32</v>
      </c>
      <c r="L532" s="25" t="str">
        <f t="shared" si="17"/>
        <v/>
      </c>
    </row>
    <row r="533" spans="1:12">
      <c r="A533" s="32" t="s">
        <v>2115</v>
      </c>
      <c r="B533" s="33">
        <v>33</v>
      </c>
      <c r="C533" s="33">
        <v>12</v>
      </c>
      <c r="D533" s="32" t="s">
        <v>2116</v>
      </c>
      <c r="E533" s="29"/>
      <c r="F533" s="34">
        <v>7.2</v>
      </c>
      <c r="G533" s="22">
        <f t="shared" si="16"/>
        <v>0.6</v>
      </c>
      <c r="H533" s="85" t="s">
        <v>2117</v>
      </c>
      <c r="I533" s="85" t="s">
        <v>2118</v>
      </c>
      <c r="J533" s="29">
        <v>224</v>
      </c>
      <c r="K533" s="36">
        <v>32</v>
      </c>
      <c r="L533" s="25" t="str">
        <f t="shared" si="17"/>
        <v/>
      </c>
    </row>
    <row r="534" spans="1:12">
      <c r="A534" s="32" t="s">
        <v>2119</v>
      </c>
      <c r="B534" s="33">
        <v>2</v>
      </c>
      <c r="C534" s="33">
        <v>12</v>
      </c>
      <c r="D534" s="32" t="s">
        <v>2120</v>
      </c>
      <c r="E534" s="29"/>
      <c r="F534" s="34">
        <v>7.2</v>
      </c>
      <c r="G534" s="22">
        <f t="shared" si="16"/>
        <v>0.6</v>
      </c>
      <c r="H534" s="85" t="s">
        <v>2121</v>
      </c>
      <c r="I534" s="85" t="s">
        <v>2122</v>
      </c>
      <c r="J534" s="29">
        <v>224</v>
      </c>
      <c r="K534" s="36">
        <v>32</v>
      </c>
      <c r="L534" s="25" t="str">
        <f t="shared" si="17"/>
        <v/>
      </c>
    </row>
    <row r="535" spans="1:12">
      <c r="A535" s="32" t="s">
        <v>2123</v>
      </c>
      <c r="B535" s="33">
        <v>64</v>
      </c>
      <c r="C535" s="33">
        <v>20</v>
      </c>
      <c r="D535" s="32" t="s">
        <v>2124</v>
      </c>
      <c r="E535" s="20"/>
      <c r="F535" s="34">
        <v>5.15</v>
      </c>
      <c r="G535" s="22">
        <f t="shared" si="16"/>
        <v>0.2575</v>
      </c>
      <c r="H535" s="85" t="s">
        <v>2125</v>
      </c>
      <c r="I535" s="85" t="s">
        <v>2126</v>
      </c>
      <c r="J535" s="29"/>
      <c r="K535" s="36"/>
      <c r="L535" s="25" t="str">
        <f t="shared" si="17"/>
        <v/>
      </c>
    </row>
    <row r="536" spans="1:12">
      <c r="A536" s="32" t="s">
        <v>2127</v>
      </c>
      <c r="B536" s="33">
        <v>539</v>
      </c>
      <c r="C536" s="33">
        <v>12</v>
      </c>
      <c r="D536" s="32" t="s">
        <v>2128</v>
      </c>
      <c r="E536" s="20"/>
      <c r="F536" s="34">
        <v>9.6</v>
      </c>
      <c r="G536" s="22">
        <f t="shared" si="16"/>
        <v>0.8</v>
      </c>
      <c r="H536" s="85" t="s">
        <v>2129</v>
      </c>
      <c r="I536" s="85" t="s">
        <v>2130</v>
      </c>
      <c r="J536" s="29">
        <v>210</v>
      </c>
      <c r="K536" s="36">
        <v>30</v>
      </c>
      <c r="L536" s="25" t="str">
        <f t="shared" si="17"/>
        <v/>
      </c>
    </row>
    <row r="537" spans="1:12">
      <c r="A537" s="32" t="s">
        <v>2131</v>
      </c>
      <c r="B537" s="19">
        <v>25</v>
      </c>
      <c r="C537" s="33">
        <v>12</v>
      </c>
      <c r="D537" s="32" t="s">
        <v>2132</v>
      </c>
      <c r="E537" s="20"/>
      <c r="F537" s="34">
        <v>13.25</v>
      </c>
      <c r="G537" s="34">
        <f t="shared" si="16"/>
        <v>1.10416666666667</v>
      </c>
      <c r="H537" s="85" t="s">
        <v>2133</v>
      </c>
      <c r="I537" s="85" t="s">
        <v>2134</v>
      </c>
      <c r="J537" s="19">
        <v>150</v>
      </c>
      <c r="K537" s="36">
        <v>30</v>
      </c>
      <c r="L537" s="25" t="str">
        <f t="shared" si="17"/>
        <v/>
      </c>
    </row>
    <row r="538" spans="1:12">
      <c r="A538" s="32" t="s">
        <v>2135</v>
      </c>
      <c r="B538" s="19">
        <v>30</v>
      </c>
      <c r="C538" s="33">
        <v>12</v>
      </c>
      <c r="D538" s="32" t="s">
        <v>2136</v>
      </c>
      <c r="E538" s="20"/>
      <c r="F538" s="34">
        <v>11.75</v>
      </c>
      <c r="G538" s="34">
        <f t="shared" si="16"/>
        <v>0.979166666666667</v>
      </c>
      <c r="H538" s="85" t="s">
        <v>2137</v>
      </c>
      <c r="I538" s="85" t="s">
        <v>2138</v>
      </c>
      <c r="J538" s="19">
        <v>210</v>
      </c>
      <c r="K538" s="36">
        <v>30</v>
      </c>
      <c r="L538" s="25" t="str">
        <f t="shared" si="17"/>
        <v/>
      </c>
    </row>
    <row r="539" spans="1:12">
      <c r="A539" s="32" t="s">
        <v>2139</v>
      </c>
      <c r="B539" s="33">
        <v>274</v>
      </c>
      <c r="C539" s="33">
        <v>12</v>
      </c>
      <c r="D539" s="32" t="s">
        <v>2140</v>
      </c>
      <c r="E539" s="20"/>
      <c r="F539" s="34">
        <v>17.4</v>
      </c>
      <c r="G539" s="22">
        <f t="shared" si="16"/>
        <v>1.45</v>
      </c>
      <c r="H539" s="85" t="s">
        <v>2141</v>
      </c>
      <c r="I539" s="85" t="s">
        <v>2142</v>
      </c>
      <c r="J539" s="29">
        <v>252</v>
      </c>
      <c r="K539" s="36">
        <v>63</v>
      </c>
      <c r="L539" s="25" t="str">
        <f t="shared" si="17"/>
        <v/>
      </c>
    </row>
    <row r="540" spans="1:12">
      <c r="A540" s="32" t="s">
        <v>2143</v>
      </c>
      <c r="B540" s="33">
        <v>130</v>
      </c>
      <c r="C540" s="33">
        <v>12</v>
      </c>
      <c r="D540" s="32" t="s">
        <v>2144</v>
      </c>
      <c r="E540" s="20"/>
      <c r="F540" s="34">
        <v>17.4</v>
      </c>
      <c r="G540" s="22">
        <f t="shared" si="16"/>
        <v>1.45</v>
      </c>
      <c r="H540" s="85" t="s">
        <v>2145</v>
      </c>
      <c r="I540" s="85" t="s">
        <v>2146</v>
      </c>
      <c r="J540" s="29">
        <v>252</v>
      </c>
      <c r="K540" s="36">
        <v>63</v>
      </c>
      <c r="L540" s="25" t="str">
        <f t="shared" si="17"/>
        <v/>
      </c>
    </row>
    <row r="541" spans="1:12">
      <c r="A541" s="32" t="s">
        <v>2147</v>
      </c>
      <c r="B541" s="33">
        <v>239</v>
      </c>
      <c r="C541" s="33">
        <v>12</v>
      </c>
      <c r="D541" s="32" t="s">
        <v>2148</v>
      </c>
      <c r="E541" s="20"/>
      <c r="F541" s="34">
        <v>17.4</v>
      </c>
      <c r="G541" s="22">
        <f t="shared" si="16"/>
        <v>1.45</v>
      </c>
      <c r="H541" s="85" t="s">
        <v>2149</v>
      </c>
      <c r="I541" s="85" t="s">
        <v>2150</v>
      </c>
      <c r="J541" s="29">
        <v>252</v>
      </c>
      <c r="K541" s="36">
        <v>63</v>
      </c>
      <c r="L541" s="25" t="str">
        <f t="shared" si="17"/>
        <v/>
      </c>
    </row>
    <row r="542" spans="1:12">
      <c r="A542" s="32" t="s">
        <v>2151</v>
      </c>
      <c r="B542" s="33">
        <v>36</v>
      </c>
      <c r="C542" s="33">
        <v>6</v>
      </c>
      <c r="D542" s="32" t="s">
        <v>2152</v>
      </c>
      <c r="E542" s="20"/>
      <c r="F542" s="34">
        <v>8.4</v>
      </c>
      <c r="G542" s="22">
        <f t="shared" si="16"/>
        <v>1.4</v>
      </c>
      <c r="H542" s="85" t="s">
        <v>2153</v>
      </c>
      <c r="I542" s="85" t="s">
        <v>2154</v>
      </c>
      <c r="J542" s="29"/>
      <c r="K542" s="36"/>
      <c r="L542" s="25" t="str">
        <f t="shared" si="17"/>
        <v/>
      </c>
    </row>
    <row r="543" spans="1:12">
      <c r="A543" s="32" t="s">
        <v>2155</v>
      </c>
      <c r="B543" s="33">
        <v>93</v>
      </c>
      <c r="C543" s="33">
        <v>12</v>
      </c>
      <c r="D543" s="32" t="s">
        <v>2156</v>
      </c>
      <c r="E543" s="20"/>
      <c r="F543" s="34">
        <v>7.8</v>
      </c>
      <c r="G543" s="22">
        <f t="shared" si="16"/>
        <v>0.65</v>
      </c>
      <c r="H543" s="85" t="s">
        <v>2157</v>
      </c>
      <c r="I543" s="85" t="s">
        <v>2158</v>
      </c>
      <c r="J543" s="29">
        <v>336</v>
      </c>
      <c r="K543" s="36">
        <v>42</v>
      </c>
      <c r="L543" s="25" t="str">
        <f t="shared" si="17"/>
        <v/>
      </c>
    </row>
    <row r="544" spans="1:12">
      <c r="A544" s="32" t="s">
        <v>2159</v>
      </c>
      <c r="B544" s="33">
        <v>84</v>
      </c>
      <c r="C544" s="33">
        <v>12</v>
      </c>
      <c r="D544" s="32" t="s">
        <v>2160</v>
      </c>
      <c r="E544" s="20"/>
      <c r="F544" s="34">
        <v>7.8</v>
      </c>
      <c r="G544" s="22">
        <f t="shared" si="16"/>
        <v>0.65</v>
      </c>
      <c r="H544" s="85" t="s">
        <v>2161</v>
      </c>
      <c r="I544" s="85" t="s">
        <v>2162</v>
      </c>
      <c r="J544" s="29">
        <v>336</v>
      </c>
      <c r="K544" s="36">
        <v>42</v>
      </c>
      <c r="L544" s="25" t="str">
        <f t="shared" si="17"/>
        <v/>
      </c>
    </row>
    <row r="545" spans="1:12">
      <c r="A545" s="32" t="s">
        <v>2163</v>
      </c>
      <c r="B545" s="33">
        <v>70</v>
      </c>
      <c r="C545" s="33">
        <v>12</v>
      </c>
      <c r="D545" s="32" t="s">
        <v>2164</v>
      </c>
      <c r="E545" s="20"/>
      <c r="F545" s="34">
        <v>7.8</v>
      </c>
      <c r="G545" s="22">
        <f t="shared" si="16"/>
        <v>0.65</v>
      </c>
      <c r="H545" s="85" t="s">
        <v>2165</v>
      </c>
      <c r="I545" s="85" t="s">
        <v>2166</v>
      </c>
      <c r="J545" s="29">
        <v>336</v>
      </c>
      <c r="K545" s="36">
        <v>42</v>
      </c>
      <c r="L545" s="25" t="str">
        <f t="shared" si="17"/>
        <v/>
      </c>
    </row>
    <row r="546" spans="1:12">
      <c r="A546" s="32" t="s">
        <v>2167</v>
      </c>
      <c r="B546" s="33">
        <v>1</v>
      </c>
      <c r="C546" s="33">
        <v>12</v>
      </c>
      <c r="D546" s="32" t="s">
        <v>2168</v>
      </c>
      <c r="E546" s="20"/>
      <c r="F546" s="34">
        <v>9.4</v>
      </c>
      <c r="G546" s="22">
        <f t="shared" si="16"/>
        <v>0.783333333333333</v>
      </c>
      <c r="H546" s="85" t="s">
        <v>2169</v>
      </c>
      <c r="I546" s="85" t="s">
        <v>2170</v>
      </c>
      <c r="J546" s="29">
        <v>186</v>
      </c>
      <c r="K546" s="36">
        <v>31</v>
      </c>
      <c r="L546" s="25" t="str">
        <f t="shared" si="17"/>
        <v/>
      </c>
    </row>
    <row r="547" spans="1:12">
      <c r="A547" s="32" t="s">
        <v>2171</v>
      </c>
      <c r="B547" s="33">
        <v>33</v>
      </c>
      <c r="C547" s="33">
        <v>12</v>
      </c>
      <c r="D547" s="32" t="s">
        <v>2172</v>
      </c>
      <c r="E547" s="20"/>
      <c r="F547" s="34">
        <v>9.4</v>
      </c>
      <c r="G547" s="22">
        <f t="shared" si="16"/>
        <v>0.783333333333333</v>
      </c>
      <c r="H547" s="85" t="s">
        <v>2173</v>
      </c>
      <c r="I547" s="85" t="s">
        <v>2174</v>
      </c>
      <c r="J547" s="29">
        <v>186</v>
      </c>
      <c r="K547" s="36">
        <v>31</v>
      </c>
      <c r="L547" s="25" t="str">
        <f t="shared" si="17"/>
        <v/>
      </c>
    </row>
    <row r="548" spans="1:12">
      <c r="A548" s="32" t="s">
        <v>2175</v>
      </c>
      <c r="B548" s="33">
        <v>29</v>
      </c>
      <c r="C548" s="33">
        <v>12</v>
      </c>
      <c r="D548" s="32" t="s">
        <v>2176</v>
      </c>
      <c r="E548" s="20"/>
      <c r="F548" s="34">
        <v>9.4</v>
      </c>
      <c r="G548" s="22">
        <f t="shared" si="16"/>
        <v>0.783333333333333</v>
      </c>
      <c r="H548" s="85" t="s">
        <v>2177</v>
      </c>
      <c r="I548" s="85" t="s">
        <v>2178</v>
      </c>
      <c r="J548" s="29">
        <v>186</v>
      </c>
      <c r="K548" s="36">
        <v>31</v>
      </c>
      <c r="L548" s="25" t="str">
        <f t="shared" si="17"/>
        <v/>
      </c>
    </row>
    <row r="549" spans="1:12">
      <c r="A549" s="32" t="s">
        <v>2179</v>
      </c>
      <c r="B549" s="33">
        <v>190</v>
      </c>
      <c r="C549" s="33">
        <v>6</v>
      </c>
      <c r="D549" s="32" t="s">
        <v>2180</v>
      </c>
      <c r="E549" s="20"/>
      <c r="F549" s="34">
        <v>14.8</v>
      </c>
      <c r="G549" s="22">
        <f t="shared" si="16"/>
        <v>2.46666666666667</v>
      </c>
      <c r="H549" s="85" t="s">
        <v>2181</v>
      </c>
      <c r="I549" s="85" t="s">
        <v>2182</v>
      </c>
      <c r="J549" s="29">
        <v>384</v>
      </c>
      <c r="K549" s="36">
        <v>64</v>
      </c>
      <c r="L549" s="25" t="str">
        <f t="shared" si="17"/>
        <v/>
      </c>
    </row>
    <row r="550" spans="1:12">
      <c r="A550" s="32" t="s">
        <v>2183</v>
      </c>
      <c r="B550" s="33">
        <v>314</v>
      </c>
      <c r="C550" s="33">
        <v>6</v>
      </c>
      <c r="D550" s="32" t="s">
        <v>2184</v>
      </c>
      <c r="E550" s="20"/>
      <c r="F550" s="34">
        <v>14.8</v>
      </c>
      <c r="G550" s="22">
        <f t="shared" si="16"/>
        <v>2.46666666666667</v>
      </c>
      <c r="H550" s="85" t="s">
        <v>2185</v>
      </c>
      <c r="I550" s="85" t="s">
        <v>2186</v>
      </c>
      <c r="J550" s="29">
        <v>384</v>
      </c>
      <c r="K550" s="36">
        <v>64</v>
      </c>
      <c r="L550" s="25" t="str">
        <f t="shared" si="17"/>
        <v/>
      </c>
    </row>
    <row r="551" spans="1:12">
      <c r="A551" s="41" t="s">
        <v>2187</v>
      </c>
      <c r="B551" s="31">
        <v>160</v>
      </c>
      <c r="C551" s="30">
        <v>6</v>
      </c>
      <c r="D551" s="41" t="s">
        <v>2188</v>
      </c>
      <c r="E551" s="20"/>
      <c r="F551" s="54">
        <v>8.4</v>
      </c>
      <c r="G551" s="22">
        <f t="shared" si="16"/>
        <v>1.4</v>
      </c>
      <c r="H551" s="87" t="s">
        <v>2189</v>
      </c>
      <c r="I551" s="87" t="s">
        <v>2190</v>
      </c>
      <c r="J551" s="31">
        <v>648</v>
      </c>
      <c r="K551" s="36">
        <v>81</v>
      </c>
      <c r="L551" s="25" t="str">
        <f t="shared" si="17"/>
        <v/>
      </c>
    </row>
    <row r="552" spans="1:12">
      <c r="A552" s="41" t="s">
        <v>2191</v>
      </c>
      <c r="B552" s="31">
        <v>228</v>
      </c>
      <c r="C552" s="30">
        <v>6</v>
      </c>
      <c r="D552" s="41" t="s">
        <v>2192</v>
      </c>
      <c r="E552" s="20"/>
      <c r="F552" s="61">
        <v>8.4</v>
      </c>
      <c r="G552" s="38">
        <f t="shared" si="16"/>
        <v>1.4</v>
      </c>
      <c r="H552" s="87" t="s">
        <v>2193</v>
      </c>
      <c r="I552" s="87" t="s">
        <v>2194</v>
      </c>
      <c r="J552" s="31">
        <v>648</v>
      </c>
      <c r="K552" s="36">
        <v>81</v>
      </c>
      <c r="L552" s="25" t="str">
        <f t="shared" si="17"/>
        <v/>
      </c>
    </row>
    <row r="553" spans="1:12">
      <c r="A553" s="41" t="s">
        <v>2195</v>
      </c>
      <c r="B553" s="31">
        <v>342</v>
      </c>
      <c r="C553" s="30">
        <v>6</v>
      </c>
      <c r="D553" s="41" t="s">
        <v>2196</v>
      </c>
      <c r="E553" s="20"/>
      <c r="F553" s="54">
        <v>9.4</v>
      </c>
      <c r="G553" s="22">
        <f t="shared" si="16"/>
        <v>1.56666666666667</v>
      </c>
      <c r="H553" s="87" t="s">
        <v>2197</v>
      </c>
      <c r="I553" s="87" t="s">
        <v>2198</v>
      </c>
      <c r="J553" s="31">
        <v>648</v>
      </c>
      <c r="K553" s="36">
        <v>81</v>
      </c>
      <c r="L553" s="25" t="str">
        <f t="shared" si="17"/>
        <v/>
      </c>
    </row>
    <row r="554" spans="1:12">
      <c r="A554" s="41" t="s">
        <v>2199</v>
      </c>
      <c r="B554" s="31">
        <v>88</v>
      </c>
      <c r="C554" s="30">
        <v>6</v>
      </c>
      <c r="D554" s="41" t="s">
        <v>2200</v>
      </c>
      <c r="E554" s="20"/>
      <c r="F554" s="54">
        <v>8.8</v>
      </c>
      <c r="G554" s="22">
        <f t="shared" si="16"/>
        <v>1.46666666666667</v>
      </c>
      <c r="H554" s="87" t="s">
        <v>2201</v>
      </c>
      <c r="I554" s="87" t="s">
        <v>2202</v>
      </c>
      <c r="J554" s="31">
        <v>522</v>
      </c>
      <c r="K554" s="36">
        <v>87</v>
      </c>
      <c r="L554" s="25" t="str">
        <f t="shared" si="17"/>
        <v/>
      </c>
    </row>
    <row r="555" spans="1:12">
      <c r="A555" s="32" t="s">
        <v>2203</v>
      </c>
      <c r="B555" s="33">
        <v>276</v>
      </c>
      <c r="C555" s="33">
        <v>6</v>
      </c>
      <c r="D555" s="32" t="s">
        <v>2204</v>
      </c>
      <c r="E555" s="20"/>
      <c r="F555" s="34">
        <v>13.2</v>
      </c>
      <c r="G555" s="22">
        <f t="shared" si="16"/>
        <v>2.2</v>
      </c>
      <c r="H555" s="85" t="s">
        <v>2205</v>
      </c>
      <c r="I555" s="85" t="s">
        <v>2206</v>
      </c>
      <c r="J555" s="29">
        <v>355</v>
      </c>
      <c r="K555" s="36">
        <v>71</v>
      </c>
      <c r="L555" s="25" t="str">
        <f t="shared" si="17"/>
        <v/>
      </c>
    </row>
    <row r="556" spans="1:12">
      <c r="A556" s="32" t="s">
        <v>2207</v>
      </c>
      <c r="B556" s="33">
        <v>543</v>
      </c>
      <c r="C556" s="33">
        <v>6</v>
      </c>
      <c r="D556" s="32" t="s">
        <v>2208</v>
      </c>
      <c r="E556" s="20"/>
      <c r="F556" s="34">
        <v>13.2</v>
      </c>
      <c r="G556" s="22">
        <f t="shared" si="16"/>
        <v>2.2</v>
      </c>
      <c r="H556" s="55">
        <v>3574660569759</v>
      </c>
      <c r="I556" s="55">
        <v>3574661521152</v>
      </c>
      <c r="J556" s="29">
        <v>355</v>
      </c>
      <c r="K556" s="36">
        <v>71</v>
      </c>
      <c r="L556" s="25" t="str">
        <f t="shared" si="17"/>
        <v/>
      </c>
    </row>
    <row r="557" spans="1:12">
      <c r="A557" s="41" t="s">
        <v>2209</v>
      </c>
      <c r="B557" s="31">
        <v>0</v>
      </c>
      <c r="C557" s="30">
        <v>6</v>
      </c>
      <c r="D557" s="41" t="s">
        <v>2210</v>
      </c>
      <c r="E557" s="20"/>
      <c r="F557" s="54">
        <v>11.4</v>
      </c>
      <c r="G557" s="22">
        <f t="shared" si="16"/>
        <v>1.9</v>
      </c>
      <c r="H557" s="87" t="s">
        <v>2211</v>
      </c>
      <c r="I557" s="87" t="s">
        <v>2212</v>
      </c>
      <c r="J557" s="31">
        <v>365</v>
      </c>
      <c r="K557" s="36">
        <v>73</v>
      </c>
      <c r="L557" s="25" t="str">
        <f t="shared" si="17"/>
        <v/>
      </c>
    </row>
    <row r="558" spans="1:12">
      <c r="A558" s="32" t="s">
        <v>2213</v>
      </c>
      <c r="B558" s="33">
        <v>70</v>
      </c>
      <c r="C558" s="33">
        <v>6</v>
      </c>
      <c r="D558" s="32" t="s">
        <v>2214</v>
      </c>
      <c r="E558" s="29"/>
      <c r="F558" s="34">
        <v>11.4</v>
      </c>
      <c r="G558" s="34">
        <f t="shared" si="16"/>
        <v>1.9</v>
      </c>
      <c r="H558" s="85" t="s">
        <v>2215</v>
      </c>
      <c r="I558" s="85" t="s">
        <v>2216</v>
      </c>
      <c r="J558" s="29">
        <v>355</v>
      </c>
      <c r="K558" s="30">
        <v>71</v>
      </c>
      <c r="L558" s="40" t="str">
        <f t="shared" si="17"/>
        <v/>
      </c>
    </row>
    <row r="559" spans="1:12">
      <c r="A559" s="32" t="s">
        <v>2217</v>
      </c>
      <c r="B559" s="33">
        <v>461</v>
      </c>
      <c r="C559" s="33">
        <v>12</v>
      </c>
      <c r="D559" s="32" t="s">
        <v>2218</v>
      </c>
      <c r="E559" s="29"/>
      <c r="F559" s="34">
        <v>27.9</v>
      </c>
      <c r="G559" s="34">
        <f t="shared" si="16"/>
        <v>2.325</v>
      </c>
      <c r="H559" s="85" t="s">
        <v>2219</v>
      </c>
      <c r="I559" s="85" t="s">
        <v>2220</v>
      </c>
      <c r="J559" s="29">
        <v>486</v>
      </c>
      <c r="K559" s="30">
        <v>81</v>
      </c>
      <c r="L559" s="40" t="str">
        <f t="shared" si="17"/>
        <v/>
      </c>
    </row>
    <row r="560" spans="1:12">
      <c r="A560" s="32" t="s">
        <v>2221</v>
      </c>
      <c r="B560" s="33">
        <v>338</v>
      </c>
      <c r="C560" s="33">
        <v>6</v>
      </c>
      <c r="D560" s="32" t="s">
        <v>2222</v>
      </c>
      <c r="E560" s="29"/>
      <c r="F560" s="34">
        <v>13.95</v>
      </c>
      <c r="G560" s="34">
        <f t="shared" si="16"/>
        <v>2.325</v>
      </c>
      <c r="H560" s="85" t="s">
        <v>2223</v>
      </c>
      <c r="I560" s="85" t="s">
        <v>2224</v>
      </c>
      <c r="J560" s="29">
        <v>486</v>
      </c>
      <c r="K560" s="30">
        <v>81</v>
      </c>
      <c r="L560" s="40" t="str">
        <f t="shared" si="17"/>
        <v/>
      </c>
    </row>
    <row r="561" spans="1:12">
      <c r="A561" s="32" t="s">
        <v>2225</v>
      </c>
      <c r="B561" s="33">
        <v>141</v>
      </c>
      <c r="C561" s="33">
        <v>12</v>
      </c>
      <c r="D561" s="32" t="s">
        <v>2226</v>
      </c>
      <c r="E561" s="29"/>
      <c r="F561" s="34">
        <v>27.9</v>
      </c>
      <c r="G561" s="34">
        <f t="shared" si="16"/>
        <v>2.325</v>
      </c>
      <c r="H561" s="85" t="s">
        <v>2227</v>
      </c>
      <c r="I561" s="85" t="s">
        <v>2228</v>
      </c>
      <c r="J561" s="29">
        <v>486</v>
      </c>
      <c r="K561" s="30">
        <v>81</v>
      </c>
      <c r="L561" s="40" t="str">
        <f t="shared" si="17"/>
        <v/>
      </c>
    </row>
    <row r="562" spans="1:12">
      <c r="A562" s="32" t="s">
        <v>2229</v>
      </c>
      <c r="B562" s="33">
        <v>302</v>
      </c>
      <c r="C562" s="33">
        <v>6</v>
      </c>
      <c r="D562" s="32" t="s">
        <v>2230</v>
      </c>
      <c r="E562" s="29"/>
      <c r="F562" s="34">
        <v>13.2</v>
      </c>
      <c r="G562" s="34">
        <f t="shared" si="16"/>
        <v>2.2</v>
      </c>
      <c r="H562" s="85" t="s">
        <v>2231</v>
      </c>
      <c r="I562" s="85" t="s">
        <v>2232</v>
      </c>
      <c r="J562" s="29">
        <v>320</v>
      </c>
      <c r="K562" s="30">
        <v>80</v>
      </c>
      <c r="L562" s="40" t="str">
        <f t="shared" si="17"/>
        <v/>
      </c>
    </row>
    <row r="563" spans="1:12">
      <c r="A563" s="32" t="s">
        <v>2233</v>
      </c>
      <c r="B563" s="33">
        <v>277</v>
      </c>
      <c r="C563" s="33">
        <v>6</v>
      </c>
      <c r="D563" s="32" t="s">
        <v>2234</v>
      </c>
      <c r="E563" s="29"/>
      <c r="F563" s="34">
        <v>13.2</v>
      </c>
      <c r="G563" s="22">
        <f t="shared" si="16"/>
        <v>2.2</v>
      </c>
      <c r="H563" s="85" t="s">
        <v>2235</v>
      </c>
      <c r="I563" s="85" t="s">
        <v>2236</v>
      </c>
      <c r="J563" s="29">
        <v>320</v>
      </c>
      <c r="K563" s="36">
        <v>80</v>
      </c>
      <c r="L563" s="40" t="str">
        <f t="shared" si="17"/>
        <v/>
      </c>
    </row>
    <row r="564" spans="1:12">
      <c r="A564" s="32" t="s">
        <v>2237</v>
      </c>
      <c r="B564" s="33">
        <v>768</v>
      </c>
      <c r="C564" s="33">
        <v>6</v>
      </c>
      <c r="D564" s="32" t="s">
        <v>2238</v>
      </c>
      <c r="E564" s="29"/>
      <c r="F564" s="34">
        <v>13.2</v>
      </c>
      <c r="G564" s="22">
        <f t="shared" si="16"/>
        <v>2.2</v>
      </c>
      <c r="H564" s="85" t="s">
        <v>2239</v>
      </c>
      <c r="I564" s="85" t="s">
        <v>2240</v>
      </c>
      <c r="J564" s="29">
        <v>320</v>
      </c>
      <c r="K564" s="36">
        <v>80</v>
      </c>
      <c r="L564" s="40" t="str">
        <f t="shared" si="17"/>
        <v/>
      </c>
    </row>
    <row r="565" spans="1:12">
      <c r="A565" s="32" t="s">
        <v>2241</v>
      </c>
      <c r="B565" s="33">
        <v>70</v>
      </c>
      <c r="C565" s="33">
        <v>6</v>
      </c>
      <c r="D565" s="32" t="s">
        <v>2242</v>
      </c>
      <c r="E565" s="29"/>
      <c r="F565" s="34">
        <v>21.25</v>
      </c>
      <c r="G565" s="34">
        <f t="shared" si="16"/>
        <v>3.54166666666667</v>
      </c>
      <c r="H565" s="85" t="s">
        <v>2243</v>
      </c>
      <c r="I565" s="85" t="s">
        <v>2244</v>
      </c>
      <c r="J565" s="29">
        <v>288</v>
      </c>
      <c r="K565" s="30">
        <v>48</v>
      </c>
      <c r="L565" s="40" t="str">
        <f t="shared" si="17"/>
        <v/>
      </c>
    </row>
    <row r="566" spans="1:12">
      <c r="A566" s="32" t="s">
        <v>2245</v>
      </c>
      <c r="B566" s="33">
        <v>52</v>
      </c>
      <c r="C566" s="33">
        <v>6</v>
      </c>
      <c r="D566" s="32" t="s">
        <v>2246</v>
      </c>
      <c r="E566" s="29"/>
      <c r="F566" s="34">
        <v>21.25</v>
      </c>
      <c r="G566" s="34">
        <f t="shared" si="16"/>
        <v>3.54166666666667</v>
      </c>
      <c r="H566" s="85" t="s">
        <v>2247</v>
      </c>
      <c r="I566" s="85" t="s">
        <v>2248</v>
      </c>
      <c r="J566" s="29">
        <v>288</v>
      </c>
      <c r="K566" s="36">
        <v>48</v>
      </c>
      <c r="L566" s="25" t="str">
        <f t="shared" si="17"/>
        <v/>
      </c>
    </row>
    <row r="567" spans="1:12">
      <c r="A567" s="32" t="s">
        <v>2249</v>
      </c>
      <c r="B567" s="33">
        <v>62</v>
      </c>
      <c r="C567" s="33">
        <v>6</v>
      </c>
      <c r="D567" s="32" t="s">
        <v>2250</v>
      </c>
      <c r="E567" s="29"/>
      <c r="F567" s="34">
        <v>21.25</v>
      </c>
      <c r="G567" s="34">
        <f t="shared" si="16"/>
        <v>3.54166666666667</v>
      </c>
      <c r="H567" s="85" t="s">
        <v>2251</v>
      </c>
      <c r="I567" s="85" t="s">
        <v>2252</v>
      </c>
      <c r="J567" s="29">
        <v>288</v>
      </c>
      <c r="K567" s="36">
        <v>48</v>
      </c>
      <c r="L567" s="25" t="str">
        <f t="shared" si="17"/>
        <v/>
      </c>
    </row>
    <row r="568" spans="1:12">
      <c r="A568" s="32" t="s">
        <v>2253</v>
      </c>
      <c r="B568" s="33">
        <v>116</v>
      </c>
      <c r="C568" s="33">
        <v>6</v>
      </c>
      <c r="D568" s="32" t="s">
        <v>2254</v>
      </c>
      <c r="E568" s="29"/>
      <c r="F568" s="34">
        <v>21.25</v>
      </c>
      <c r="G568" s="34">
        <f t="shared" si="16"/>
        <v>3.54166666666667</v>
      </c>
      <c r="H568" s="85" t="s">
        <v>2255</v>
      </c>
      <c r="I568" s="85" t="s">
        <v>2256</v>
      </c>
      <c r="J568" s="29">
        <v>288</v>
      </c>
      <c r="K568" s="36">
        <v>48</v>
      </c>
      <c r="L568" s="25" t="str">
        <f t="shared" si="17"/>
        <v/>
      </c>
    </row>
    <row r="569" spans="1:12">
      <c r="A569" s="32" t="s">
        <v>2257</v>
      </c>
      <c r="B569" s="33">
        <v>101</v>
      </c>
      <c r="C569" s="33">
        <v>6</v>
      </c>
      <c r="D569" s="32" t="s">
        <v>2258</v>
      </c>
      <c r="E569" s="29"/>
      <c r="F569" s="34">
        <v>21.25</v>
      </c>
      <c r="G569" s="34">
        <f t="shared" si="16"/>
        <v>3.54166666666667</v>
      </c>
      <c r="H569" s="85" t="s">
        <v>2259</v>
      </c>
      <c r="I569" s="85" t="s">
        <v>2260</v>
      </c>
      <c r="J569" s="29">
        <v>288</v>
      </c>
      <c r="K569" s="36">
        <v>48</v>
      </c>
      <c r="L569" s="25" t="str">
        <f t="shared" si="17"/>
        <v/>
      </c>
    </row>
    <row r="570" spans="1:12">
      <c r="A570" s="32" t="s">
        <v>2261</v>
      </c>
      <c r="B570" s="33">
        <v>75</v>
      </c>
      <c r="C570" s="33">
        <v>6</v>
      </c>
      <c r="D570" s="32" t="s">
        <v>2262</v>
      </c>
      <c r="E570" s="29"/>
      <c r="F570" s="34">
        <v>21.25</v>
      </c>
      <c r="G570" s="34">
        <f t="shared" si="16"/>
        <v>3.54166666666667</v>
      </c>
      <c r="H570" s="85" t="s">
        <v>2263</v>
      </c>
      <c r="I570" s="85" t="s">
        <v>2264</v>
      </c>
      <c r="J570" s="29">
        <v>288</v>
      </c>
      <c r="K570" s="36">
        <v>48</v>
      </c>
      <c r="L570" s="25" t="str">
        <f t="shared" si="17"/>
        <v/>
      </c>
    </row>
    <row r="571" spans="1:12">
      <c r="A571" s="32" t="s">
        <v>2265</v>
      </c>
      <c r="B571" s="33">
        <v>128</v>
      </c>
      <c r="C571" s="33">
        <v>6</v>
      </c>
      <c r="D571" s="32" t="s">
        <v>2266</v>
      </c>
      <c r="E571" s="29"/>
      <c r="F571" s="34">
        <v>21.25</v>
      </c>
      <c r="G571" s="34">
        <f t="shared" si="16"/>
        <v>3.54166666666667</v>
      </c>
      <c r="H571" s="85" t="s">
        <v>2267</v>
      </c>
      <c r="I571" s="85" t="s">
        <v>2268</v>
      </c>
      <c r="J571" s="29">
        <v>288</v>
      </c>
      <c r="K571" s="36">
        <v>48</v>
      </c>
      <c r="L571" s="25" t="str">
        <f t="shared" si="17"/>
        <v/>
      </c>
    </row>
    <row r="572" spans="1:12">
      <c r="A572" s="32" t="s">
        <v>2269</v>
      </c>
      <c r="B572" s="33">
        <v>57</v>
      </c>
      <c r="C572" s="33">
        <v>6</v>
      </c>
      <c r="D572" s="32" t="s">
        <v>2270</v>
      </c>
      <c r="E572" s="29"/>
      <c r="F572" s="34">
        <v>21.25</v>
      </c>
      <c r="G572" s="34">
        <f t="shared" si="16"/>
        <v>3.54166666666667</v>
      </c>
      <c r="H572" s="85" t="s">
        <v>2271</v>
      </c>
      <c r="I572" s="85" t="s">
        <v>2272</v>
      </c>
      <c r="J572" s="29">
        <v>288</v>
      </c>
      <c r="K572" s="36">
        <v>48</v>
      </c>
      <c r="L572" s="25" t="str">
        <f t="shared" si="17"/>
        <v/>
      </c>
    </row>
    <row r="573" spans="1:12">
      <c r="A573" s="32" t="s">
        <v>2273</v>
      </c>
      <c r="B573" s="33">
        <v>2</v>
      </c>
      <c r="C573" s="33">
        <v>6</v>
      </c>
      <c r="D573" s="32" t="s">
        <v>2274</v>
      </c>
      <c r="E573" s="29"/>
      <c r="F573" s="34">
        <v>21.25</v>
      </c>
      <c r="G573" s="34">
        <f t="shared" si="16"/>
        <v>3.54166666666667</v>
      </c>
      <c r="H573" s="85" t="s">
        <v>2275</v>
      </c>
      <c r="I573" s="85" t="s">
        <v>2276</v>
      </c>
      <c r="J573" s="29">
        <v>288</v>
      </c>
      <c r="K573" s="36">
        <v>48</v>
      </c>
      <c r="L573" s="25" t="str">
        <f t="shared" si="17"/>
        <v/>
      </c>
    </row>
    <row r="574" spans="1:12">
      <c r="A574" s="32" t="s">
        <v>2277</v>
      </c>
      <c r="B574" s="33">
        <v>44</v>
      </c>
      <c r="C574" s="33">
        <v>6</v>
      </c>
      <c r="D574" s="32" t="s">
        <v>2278</v>
      </c>
      <c r="E574" s="29"/>
      <c r="F574" s="34">
        <v>22.25</v>
      </c>
      <c r="G574" s="34">
        <f t="shared" si="16"/>
        <v>3.70833333333333</v>
      </c>
      <c r="H574" s="85" t="s">
        <v>2279</v>
      </c>
      <c r="I574" s="85" t="s">
        <v>2280</v>
      </c>
      <c r="J574" s="29">
        <v>288</v>
      </c>
      <c r="K574" s="36">
        <v>48</v>
      </c>
      <c r="L574" s="25" t="str">
        <f t="shared" si="17"/>
        <v/>
      </c>
    </row>
    <row r="575" spans="1:12">
      <c r="A575" s="32" t="s">
        <v>2281</v>
      </c>
      <c r="B575" s="33">
        <v>15</v>
      </c>
      <c r="C575" s="33">
        <v>6</v>
      </c>
      <c r="D575" s="32" t="s">
        <v>2282</v>
      </c>
      <c r="E575" s="29"/>
      <c r="F575" s="34">
        <v>22.25</v>
      </c>
      <c r="G575" s="34">
        <f t="shared" si="16"/>
        <v>3.70833333333333</v>
      </c>
      <c r="H575" s="85" t="s">
        <v>2283</v>
      </c>
      <c r="I575" s="85" t="s">
        <v>2284</v>
      </c>
      <c r="J575" s="29">
        <v>288</v>
      </c>
      <c r="K575" s="36">
        <v>48</v>
      </c>
      <c r="L575" s="25" t="str">
        <f t="shared" si="17"/>
        <v/>
      </c>
    </row>
    <row r="576" spans="1:12">
      <c r="A576" s="32" t="s">
        <v>2285</v>
      </c>
      <c r="B576" s="33">
        <v>20</v>
      </c>
      <c r="C576" s="33">
        <v>6</v>
      </c>
      <c r="D576" s="32" t="s">
        <v>2286</v>
      </c>
      <c r="E576" s="29"/>
      <c r="F576" s="34">
        <v>22.25</v>
      </c>
      <c r="G576" s="34">
        <f t="shared" ref="G576:G638" si="18">F576/C576</f>
        <v>3.70833333333333</v>
      </c>
      <c r="H576" s="85" t="s">
        <v>2287</v>
      </c>
      <c r="I576" s="85" t="s">
        <v>2288</v>
      </c>
      <c r="J576" s="29">
        <v>288</v>
      </c>
      <c r="K576" s="36">
        <v>48</v>
      </c>
      <c r="L576" s="25" t="str">
        <f t="shared" ref="L576:L638" si="19">IF(E576,E576*F576,"")</f>
        <v/>
      </c>
    </row>
    <row r="577" spans="1:12">
      <c r="A577" s="32" t="s">
        <v>2289</v>
      </c>
      <c r="B577" s="33">
        <v>691</v>
      </c>
      <c r="C577" s="33">
        <v>6</v>
      </c>
      <c r="D577" s="32" t="s">
        <v>2290</v>
      </c>
      <c r="E577" s="29"/>
      <c r="F577" s="34">
        <v>21.25</v>
      </c>
      <c r="G577" s="34">
        <f t="shared" si="18"/>
        <v>3.54166666666667</v>
      </c>
      <c r="H577" s="85" t="s">
        <v>2291</v>
      </c>
      <c r="I577" s="85" t="s">
        <v>2292</v>
      </c>
      <c r="J577" s="29">
        <v>288</v>
      </c>
      <c r="K577" s="36">
        <v>48</v>
      </c>
      <c r="L577" s="25" t="str">
        <f t="shared" si="19"/>
        <v/>
      </c>
    </row>
    <row r="578" spans="1:12">
      <c r="A578" s="32" t="s">
        <v>2293</v>
      </c>
      <c r="B578" s="33">
        <v>26</v>
      </c>
      <c r="C578" s="33">
        <v>6</v>
      </c>
      <c r="D578" s="32" t="s">
        <v>2294</v>
      </c>
      <c r="E578" s="29"/>
      <c r="F578" s="34">
        <v>21.25</v>
      </c>
      <c r="G578" s="34">
        <f t="shared" si="18"/>
        <v>3.54166666666667</v>
      </c>
      <c r="H578" s="85" t="s">
        <v>2295</v>
      </c>
      <c r="I578" s="85" t="s">
        <v>2296</v>
      </c>
      <c r="J578" s="29">
        <v>288</v>
      </c>
      <c r="K578" s="36">
        <v>48</v>
      </c>
      <c r="L578" s="25" t="str">
        <f t="shared" si="19"/>
        <v/>
      </c>
    </row>
    <row r="579" spans="1:12">
      <c r="A579" s="32" t="s">
        <v>2297</v>
      </c>
      <c r="B579" s="33">
        <v>41</v>
      </c>
      <c r="C579" s="33">
        <v>6</v>
      </c>
      <c r="D579" s="32" t="s">
        <v>2298</v>
      </c>
      <c r="E579" s="29"/>
      <c r="F579" s="37">
        <v>5.4</v>
      </c>
      <c r="G579" s="38">
        <f t="shared" si="18"/>
        <v>0.9</v>
      </c>
      <c r="H579" s="85" t="s">
        <v>2299</v>
      </c>
      <c r="I579" s="85" t="s">
        <v>2300</v>
      </c>
      <c r="J579" s="29">
        <v>576</v>
      </c>
      <c r="K579" s="30">
        <v>96</v>
      </c>
      <c r="L579" s="25" t="str">
        <f t="shared" si="19"/>
        <v/>
      </c>
    </row>
    <row r="580" spans="1:12">
      <c r="A580" s="32" t="s">
        <v>2301</v>
      </c>
      <c r="B580" s="33">
        <v>355</v>
      </c>
      <c r="C580" s="33">
        <v>4</v>
      </c>
      <c r="D580" s="32" t="s">
        <v>2302</v>
      </c>
      <c r="E580" s="20"/>
      <c r="F580" s="37">
        <v>3</v>
      </c>
      <c r="G580" s="38">
        <f t="shared" si="18"/>
        <v>0.75</v>
      </c>
      <c r="H580" s="85" t="s">
        <v>2303</v>
      </c>
      <c r="I580" s="92" t="s">
        <v>2304</v>
      </c>
      <c r="J580" s="29"/>
      <c r="K580" s="51"/>
      <c r="L580" s="25" t="str">
        <f t="shared" si="19"/>
        <v/>
      </c>
    </row>
    <row r="581" spans="1:12">
      <c r="A581" s="32" t="s">
        <v>2305</v>
      </c>
      <c r="B581" s="33">
        <v>997</v>
      </c>
      <c r="C581" s="33">
        <v>6</v>
      </c>
      <c r="D581" s="32" t="s">
        <v>2306</v>
      </c>
      <c r="E581" s="20"/>
      <c r="F581" s="34">
        <v>7.2</v>
      </c>
      <c r="G581" s="22">
        <f t="shared" si="18"/>
        <v>1.2</v>
      </c>
      <c r="H581" s="85" t="s">
        <v>2307</v>
      </c>
      <c r="I581" s="85" t="s">
        <v>2308</v>
      </c>
      <c r="J581" s="29">
        <v>576</v>
      </c>
      <c r="K581" s="36">
        <v>96</v>
      </c>
      <c r="L581" s="25" t="str">
        <f t="shared" si="19"/>
        <v/>
      </c>
    </row>
    <row r="582" spans="1:12">
      <c r="A582" s="32" t="s">
        <v>2309</v>
      </c>
      <c r="B582" s="33">
        <v>1104</v>
      </c>
      <c r="C582" s="33">
        <v>3</v>
      </c>
      <c r="D582" s="32" t="s">
        <v>2310</v>
      </c>
      <c r="E582" s="20"/>
      <c r="F582" s="34">
        <v>6.6</v>
      </c>
      <c r="G582" s="34">
        <f t="shared" si="18"/>
        <v>2.2</v>
      </c>
      <c r="H582" s="85" t="s">
        <v>2311</v>
      </c>
      <c r="I582" s="85" t="s">
        <v>2312</v>
      </c>
      <c r="J582" s="29">
        <v>840</v>
      </c>
      <c r="K582" s="36">
        <v>120</v>
      </c>
      <c r="L582" s="40" t="str">
        <f t="shared" si="19"/>
        <v/>
      </c>
    </row>
    <row r="583" spans="1:12">
      <c r="A583" s="32" t="s">
        <v>2313</v>
      </c>
      <c r="B583" s="19">
        <v>38</v>
      </c>
      <c r="C583" s="33">
        <v>4</v>
      </c>
      <c r="D583" s="32" t="s">
        <v>2314</v>
      </c>
      <c r="E583" s="29"/>
      <c r="F583" s="34">
        <v>16.8</v>
      </c>
      <c r="G583" s="34">
        <f t="shared" si="18"/>
        <v>4.2</v>
      </c>
      <c r="H583" s="85" t="s">
        <v>2315</v>
      </c>
      <c r="I583" s="85" t="s">
        <v>2316</v>
      </c>
      <c r="J583" s="19"/>
      <c r="K583" s="30"/>
      <c r="L583" s="40" t="str">
        <f t="shared" si="19"/>
        <v/>
      </c>
    </row>
    <row r="584" spans="1:12">
      <c r="A584" s="32" t="s">
        <v>2317</v>
      </c>
      <c r="B584" s="33">
        <v>655</v>
      </c>
      <c r="C584" s="33">
        <v>12</v>
      </c>
      <c r="D584" s="32" t="s">
        <v>2318</v>
      </c>
      <c r="E584" s="20"/>
      <c r="F584" s="34">
        <v>10.2</v>
      </c>
      <c r="G584" s="34">
        <f t="shared" si="18"/>
        <v>0.85</v>
      </c>
      <c r="H584" s="85" t="s">
        <v>2319</v>
      </c>
      <c r="I584" s="85" t="s">
        <v>2320</v>
      </c>
      <c r="J584" s="29">
        <v>840</v>
      </c>
      <c r="K584" s="36">
        <v>120</v>
      </c>
      <c r="L584" s="40" t="str">
        <f t="shared" si="19"/>
        <v/>
      </c>
    </row>
    <row r="585" spans="1:12">
      <c r="A585" s="32" t="s">
        <v>2321</v>
      </c>
      <c r="B585" s="33">
        <v>791</v>
      </c>
      <c r="C585" s="33">
        <v>4</v>
      </c>
      <c r="D585" s="32" t="s">
        <v>2322</v>
      </c>
      <c r="E585" s="20"/>
      <c r="F585" s="34">
        <v>7.68</v>
      </c>
      <c r="G585" s="34">
        <f t="shared" si="18"/>
        <v>1.92</v>
      </c>
      <c r="H585" s="85" t="s">
        <v>2323</v>
      </c>
      <c r="I585" s="85" t="s">
        <v>2324</v>
      </c>
      <c r="J585" s="29">
        <v>1152</v>
      </c>
      <c r="K585" s="36">
        <v>72</v>
      </c>
      <c r="L585" s="25" t="str">
        <f t="shared" si="19"/>
        <v/>
      </c>
    </row>
    <row r="586" spans="1:12">
      <c r="A586" s="32" t="s">
        <v>2325</v>
      </c>
      <c r="B586" s="33">
        <v>213</v>
      </c>
      <c r="C586" s="33">
        <v>3</v>
      </c>
      <c r="D586" s="32" t="s">
        <v>2326</v>
      </c>
      <c r="E586" s="29"/>
      <c r="F586" s="34">
        <v>7.05</v>
      </c>
      <c r="G586" s="34">
        <f t="shared" si="18"/>
        <v>2.35</v>
      </c>
      <c r="H586" s="85" t="s">
        <v>2327</v>
      </c>
      <c r="I586" s="85" t="s">
        <v>2328</v>
      </c>
      <c r="J586" s="29">
        <v>840</v>
      </c>
      <c r="K586" s="30">
        <v>120</v>
      </c>
      <c r="L586" s="40" t="str">
        <f t="shared" si="19"/>
        <v/>
      </c>
    </row>
    <row r="587" spans="1:12">
      <c r="A587" s="32" t="s">
        <v>2329</v>
      </c>
      <c r="B587" s="33">
        <v>64</v>
      </c>
      <c r="C587" s="33">
        <v>4</v>
      </c>
      <c r="D587" s="32" t="s">
        <v>2330</v>
      </c>
      <c r="E587" s="20"/>
      <c r="F587" s="34">
        <v>10.6</v>
      </c>
      <c r="G587" s="22">
        <f t="shared" si="18"/>
        <v>2.65</v>
      </c>
      <c r="H587" s="85" t="s">
        <v>2331</v>
      </c>
      <c r="I587" s="85" t="s">
        <v>2332</v>
      </c>
      <c r="J587" s="29">
        <v>720</v>
      </c>
      <c r="K587" s="36">
        <v>180</v>
      </c>
      <c r="L587" s="25" t="str">
        <f t="shared" si="19"/>
        <v/>
      </c>
    </row>
    <row r="588" spans="1:12">
      <c r="A588" s="32" t="s">
        <v>2333</v>
      </c>
      <c r="B588" s="33">
        <v>445</v>
      </c>
      <c r="C588" s="33">
        <v>4</v>
      </c>
      <c r="D588" s="32" t="s">
        <v>2334</v>
      </c>
      <c r="E588" s="20"/>
      <c r="F588" s="34">
        <v>15.2</v>
      </c>
      <c r="G588" s="22">
        <f t="shared" si="18"/>
        <v>3.8</v>
      </c>
      <c r="H588" s="85" t="s">
        <v>2335</v>
      </c>
      <c r="I588" s="85" t="s">
        <v>2336</v>
      </c>
      <c r="J588" s="29">
        <v>65</v>
      </c>
      <c r="K588" s="36">
        <v>13</v>
      </c>
      <c r="L588" s="25" t="str">
        <f t="shared" si="19"/>
        <v/>
      </c>
    </row>
    <row r="589" spans="1:12">
      <c r="A589" s="32" t="s">
        <v>2337</v>
      </c>
      <c r="B589" s="33">
        <v>147</v>
      </c>
      <c r="C589" s="33">
        <v>6</v>
      </c>
      <c r="D589" s="32" t="s">
        <v>2338</v>
      </c>
      <c r="E589" s="29"/>
      <c r="F589" s="34">
        <v>20.65</v>
      </c>
      <c r="G589" s="22">
        <f t="shared" si="18"/>
        <v>3.44166666666667</v>
      </c>
      <c r="H589" s="85" t="s">
        <v>2339</v>
      </c>
      <c r="I589" s="85" t="s">
        <v>2340</v>
      </c>
      <c r="J589" s="29">
        <v>280</v>
      </c>
      <c r="K589" s="36">
        <v>35</v>
      </c>
      <c r="L589" s="25" t="str">
        <f t="shared" si="19"/>
        <v/>
      </c>
    </row>
    <row r="590" spans="1:12">
      <c r="A590" s="32" t="s">
        <v>2341</v>
      </c>
      <c r="B590" s="30">
        <v>174</v>
      </c>
      <c r="C590" s="33">
        <v>6</v>
      </c>
      <c r="D590" s="32" t="s">
        <v>2342</v>
      </c>
      <c r="E590" s="29"/>
      <c r="F590" s="37">
        <v>20.65</v>
      </c>
      <c r="G590" s="38">
        <f t="shared" si="18"/>
        <v>3.44166666666667</v>
      </c>
      <c r="H590" s="85" t="s">
        <v>2343</v>
      </c>
      <c r="I590" s="85" t="s">
        <v>2344</v>
      </c>
      <c r="J590" s="29">
        <v>280</v>
      </c>
      <c r="K590" s="36">
        <v>35</v>
      </c>
      <c r="L590" s="25" t="str">
        <f t="shared" si="19"/>
        <v/>
      </c>
    </row>
    <row r="591" spans="1:12">
      <c r="A591" s="32" t="s">
        <v>2345</v>
      </c>
      <c r="B591" s="33">
        <v>14</v>
      </c>
      <c r="C591" s="33">
        <v>6</v>
      </c>
      <c r="D591" s="32" t="s">
        <v>2346</v>
      </c>
      <c r="E591" s="29"/>
      <c r="F591" s="34">
        <v>20.65</v>
      </c>
      <c r="G591" s="34">
        <f t="shared" si="18"/>
        <v>3.44166666666667</v>
      </c>
      <c r="H591" s="85" t="s">
        <v>2347</v>
      </c>
      <c r="I591" s="85" t="s">
        <v>2348</v>
      </c>
      <c r="J591" s="29">
        <v>280</v>
      </c>
      <c r="K591" s="30">
        <v>35</v>
      </c>
      <c r="L591" s="40" t="str">
        <f t="shared" si="19"/>
        <v/>
      </c>
    </row>
    <row r="592" spans="1:12">
      <c r="A592" s="32" t="s">
        <v>2349</v>
      </c>
      <c r="B592" s="33">
        <v>25</v>
      </c>
      <c r="C592" s="33">
        <v>6</v>
      </c>
      <c r="D592" s="32" t="s">
        <v>2350</v>
      </c>
      <c r="E592" s="29"/>
      <c r="F592" s="37">
        <v>20.65</v>
      </c>
      <c r="G592" s="38">
        <f t="shared" si="18"/>
        <v>3.44166666666667</v>
      </c>
      <c r="H592" s="85" t="s">
        <v>2351</v>
      </c>
      <c r="I592" s="85" t="s">
        <v>2352</v>
      </c>
      <c r="J592" s="29">
        <v>280</v>
      </c>
      <c r="K592" s="30">
        <v>35</v>
      </c>
      <c r="L592" s="25" t="str">
        <f t="shared" si="19"/>
        <v/>
      </c>
    </row>
    <row r="593" spans="1:12">
      <c r="A593" s="32" t="s">
        <v>2353</v>
      </c>
      <c r="B593" s="33">
        <v>71</v>
      </c>
      <c r="C593" s="33">
        <v>6</v>
      </c>
      <c r="D593" s="32" t="s">
        <v>2354</v>
      </c>
      <c r="E593" s="29"/>
      <c r="F593" s="37">
        <v>20.65</v>
      </c>
      <c r="G593" s="37">
        <f t="shared" si="18"/>
        <v>3.44166666666667</v>
      </c>
      <c r="H593" s="85" t="s">
        <v>2355</v>
      </c>
      <c r="I593" s="85" t="s">
        <v>2356</v>
      </c>
      <c r="J593" s="29">
        <v>280</v>
      </c>
      <c r="K593" s="30">
        <v>35</v>
      </c>
      <c r="L593" s="40" t="str">
        <f t="shared" si="19"/>
        <v/>
      </c>
    </row>
    <row r="594" spans="1:12">
      <c r="A594" s="32" t="s">
        <v>2357</v>
      </c>
      <c r="B594" s="33">
        <v>58</v>
      </c>
      <c r="C594" s="33">
        <v>6</v>
      </c>
      <c r="D594" s="32" t="s">
        <v>2358</v>
      </c>
      <c r="E594" s="29"/>
      <c r="F594" s="37">
        <v>20.65</v>
      </c>
      <c r="G594" s="37">
        <f t="shared" si="18"/>
        <v>3.44166666666667</v>
      </c>
      <c r="H594" s="85" t="s">
        <v>2359</v>
      </c>
      <c r="I594" s="85" t="s">
        <v>2360</v>
      </c>
      <c r="J594" s="29">
        <v>280</v>
      </c>
      <c r="K594" s="30">
        <v>35</v>
      </c>
      <c r="L594" s="40" t="str">
        <f t="shared" si="19"/>
        <v/>
      </c>
    </row>
    <row r="595" spans="1:12">
      <c r="A595" s="32" t="s">
        <v>2361</v>
      </c>
      <c r="B595" s="33">
        <v>62</v>
      </c>
      <c r="C595" s="33">
        <v>6</v>
      </c>
      <c r="D595" s="32" t="s">
        <v>2362</v>
      </c>
      <c r="E595" s="29"/>
      <c r="F595" s="34">
        <v>20.65</v>
      </c>
      <c r="G595" s="34">
        <f t="shared" si="18"/>
        <v>3.44166666666667</v>
      </c>
      <c r="H595" s="85" t="s">
        <v>2363</v>
      </c>
      <c r="I595" s="85" t="s">
        <v>2364</v>
      </c>
      <c r="J595" s="29">
        <v>280</v>
      </c>
      <c r="K595" s="30">
        <v>35</v>
      </c>
      <c r="L595" s="40" t="str">
        <f t="shared" si="19"/>
        <v/>
      </c>
    </row>
    <row r="596" spans="1:12">
      <c r="A596" s="32" t="s">
        <v>2365</v>
      </c>
      <c r="B596" s="33">
        <v>11</v>
      </c>
      <c r="C596" s="33">
        <v>6</v>
      </c>
      <c r="D596" s="32" t="s">
        <v>2366</v>
      </c>
      <c r="E596" s="29"/>
      <c r="F596" s="34">
        <v>20.65</v>
      </c>
      <c r="G596" s="34">
        <f t="shared" si="18"/>
        <v>3.44166666666667</v>
      </c>
      <c r="H596" s="85" t="s">
        <v>2367</v>
      </c>
      <c r="I596" s="85" t="s">
        <v>2368</v>
      </c>
      <c r="J596" s="29"/>
      <c r="K596" s="30"/>
      <c r="L596" s="40" t="str">
        <f t="shared" si="19"/>
        <v/>
      </c>
    </row>
    <row r="597" spans="1:12">
      <c r="A597" s="32" t="s">
        <v>2369</v>
      </c>
      <c r="B597" s="33">
        <v>111</v>
      </c>
      <c r="C597" s="33">
        <v>6</v>
      </c>
      <c r="D597" s="32" t="s">
        <v>2370</v>
      </c>
      <c r="E597" s="29"/>
      <c r="F597" s="34">
        <v>8.6</v>
      </c>
      <c r="G597" s="22">
        <f t="shared" si="18"/>
        <v>1.43333333333333</v>
      </c>
      <c r="H597" s="85" t="s">
        <v>2371</v>
      </c>
      <c r="I597" s="85" t="s">
        <v>2372</v>
      </c>
      <c r="J597" s="29">
        <v>492</v>
      </c>
      <c r="K597" s="36">
        <v>82</v>
      </c>
      <c r="L597" s="25" t="str">
        <f t="shared" si="19"/>
        <v/>
      </c>
    </row>
    <row r="598" spans="1:12">
      <c r="A598" s="32" t="s">
        <v>2373</v>
      </c>
      <c r="B598" s="33">
        <v>24</v>
      </c>
      <c r="C598" s="33">
        <v>6</v>
      </c>
      <c r="D598" s="32" t="s">
        <v>2374</v>
      </c>
      <c r="E598" s="29"/>
      <c r="F598" s="34">
        <v>8.6</v>
      </c>
      <c r="G598" s="22">
        <f t="shared" si="18"/>
        <v>1.43333333333333</v>
      </c>
      <c r="H598" s="85" t="s">
        <v>2375</v>
      </c>
      <c r="I598" s="85" t="s">
        <v>2376</v>
      </c>
      <c r="J598" s="29">
        <v>492</v>
      </c>
      <c r="K598" s="36">
        <v>82</v>
      </c>
      <c r="L598" s="25" t="str">
        <f t="shared" si="19"/>
        <v/>
      </c>
    </row>
    <row r="599" spans="1:12">
      <c r="A599" s="32" t="s">
        <v>2377</v>
      </c>
      <c r="B599" s="33">
        <v>46</v>
      </c>
      <c r="C599" s="33">
        <v>6</v>
      </c>
      <c r="D599" s="32" t="s">
        <v>2378</v>
      </c>
      <c r="E599" s="29"/>
      <c r="F599" s="34">
        <v>8.6</v>
      </c>
      <c r="G599" s="22">
        <f t="shared" si="18"/>
        <v>1.43333333333333</v>
      </c>
      <c r="H599" s="85" t="s">
        <v>2379</v>
      </c>
      <c r="I599" s="85" t="s">
        <v>2380</v>
      </c>
      <c r="J599" s="29">
        <v>492</v>
      </c>
      <c r="K599" s="36">
        <v>82</v>
      </c>
      <c r="L599" s="25" t="str">
        <f t="shared" si="19"/>
        <v/>
      </c>
    </row>
    <row r="600" spans="1:12">
      <c r="A600" s="32" t="s">
        <v>2381</v>
      </c>
      <c r="B600" s="33">
        <v>94</v>
      </c>
      <c r="C600" s="33">
        <v>6</v>
      </c>
      <c r="D600" s="32" t="s">
        <v>2382</v>
      </c>
      <c r="E600" s="29"/>
      <c r="F600" s="34">
        <v>8.6</v>
      </c>
      <c r="G600" s="22">
        <f t="shared" si="18"/>
        <v>1.43333333333333</v>
      </c>
      <c r="H600" s="85" t="s">
        <v>2383</v>
      </c>
      <c r="I600" s="85" t="s">
        <v>2384</v>
      </c>
      <c r="J600" s="29">
        <v>492</v>
      </c>
      <c r="K600" s="36">
        <v>82</v>
      </c>
      <c r="L600" s="25" t="str">
        <f t="shared" si="19"/>
        <v/>
      </c>
    </row>
    <row r="601" spans="1:12">
      <c r="A601" s="32" t="s">
        <v>2385</v>
      </c>
      <c r="B601" s="33">
        <v>26</v>
      </c>
      <c r="C601" s="33">
        <v>6</v>
      </c>
      <c r="D601" s="32" t="s">
        <v>2386</v>
      </c>
      <c r="E601" s="29"/>
      <c r="F601" s="34">
        <v>10.4</v>
      </c>
      <c r="G601" s="22">
        <f t="shared" si="18"/>
        <v>1.73333333333333</v>
      </c>
      <c r="H601" s="85" t="s">
        <v>2387</v>
      </c>
      <c r="I601" s="85" t="s">
        <v>2388</v>
      </c>
      <c r="J601" s="29">
        <v>497</v>
      </c>
      <c r="K601" s="36">
        <v>71</v>
      </c>
      <c r="L601" s="25" t="str">
        <f t="shared" si="19"/>
        <v/>
      </c>
    </row>
    <row r="602" spans="1:12">
      <c r="A602" s="32" t="s">
        <v>2389</v>
      </c>
      <c r="B602" s="33">
        <v>58</v>
      </c>
      <c r="C602" s="33">
        <v>6</v>
      </c>
      <c r="D602" s="32" t="s">
        <v>2390</v>
      </c>
      <c r="E602" s="29"/>
      <c r="F602" s="34">
        <v>10.4</v>
      </c>
      <c r="G602" s="22">
        <f t="shared" si="18"/>
        <v>1.73333333333333</v>
      </c>
      <c r="H602" s="85" t="s">
        <v>2391</v>
      </c>
      <c r="I602" s="85" t="s">
        <v>2392</v>
      </c>
      <c r="J602" s="29">
        <v>497</v>
      </c>
      <c r="K602" s="36">
        <v>71</v>
      </c>
      <c r="L602" s="25" t="str">
        <f t="shared" si="19"/>
        <v/>
      </c>
    </row>
    <row r="603" spans="1:12">
      <c r="A603" s="32" t="s">
        <v>2393</v>
      </c>
      <c r="B603" s="33">
        <v>111</v>
      </c>
      <c r="C603" s="33">
        <v>6</v>
      </c>
      <c r="D603" s="32" t="s">
        <v>2394</v>
      </c>
      <c r="E603" s="29"/>
      <c r="F603" s="37">
        <v>10.4</v>
      </c>
      <c r="G603" s="38">
        <f t="shared" si="18"/>
        <v>1.73333333333333</v>
      </c>
      <c r="H603" s="85" t="s">
        <v>2395</v>
      </c>
      <c r="I603" s="85" t="s">
        <v>2396</v>
      </c>
      <c r="J603" s="29">
        <v>497</v>
      </c>
      <c r="K603" s="36">
        <v>71</v>
      </c>
      <c r="L603" s="25" t="str">
        <f t="shared" si="19"/>
        <v/>
      </c>
    </row>
    <row r="604" spans="1:12">
      <c r="A604" s="32" t="s">
        <v>2397</v>
      </c>
      <c r="B604" s="33">
        <v>2</v>
      </c>
      <c r="C604" s="33">
        <v>6</v>
      </c>
      <c r="D604" s="32" t="s">
        <v>2398</v>
      </c>
      <c r="E604" s="29"/>
      <c r="F604" s="34">
        <v>10.4</v>
      </c>
      <c r="G604" s="22">
        <f t="shared" si="18"/>
        <v>1.73333333333333</v>
      </c>
      <c r="H604" s="85" t="s">
        <v>2399</v>
      </c>
      <c r="I604" s="85" t="s">
        <v>2400</v>
      </c>
      <c r="J604" s="29">
        <v>497</v>
      </c>
      <c r="K604" s="36">
        <v>71</v>
      </c>
      <c r="L604" s="25" t="str">
        <f t="shared" si="19"/>
        <v/>
      </c>
    </row>
    <row r="605" spans="1:12">
      <c r="A605" s="32" t="s">
        <v>2401</v>
      </c>
      <c r="B605" s="33">
        <v>6</v>
      </c>
      <c r="C605" s="33">
        <v>6</v>
      </c>
      <c r="D605" s="32" t="s">
        <v>2402</v>
      </c>
      <c r="E605" s="29"/>
      <c r="F605" s="34">
        <v>10.4</v>
      </c>
      <c r="G605" s="22">
        <f t="shared" si="18"/>
        <v>1.73333333333333</v>
      </c>
      <c r="H605" s="85" t="s">
        <v>2403</v>
      </c>
      <c r="I605" s="85" t="s">
        <v>2404</v>
      </c>
      <c r="J605" s="29">
        <v>355</v>
      </c>
      <c r="K605" s="36">
        <v>71</v>
      </c>
      <c r="L605" s="25" t="str">
        <f t="shared" si="19"/>
        <v/>
      </c>
    </row>
    <row r="606" spans="1:12">
      <c r="A606" s="32" t="s">
        <v>2405</v>
      </c>
      <c r="B606" s="33">
        <v>162</v>
      </c>
      <c r="C606" s="33">
        <v>6</v>
      </c>
      <c r="D606" s="32" t="s">
        <v>2406</v>
      </c>
      <c r="E606" s="29"/>
      <c r="F606" s="34">
        <v>6.4</v>
      </c>
      <c r="G606" s="22">
        <f t="shared" si="18"/>
        <v>1.06666666666667</v>
      </c>
      <c r="H606" s="85" t="s">
        <v>2407</v>
      </c>
      <c r="I606" s="85" t="s">
        <v>2408</v>
      </c>
      <c r="J606" s="29">
        <v>900</v>
      </c>
      <c r="K606" s="36">
        <v>90</v>
      </c>
      <c r="L606" s="25" t="str">
        <f t="shared" si="19"/>
        <v/>
      </c>
    </row>
    <row r="607" spans="1:12">
      <c r="A607" s="32" t="s">
        <v>2409</v>
      </c>
      <c r="B607" s="33">
        <v>86</v>
      </c>
      <c r="C607" s="33">
        <v>6</v>
      </c>
      <c r="D607" s="32" t="s">
        <v>2410</v>
      </c>
      <c r="E607" s="29"/>
      <c r="F607" s="34">
        <v>6.4</v>
      </c>
      <c r="G607" s="22">
        <f t="shared" si="18"/>
        <v>1.06666666666667</v>
      </c>
      <c r="H607" s="85" t="s">
        <v>2411</v>
      </c>
      <c r="I607" s="85" t="s">
        <v>2412</v>
      </c>
      <c r="J607" s="29">
        <v>90</v>
      </c>
      <c r="K607" s="36">
        <v>90</v>
      </c>
      <c r="L607" s="25" t="str">
        <f t="shared" si="19"/>
        <v/>
      </c>
    </row>
    <row r="608" spans="1:12">
      <c r="A608" s="32" t="s">
        <v>2413</v>
      </c>
      <c r="B608" s="33">
        <v>159</v>
      </c>
      <c r="C608" s="33">
        <v>6</v>
      </c>
      <c r="D608" s="32" t="s">
        <v>2414</v>
      </c>
      <c r="E608" s="29"/>
      <c r="F608" s="34">
        <v>6.4</v>
      </c>
      <c r="G608" s="22">
        <f t="shared" si="18"/>
        <v>1.06666666666667</v>
      </c>
      <c r="H608" s="85" t="s">
        <v>2415</v>
      </c>
      <c r="I608" s="85" t="s">
        <v>2416</v>
      </c>
      <c r="J608" s="29">
        <v>900</v>
      </c>
      <c r="K608" s="36">
        <v>90</v>
      </c>
      <c r="L608" s="25" t="str">
        <f t="shared" si="19"/>
        <v/>
      </c>
    </row>
    <row r="609" spans="1:12">
      <c r="A609" s="32" t="s">
        <v>2417</v>
      </c>
      <c r="B609" s="33">
        <v>258</v>
      </c>
      <c r="C609" s="33">
        <v>6</v>
      </c>
      <c r="D609" s="32" t="s">
        <v>2418</v>
      </c>
      <c r="E609" s="20"/>
      <c r="F609" s="37">
        <v>6.4</v>
      </c>
      <c r="G609" s="38">
        <f t="shared" si="18"/>
        <v>1.06666666666667</v>
      </c>
      <c r="H609" s="95" t="s">
        <v>2419</v>
      </c>
      <c r="I609" s="55">
        <v>4005900087980</v>
      </c>
      <c r="J609" s="29">
        <v>900</v>
      </c>
      <c r="K609" s="36">
        <v>90</v>
      </c>
      <c r="L609" s="25" t="str">
        <f t="shared" si="19"/>
        <v/>
      </c>
    </row>
    <row r="610" spans="1:12">
      <c r="A610" s="32" t="s">
        <v>2420</v>
      </c>
      <c r="B610" s="33">
        <v>143</v>
      </c>
      <c r="C610" s="33">
        <v>6</v>
      </c>
      <c r="D610" s="32" t="s">
        <v>2421</v>
      </c>
      <c r="E610" s="20"/>
      <c r="F610" s="37">
        <v>6.4</v>
      </c>
      <c r="G610" s="38">
        <f t="shared" si="18"/>
        <v>1.06666666666667</v>
      </c>
      <c r="H610" s="85" t="s">
        <v>2422</v>
      </c>
      <c r="I610" s="92" t="s">
        <v>2423</v>
      </c>
      <c r="J610" s="29">
        <v>900</v>
      </c>
      <c r="K610" s="36">
        <v>90</v>
      </c>
      <c r="L610" s="25" t="str">
        <f t="shared" si="19"/>
        <v/>
      </c>
    </row>
    <row r="611" spans="1:12">
      <c r="A611" s="32" t="s">
        <v>2424</v>
      </c>
      <c r="B611" s="33">
        <v>93</v>
      </c>
      <c r="C611" s="33">
        <v>6</v>
      </c>
      <c r="D611" s="32" t="s">
        <v>2425</v>
      </c>
      <c r="E611" s="29"/>
      <c r="F611" s="34">
        <v>6.4</v>
      </c>
      <c r="G611" s="22">
        <f t="shared" si="18"/>
        <v>1.06666666666667</v>
      </c>
      <c r="H611" s="85" t="s">
        <v>2426</v>
      </c>
      <c r="I611" s="85" t="s">
        <v>2427</v>
      </c>
      <c r="J611" s="29">
        <v>900</v>
      </c>
      <c r="K611" s="36">
        <v>90</v>
      </c>
      <c r="L611" s="25" t="str">
        <f t="shared" si="19"/>
        <v/>
      </c>
    </row>
    <row r="612" spans="1:12">
      <c r="A612" s="32" t="s">
        <v>2428</v>
      </c>
      <c r="B612" s="33">
        <v>83</v>
      </c>
      <c r="C612" s="33">
        <v>6</v>
      </c>
      <c r="D612" s="32" t="s">
        <v>2429</v>
      </c>
      <c r="E612" s="29"/>
      <c r="F612" s="34">
        <v>6.4</v>
      </c>
      <c r="G612" s="22">
        <f t="shared" si="18"/>
        <v>1.06666666666667</v>
      </c>
      <c r="H612" s="85" t="s">
        <v>2430</v>
      </c>
      <c r="I612" s="85" t="s">
        <v>2431</v>
      </c>
      <c r="J612" s="29">
        <v>900</v>
      </c>
      <c r="K612" s="36">
        <v>90</v>
      </c>
      <c r="L612" s="25" t="str">
        <f t="shared" si="19"/>
        <v/>
      </c>
    </row>
    <row r="613" spans="1:12">
      <c r="A613" s="32" t="s">
        <v>2432</v>
      </c>
      <c r="B613" s="33">
        <v>377</v>
      </c>
      <c r="C613" s="33">
        <v>6</v>
      </c>
      <c r="D613" s="32" t="s">
        <v>2433</v>
      </c>
      <c r="E613" s="29"/>
      <c r="F613" s="34">
        <v>6.4</v>
      </c>
      <c r="G613" s="22">
        <f t="shared" si="18"/>
        <v>1.06666666666667</v>
      </c>
      <c r="H613" s="85" t="s">
        <v>2434</v>
      </c>
      <c r="I613" s="85" t="s">
        <v>2435</v>
      </c>
      <c r="J613" s="29">
        <v>450</v>
      </c>
      <c r="K613" s="36">
        <v>45</v>
      </c>
      <c r="L613" s="25" t="str">
        <f t="shared" si="19"/>
        <v/>
      </c>
    </row>
    <row r="614" spans="1:12">
      <c r="A614" s="32" t="s">
        <v>2436</v>
      </c>
      <c r="B614" s="33">
        <v>114</v>
      </c>
      <c r="C614" s="33">
        <v>6</v>
      </c>
      <c r="D614" s="32" t="s">
        <v>2437</v>
      </c>
      <c r="E614" s="20"/>
      <c r="F614" s="37">
        <v>6.4</v>
      </c>
      <c r="G614" s="38">
        <f t="shared" si="18"/>
        <v>1.06666666666667</v>
      </c>
      <c r="H614" s="95" t="s">
        <v>2438</v>
      </c>
      <c r="I614" s="92" t="s">
        <v>2439</v>
      </c>
      <c r="J614" s="29">
        <v>900</v>
      </c>
      <c r="K614" s="36">
        <v>90</v>
      </c>
      <c r="L614" s="25" t="str">
        <f t="shared" si="19"/>
        <v/>
      </c>
    </row>
    <row r="615" spans="1:12">
      <c r="A615" s="32" t="s">
        <v>2440</v>
      </c>
      <c r="B615" s="33">
        <v>20</v>
      </c>
      <c r="C615" s="33">
        <v>6</v>
      </c>
      <c r="D615" s="32" t="s">
        <v>2441</v>
      </c>
      <c r="E615" s="29"/>
      <c r="F615" s="34">
        <v>9.6</v>
      </c>
      <c r="G615" s="22">
        <f t="shared" si="18"/>
        <v>1.6</v>
      </c>
      <c r="H615" s="85" t="s">
        <v>2442</v>
      </c>
      <c r="I615" s="85" t="s">
        <v>2443</v>
      </c>
      <c r="J615" s="29">
        <v>308</v>
      </c>
      <c r="K615" s="30">
        <v>44</v>
      </c>
      <c r="L615" s="25" t="str">
        <f t="shared" si="19"/>
        <v/>
      </c>
    </row>
    <row r="616" spans="1:12">
      <c r="A616" s="32" t="s">
        <v>2444</v>
      </c>
      <c r="B616" s="33">
        <v>97</v>
      </c>
      <c r="C616" s="33">
        <v>6</v>
      </c>
      <c r="D616" s="32" t="s">
        <v>2445</v>
      </c>
      <c r="E616" s="29"/>
      <c r="F616" s="34">
        <v>9.6</v>
      </c>
      <c r="G616" s="22">
        <f t="shared" si="18"/>
        <v>1.6</v>
      </c>
      <c r="H616" s="85" t="s">
        <v>2446</v>
      </c>
      <c r="I616" s="85" t="s">
        <v>2447</v>
      </c>
      <c r="J616" s="29">
        <v>480</v>
      </c>
      <c r="K616" s="30">
        <v>80</v>
      </c>
      <c r="L616" s="25" t="str">
        <f t="shared" si="19"/>
        <v/>
      </c>
    </row>
    <row r="617" spans="1:12">
      <c r="A617" s="32" t="s">
        <v>2448</v>
      </c>
      <c r="B617" s="19">
        <v>386</v>
      </c>
      <c r="C617" s="33">
        <v>6</v>
      </c>
      <c r="D617" s="32" t="s">
        <v>2449</v>
      </c>
      <c r="E617" s="20"/>
      <c r="F617" s="34">
        <v>5.55</v>
      </c>
      <c r="G617" s="22">
        <f t="shared" si="18"/>
        <v>0.925</v>
      </c>
      <c r="H617" s="85" t="s">
        <v>2450</v>
      </c>
      <c r="I617" s="85" t="s">
        <v>2451</v>
      </c>
      <c r="J617" s="19">
        <v>384</v>
      </c>
      <c r="K617" s="36">
        <v>64</v>
      </c>
      <c r="L617" s="25" t="str">
        <f t="shared" si="19"/>
        <v/>
      </c>
    </row>
    <row r="618" spans="1:12">
      <c r="A618" s="32" t="s">
        <v>2452</v>
      </c>
      <c r="B618" s="33">
        <v>455</v>
      </c>
      <c r="C618" s="33">
        <v>6</v>
      </c>
      <c r="D618" s="32" t="s">
        <v>2453</v>
      </c>
      <c r="E618" s="29"/>
      <c r="F618" s="34">
        <v>5.55</v>
      </c>
      <c r="G618" s="34">
        <f t="shared" si="18"/>
        <v>0.925</v>
      </c>
      <c r="H618" s="85" t="s">
        <v>2454</v>
      </c>
      <c r="I618" s="85" t="s">
        <v>2455</v>
      </c>
      <c r="J618" s="29">
        <v>384</v>
      </c>
      <c r="K618" s="36">
        <v>64</v>
      </c>
      <c r="L618" s="25" t="str">
        <f t="shared" si="19"/>
        <v/>
      </c>
    </row>
    <row r="619" spans="1:12">
      <c r="A619" s="32" t="s">
        <v>2456</v>
      </c>
      <c r="B619" s="33">
        <v>227</v>
      </c>
      <c r="C619" s="33">
        <v>6</v>
      </c>
      <c r="D619" s="32" t="s">
        <v>2457</v>
      </c>
      <c r="E619" s="29"/>
      <c r="F619" s="34">
        <v>5.55</v>
      </c>
      <c r="G619" s="34">
        <f t="shared" si="18"/>
        <v>0.925</v>
      </c>
      <c r="H619" s="85" t="s">
        <v>2458</v>
      </c>
      <c r="I619" s="85" t="s">
        <v>2459</v>
      </c>
      <c r="J619" s="29">
        <v>384</v>
      </c>
      <c r="K619" s="36">
        <v>64</v>
      </c>
      <c r="L619" s="25" t="str">
        <f t="shared" si="19"/>
        <v/>
      </c>
    </row>
    <row r="620" spans="1:12">
      <c r="A620" s="32" t="s">
        <v>2460</v>
      </c>
      <c r="B620" s="33">
        <v>139</v>
      </c>
      <c r="C620" s="33">
        <v>6</v>
      </c>
      <c r="D620" s="32" t="s">
        <v>2461</v>
      </c>
      <c r="E620" s="29"/>
      <c r="F620" s="34">
        <v>5.55</v>
      </c>
      <c r="G620" s="34">
        <f t="shared" si="18"/>
        <v>0.925</v>
      </c>
      <c r="H620" s="85" t="s">
        <v>2462</v>
      </c>
      <c r="I620" s="85" t="s">
        <v>2463</v>
      </c>
      <c r="J620" s="29">
        <v>384</v>
      </c>
      <c r="K620" s="36">
        <v>64</v>
      </c>
      <c r="L620" s="25" t="str">
        <f t="shared" si="19"/>
        <v/>
      </c>
    </row>
    <row r="621" spans="1:12">
      <c r="A621" s="32" t="s">
        <v>2464</v>
      </c>
      <c r="B621" s="19">
        <v>204</v>
      </c>
      <c r="C621" s="33">
        <v>6</v>
      </c>
      <c r="D621" s="32" t="s">
        <v>2465</v>
      </c>
      <c r="E621" s="20"/>
      <c r="F621" s="34">
        <v>5.55</v>
      </c>
      <c r="G621" s="22">
        <f t="shared" si="18"/>
        <v>0.925</v>
      </c>
      <c r="H621" s="85" t="s">
        <v>2466</v>
      </c>
      <c r="I621" s="85" t="s">
        <v>2467</v>
      </c>
      <c r="J621" s="19">
        <v>384</v>
      </c>
      <c r="K621" s="36">
        <v>64</v>
      </c>
      <c r="L621" s="25" t="str">
        <f t="shared" si="19"/>
        <v/>
      </c>
    </row>
    <row r="622" spans="1:12">
      <c r="A622" s="32" t="s">
        <v>2468</v>
      </c>
      <c r="B622" s="33">
        <v>352</v>
      </c>
      <c r="C622" s="33">
        <v>6</v>
      </c>
      <c r="D622" s="32" t="s">
        <v>2469</v>
      </c>
      <c r="E622" s="29"/>
      <c r="F622" s="37">
        <v>5.55</v>
      </c>
      <c r="G622" s="37">
        <f t="shared" si="18"/>
        <v>0.925</v>
      </c>
      <c r="H622" s="85" t="s">
        <v>2470</v>
      </c>
      <c r="I622" s="85" t="s">
        <v>2471</v>
      </c>
      <c r="J622" s="29">
        <v>384</v>
      </c>
      <c r="K622" s="30">
        <v>64</v>
      </c>
      <c r="L622" s="40" t="str">
        <f t="shared" si="19"/>
        <v/>
      </c>
    </row>
    <row r="623" spans="1:12">
      <c r="A623" s="32" t="s">
        <v>2472</v>
      </c>
      <c r="B623" s="33">
        <v>46</v>
      </c>
      <c r="C623" s="33">
        <v>6</v>
      </c>
      <c r="D623" s="32" t="s">
        <v>2473</v>
      </c>
      <c r="E623" s="20"/>
      <c r="F623" s="34">
        <v>4.08</v>
      </c>
      <c r="G623" s="34">
        <f t="shared" si="18"/>
        <v>0.68</v>
      </c>
      <c r="H623" s="85" t="s">
        <v>2474</v>
      </c>
      <c r="I623" s="85" t="s">
        <v>2475</v>
      </c>
      <c r="J623" s="29">
        <v>720</v>
      </c>
      <c r="K623" s="36">
        <v>120</v>
      </c>
      <c r="L623" s="25" t="str">
        <f t="shared" si="19"/>
        <v/>
      </c>
    </row>
    <row r="624" spans="1:12">
      <c r="A624" s="32" t="s">
        <v>2476</v>
      </c>
      <c r="B624" s="33">
        <v>118</v>
      </c>
      <c r="C624" s="33">
        <v>6</v>
      </c>
      <c r="D624" s="32" t="s">
        <v>2477</v>
      </c>
      <c r="E624" s="20"/>
      <c r="F624" s="34">
        <v>4.08</v>
      </c>
      <c r="G624" s="34">
        <f t="shared" si="18"/>
        <v>0.68</v>
      </c>
      <c r="H624" s="85" t="s">
        <v>2478</v>
      </c>
      <c r="I624" s="85" t="s">
        <v>2479</v>
      </c>
      <c r="J624" s="29">
        <v>720</v>
      </c>
      <c r="K624" s="36">
        <v>120</v>
      </c>
      <c r="L624" s="25" t="str">
        <f t="shared" si="19"/>
        <v/>
      </c>
    </row>
    <row r="625" spans="1:12">
      <c r="A625" s="32" t="s">
        <v>2480</v>
      </c>
      <c r="B625" s="33">
        <v>81</v>
      </c>
      <c r="C625" s="33">
        <v>6</v>
      </c>
      <c r="D625" s="32" t="s">
        <v>2481</v>
      </c>
      <c r="E625" s="20"/>
      <c r="F625" s="34">
        <v>4.08</v>
      </c>
      <c r="G625" s="34">
        <f t="shared" si="18"/>
        <v>0.68</v>
      </c>
      <c r="H625" s="85" t="s">
        <v>2482</v>
      </c>
      <c r="I625" s="85" t="s">
        <v>2483</v>
      </c>
      <c r="J625" s="29">
        <v>720</v>
      </c>
      <c r="K625" s="36">
        <v>120</v>
      </c>
      <c r="L625" s="25" t="str">
        <f t="shared" si="19"/>
        <v/>
      </c>
    </row>
    <row r="626" spans="1:12">
      <c r="A626" s="32" t="s">
        <v>2484</v>
      </c>
      <c r="B626" s="33">
        <v>24</v>
      </c>
      <c r="C626" s="33">
        <v>12</v>
      </c>
      <c r="D626" s="32" t="s">
        <v>2485</v>
      </c>
      <c r="E626" s="29"/>
      <c r="F626" s="34">
        <v>13.4</v>
      </c>
      <c r="G626" s="34">
        <f t="shared" si="18"/>
        <v>1.11666666666667</v>
      </c>
      <c r="H626" s="85" t="s">
        <v>2486</v>
      </c>
      <c r="I626" s="85" t="s">
        <v>2487</v>
      </c>
      <c r="J626" s="29">
        <v>116</v>
      </c>
      <c r="K626" s="36">
        <v>29</v>
      </c>
      <c r="L626" s="25" t="str">
        <f t="shared" si="19"/>
        <v/>
      </c>
    </row>
    <row r="627" spans="1:12">
      <c r="A627" s="32" t="s">
        <v>2488</v>
      </c>
      <c r="B627" s="33">
        <v>649</v>
      </c>
      <c r="C627" s="33">
        <v>6</v>
      </c>
      <c r="D627" s="32" t="s">
        <v>2489</v>
      </c>
      <c r="E627" s="20"/>
      <c r="F627" s="34">
        <v>7.99</v>
      </c>
      <c r="G627" s="34">
        <f t="shared" si="18"/>
        <v>1.33166666666667</v>
      </c>
      <c r="H627" s="85" t="s">
        <v>2490</v>
      </c>
      <c r="I627" s="85" t="s">
        <v>2491</v>
      </c>
      <c r="J627" s="29">
        <v>810</v>
      </c>
      <c r="K627" s="36">
        <v>90</v>
      </c>
      <c r="L627" s="25" t="str">
        <f t="shared" si="19"/>
        <v/>
      </c>
    </row>
    <row r="628" spans="1:12">
      <c r="A628" s="32" t="s">
        <v>2492</v>
      </c>
      <c r="B628" s="33">
        <v>764</v>
      </c>
      <c r="C628" s="33">
        <v>6</v>
      </c>
      <c r="D628" s="32" t="s">
        <v>2493</v>
      </c>
      <c r="E628" s="20"/>
      <c r="F628" s="34">
        <v>7.99</v>
      </c>
      <c r="G628" s="34">
        <f t="shared" si="18"/>
        <v>1.33166666666667</v>
      </c>
      <c r="H628" s="85" t="s">
        <v>2494</v>
      </c>
      <c r="I628" s="85" t="s">
        <v>2495</v>
      </c>
      <c r="J628" s="29">
        <v>810</v>
      </c>
      <c r="K628" s="36">
        <v>90</v>
      </c>
      <c r="L628" s="25" t="str">
        <f t="shared" si="19"/>
        <v/>
      </c>
    </row>
    <row r="629" spans="1:12">
      <c r="A629" s="32" t="s">
        <v>2496</v>
      </c>
      <c r="B629" s="33">
        <v>1117</v>
      </c>
      <c r="C629" s="33">
        <v>6</v>
      </c>
      <c r="D629" s="32" t="s">
        <v>2497</v>
      </c>
      <c r="E629" s="20"/>
      <c r="F629" s="34">
        <v>7.99</v>
      </c>
      <c r="G629" s="34">
        <f t="shared" si="18"/>
        <v>1.33166666666667</v>
      </c>
      <c r="H629" s="85" t="s">
        <v>2498</v>
      </c>
      <c r="I629" s="85" t="s">
        <v>2499</v>
      </c>
      <c r="J629" s="29">
        <v>810</v>
      </c>
      <c r="K629" s="36">
        <v>90</v>
      </c>
      <c r="L629" s="25" t="str">
        <f t="shared" si="19"/>
        <v/>
      </c>
    </row>
    <row r="630" spans="1:12">
      <c r="A630" s="32" t="s">
        <v>2500</v>
      </c>
      <c r="B630" s="33">
        <v>1108</v>
      </c>
      <c r="C630" s="33">
        <v>6</v>
      </c>
      <c r="D630" s="32" t="s">
        <v>2501</v>
      </c>
      <c r="E630" s="20"/>
      <c r="F630" s="34">
        <v>7.99</v>
      </c>
      <c r="G630" s="34">
        <f t="shared" si="18"/>
        <v>1.33166666666667</v>
      </c>
      <c r="H630" s="85" t="s">
        <v>2502</v>
      </c>
      <c r="I630" s="85" t="s">
        <v>2503</v>
      </c>
      <c r="J630" s="29">
        <v>810</v>
      </c>
      <c r="K630" s="36">
        <v>90</v>
      </c>
      <c r="L630" s="25" t="str">
        <f t="shared" si="19"/>
        <v/>
      </c>
    </row>
    <row r="631" spans="1:12">
      <c r="A631" s="32" t="s">
        <v>2504</v>
      </c>
      <c r="B631" s="33">
        <v>1581</v>
      </c>
      <c r="C631" s="33">
        <v>6</v>
      </c>
      <c r="D631" s="32" t="s">
        <v>2505</v>
      </c>
      <c r="E631" s="20"/>
      <c r="F631" s="34">
        <v>7.99</v>
      </c>
      <c r="G631" s="34">
        <f t="shared" si="18"/>
        <v>1.33166666666667</v>
      </c>
      <c r="H631" s="87" t="s">
        <v>2506</v>
      </c>
      <c r="I631" s="87" t="s">
        <v>2507</v>
      </c>
      <c r="J631" s="29">
        <v>810</v>
      </c>
      <c r="K631" s="36">
        <v>90</v>
      </c>
      <c r="L631" s="25" t="str">
        <f t="shared" si="19"/>
        <v/>
      </c>
    </row>
    <row r="632" spans="1:12">
      <c r="A632" s="32" t="s">
        <v>2508</v>
      </c>
      <c r="B632" s="33">
        <v>103</v>
      </c>
      <c r="C632" s="33">
        <v>6</v>
      </c>
      <c r="D632" s="32" t="s">
        <v>2509</v>
      </c>
      <c r="E632" s="20"/>
      <c r="F632" s="34">
        <v>10.5</v>
      </c>
      <c r="G632" s="34">
        <f t="shared" si="18"/>
        <v>1.75</v>
      </c>
      <c r="H632" s="95" t="s">
        <v>2510</v>
      </c>
      <c r="I632" s="87" t="s">
        <v>2511</v>
      </c>
      <c r="J632" s="29">
        <v>432</v>
      </c>
      <c r="K632" s="36">
        <v>54</v>
      </c>
      <c r="L632" s="25" t="str">
        <f t="shared" si="19"/>
        <v/>
      </c>
    </row>
    <row r="633" spans="1:12">
      <c r="A633" s="32" t="s">
        <v>2512</v>
      </c>
      <c r="B633" s="33">
        <v>26</v>
      </c>
      <c r="C633" s="33">
        <v>10</v>
      </c>
      <c r="D633" s="32" t="s">
        <v>2513</v>
      </c>
      <c r="E633" s="20"/>
      <c r="F633" s="34">
        <v>26.5</v>
      </c>
      <c r="G633" s="22">
        <f t="shared" si="18"/>
        <v>2.65</v>
      </c>
      <c r="H633" s="85" t="s">
        <v>2514</v>
      </c>
      <c r="I633" s="85" t="s">
        <v>2515</v>
      </c>
      <c r="J633" s="29">
        <v>873</v>
      </c>
      <c r="K633" s="36">
        <v>97</v>
      </c>
      <c r="L633" s="25" t="str">
        <f t="shared" si="19"/>
        <v/>
      </c>
    </row>
    <row r="634" spans="1:12">
      <c r="A634" s="32" t="s">
        <v>2516</v>
      </c>
      <c r="B634" s="33">
        <v>220</v>
      </c>
      <c r="C634" s="33">
        <v>6</v>
      </c>
      <c r="D634" s="32" t="s">
        <v>2517</v>
      </c>
      <c r="E634" s="20"/>
      <c r="F634" s="34">
        <v>13.5</v>
      </c>
      <c r="G634" s="22">
        <f t="shared" si="18"/>
        <v>2.25</v>
      </c>
      <c r="H634" s="85" t="s">
        <v>2518</v>
      </c>
      <c r="I634" s="85" t="s">
        <v>2519</v>
      </c>
      <c r="J634" s="29"/>
      <c r="K634" s="36"/>
      <c r="L634" s="25" t="str">
        <f t="shared" si="19"/>
        <v/>
      </c>
    </row>
    <row r="635" spans="1:12">
      <c r="A635" s="32" t="s">
        <v>2520</v>
      </c>
      <c r="B635" s="33">
        <v>76</v>
      </c>
      <c r="C635" s="33">
        <v>6</v>
      </c>
      <c r="D635" s="32" t="s">
        <v>2521</v>
      </c>
      <c r="E635" s="20"/>
      <c r="F635" s="34">
        <v>30</v>
      </c>
      <c r="G635" s="34">
        <f t="shared" si="18"/>
        <v>5</v>
      </c>
      <c r="H635" s="85" t="s">
        <v>2522</v>
      </c>
      <c r="I635" s="85" t="s">
        <v>2523</v>
      </c>
      <c r="J635" s="29">
        <v>300</v>
      </c>
      <c r="K635" s="36">
        <v>50</v>
      </c>
      <c r="L635" s="25" t="str">
        <f t="shared" si="19"/>
        <v/>
      </c>
    </row>
    <row r="636" spans="1:12">
      <c r="A636" s="32" t="s">
        <v>2524</v>
      </c>
      <c r="B636" s="33">
        <v>43</v>
      </c>
      <c r="C636" s="33">
        <v>6</v>
      </c>
      <c r="D636" s="32" t="s">
        <v>2525</v>
      </c>
      <c r="E636" s="20"/>
      <c r="F636" s="34">
        <v>10.99</v>
      </c>
      <c r="G636" s="34">
        <f t="shared" si="18"/>
        <v>1.83166666666667</v>
      </c>
      <c r="H636" s="85" t="s">
        <v>2526</v>
      </c>
      <c r="I636" s="85" t="s">
        <v>2527</v>
      </c>
      <c r="J636" s="29">
        <v>325</v>
      </c>
      <c r="K636" s="36">
        <v>65</v>
      </c>
      <c r="L636" s="25" t="str">
        <f t="shared" si="19"/>
        <v/>
      </c>
    </row>
    <row r="637" spans="1:12">
      <c r="A637" s="32" t="s">
        <v>2528</v>
      </c>
      <c r="B637" s="33">
        <v>51</v>
      </c>
      <c r="C637" s="33">
        <v>4</v>
      </c>
      <c r="D637" s="32" t="s">
        <v>2529</v>
      </c>
      <c r="E637" s="20"/>
      <c r="F637" s="34">
        <v>23</v>
      </c>
      <c r="G637" s="34">
        <f t="shared" si="18"/>
        <v>5.75</v>
      </c>
      <c r="H637" s="85" t="s">
        <v>2530</v>
      </c>
      <c r="I637" s="85" t="s">
        <v>2531</v>
      </c>
      <c r="J637" s="29">
        <v>800</v>
      </c>
      <c r="K637" s="36">
        <v>80</v>
      </c>
      <c r="L637" s="25" t="str">
        <f t="shared" si="19"/>
        <v/>
      </c>
    </row>
    <row r="638" spans="1:12">
      <c r="A638" s="32" t="s">
        <v>2532</v>
      </c>
      <c r="B638" s="33">
        <v>43</v>
      </c>
      <c r="C638" s="33">
        <v>4</v>
      </c>
      <c r="D638" s="32" t="s">
        <v>2533</v>
      </c>
      <c r="E638" s="20"/>
      <c r="F638" s="34">
        <v>10.5</v>
      </c>
      <c r="G638" s="34">
        <f t="shared" si="18"/>
        <v>2.625</v>
      </c>
      <c r="H638" s="85" t="s">
        <v>2534</v>
      </c>
      <c r="I638" s="85" t="s">
        <v>2535</v>
      </c>
      <c r="J638" s="29"/>
      <c r="K638" s="36"/>
      <c r="L638" s="25" t="str">
        <f t="shared" si="19"/>
        <v/>
      </c>
    </row>
    <row r="639" spans="1:12">
      <c r="A639" s="32" t="s">
        <v>2536</v>
      </c>
      <c r="B639" s="33">
        <v>570</v>
      </c>
      <c r="C639" s="33">
        <v>12</v>
      </c>
      <c r="D639" s="32" t="s">
        <v>2537</v>
      </c>
      <c r="E639" s="20"/>
      <c r="F639" s="34">
        <v>9.78</v>
      </c>
      <c r="G639" s="34">
        <f t="shared" ref="G639:G702" si="20">F639/C639</f>
        <v>0.815</v>
      </c>
      <c r="H639" s="85" t="s">
        <v>2538</v>
      </c>
      <c r="I639" s="88" t="s">
        <v>2539</v>
      </c>
      <c r="J639" s="29">
        <v>504</v>
      </c>
      <c r="K639" s="36">
        <v>72</v>
      </c>
      <c r="L639" s="25" t="str">
        <f t="shared" ref="L639:L702" si="21">IF(E639,E639*F639,"")</f>
        <v/>
      </c>
    </row>
    <row r="640" spans="1:12">
      <c r="A640" s="32" t="s">
        <v>2540</v>
      </c>
      <c r="B640" s="33">
        <v>1107</v>
      </c>
      <c r="C640" s="33">
        <v>12</v>
      </c>
      <c r="D640" s="32" t="s">
        <v>2541</v>
      </c>
      <c r="E640" s="20"/>
      <c r="F640" s="37">
        <v>9.78</v>
      </c>
      <c r="G640" s="38">
        <f t="shared" si="20"/>
        <v>0.815</v>
      </c>
      <c r="H640" s="85" t="s">
        <v>2542</v>
      </c>
      <c r="I640" s="85" t="s">
        <v>2543</v>
      </c>
      <c r="J640" s="29">
        <v>504</v>
      </c>
      <c r="K640" s="36">
        <v>72</v>
      </c>
      <c r="L640" s="25" t="str">
        <f t="shared" si="21"/>
        <v/>
      </c>
    </row>
    <row r="641" spans="1:12">
      <c r="A641" s="32" t="s">
        <v>2544</v>
      </c>
      <c r="B641" s="33">
        <v>387</v>
      </c>
      <c r="C641" s="33">
        <v>12</v>
      </c>
      <c r="D641" s="32" t="s">
        <v>2545</v>
      </c>
      <c r="E641" s="20"/>
      <c r="F641" s="34">
        <v>7.2</v>
      </c>
      <c r="G641" s="34">
        <f t="shared" si="20"/>
        <v>0.6</v>
      </c>
      <c r="H641" s="85" t="s">
        <v>2546</v>
      </c>
      <c r="I641" s="88" t="s">
        <v>2547</v>
      </c>
      <c r="J641" s="29">
        <v>252</v>
      </c>
      <c r="K641" s="36">
        <v>42</v>
      </c>
      <c r="L641" s="25" t="str">
        <f t="shared" si="21"/>
        <v/>
      </c>
    </row>
    <row r="642" spans="1:12">
      <c r="A642" s="32" t="s">
        <v>2548</v>
      </c>
      <c r="B642" s="33">
        <v>241</v>
      </c>
      <c r="C642" s="33">
        <v>12</v>
      </c>
      <c r="D642" s="32" t="s">
        <v>2549</v>
      </c>
      <c r="E642" s="20"/>
      <c r="F642" s="34">
        <v>7.2</v>
      </c>
      <c r="G642" s="34">
        <f t="shared" si="20"/>
        <v>0.6</v>
      </c>
      <c r="H642" s="85" t="s">
        <v>2550</v>
      </c>
      <c r="I642" s="88" t="s">
        <v>2551</v>
      </c>
      <c r="J642" s="29">
        <v>252</v>
      </c>
      <c r="K642" s="36">
        <v>42</v>
      </c>
      <c r="L642" s="25" t="str">
        <f t="shared" si="21"/>
        <v/>
      </c>
    </row>
    <row r="643" spans="1:12">
      <c r="A643" s="32" t="s">
        <v>2552</v>
      </c>
      <c r="B643" s="33">
        <v>58</v>
      </c>
      <c r="C643" s="33">
        <v>6</v>
      </c>
      <c r="D643" s="32" t="s">
        <v>2553</v>
      </c>
      <c r="E643" s="20"/>
      <c r="F643" s="34">
        <v>7.65</v>
      </c>
      <c r="G643" s="22">
        <f t="shared" si="20"/>
        <v>1.275</v>
      </c>
      <c r="H643" s="85" t="s">
        <v>2554</v>
      </c>
      <c r="I643" s="85" t="s">
        <v>2555</v>
      </c>
      <c r="J643" s="29">
        <v>360</v>
      </c>
      <c r="K643" s="30">
        <v>90</v>
      </c>
      <c r="L643" s="25" t="str">
        <f t="shared" si="21"/>
        <v/>
      </c>
    </row>
    <row r="644" spans="1:12">
      <c r="A644" s="32" t="s">
        <v>2556</v>
      </c>
      <c r="B644" s="33">
        <v>235</v>
      </c>
      <c r="C644" s="33">
        <v>6</v>
      </c>
      <c r="D644" s="32" t="s">
        <v>2557</v>
      </c>
      <c r="E644" s="20"/>
      <c r="F644" s="34">
        <v>3.99</v>
      </c>
      <c r="G644" s="22">
        <f t="shared" si="20"/>
        <v>0.665</v>
      </c>
      <c r="H644" s="85" t="s">
        <v>2558</v>
      </c>
      <c r="I644" s="85" t="s">
        <v>2559</v>
      </c>
      <c r="J644" s="29">
        <v>192</v>
      </c>
      <c r="K644" s="30">
        <v>64</v>
      </c>
      <c r="L644" s="25" t="str">
        <f t="shared" si="21"/>
        <v/>
      </c>
    </row>
    <row r="645" spans="1:12">
      <c r="A645" s="32" t="s">
        <v>2560</v>
      </c>
      <c r="B645" s="33">
        <v>31</v>
      </c>
      <c r="C645" s="33">
        <v>12</v>
      </c>
      <c r="D645" s="32" t="s">
        <v>2561</v>
      </c>
      <c r="E645" s="20"/>
      <c r="F645" s="34">
        <v>4.5</v>
      </c>
      <c r="G645" s="34">
        <f t="shared" si="20"/>
        <v>0.375</v>
      </c>
      <c r="H645" s="85" t="s">
        <v>2562</v>
      </c>
      <c r="I645" s="88" t="s">
        <v>2563</v>
      </c>
      <c r="J645" s="29"/>
      <c r="K645" s="36"/>
      <c r="L645" s="25" t="str">
        <f t="shared" si="21"/>
        <v/>
      </c>
    </row>
    <row r="646" spans="1:12">
      <c r="A646" s="32" t="s">
        <v>2564</v>
      </c>
      <c r="B646" s="33">
        <v>194</v>
      </c>
      <c r="C646" s="33">
        <v>12</v>
      </c>
      <c r="D646" s="32" t="s">
        <v>2565</v>
      </c>
      <c r="E646" s="20"/>
      <c r="F646" s="34">
        <v>7.2</v>
      </c>
      <c r="G646" s="22">
        <f t="shared" si="20"/>
        <v>0.6</v>
      </c>
      <c r="H646" s="85" t="s">
        <v>2566</v>
      </c>
      <c r="I646" s="85" t="s">
        <v>2567</v>
      </c>
      <c r="J646" s="29">
        <v>320</v>
      </c>
      <c r="K646" s="36">
        <v>80</v>
      </c>
      <c r="L646" s="25" t="str">
        <f t="shared" si="21"/>
        <v/>
      </c>
    </row>
    <row r="647" spans="1:12">
      <c r="A647" s="32" t="s">
        <v>2568</v>
      </c>
      <c r="B647" s="33">
        <v>156</v>
      </c>
      <c r="C647" s="33">
        <v>6</v>
      </c>
      <c r="D647" s="32" t="s">
        <v>2569</v>
      </c>
      <c r="E647" s="20"/>
      <c r="F647" s="34">
        <v>3.9</v>
      </c>
      <c r="G647" s="22">
        <f t="shared" si="20"/>
        <v>0.65</v>
      </c>
      <c r="H647" s="85" t="s">
        <v>2570</v>
      </c>
      <c r="I647" s="85" t="s">
        <v>2571</v>
      </c>
      <c r="J647" s="29">
        <v>492</v>
      </c>
      <c r="K647" s="36">
        <v>82</v>
      </c>
      <c r="L647" s="25" t="str">
        <f t="shared" si="21"/>
        <v/>
      </c>
    </row>
    <row r="648" spans="1:12">
      <c r="A648" s="32" t="s">
        <v>2572</v>
      </c>
      <c r="B648" s="33">
        <v>137</v>
      </c>
      <c r="C648" s="33">
        <v>6</v>
      </c>
      <c r="D648" s="32" t="s">
        <v>2573</v>
      </c>
      <c r="E648" s="20"/>
      <c r="F648" s="34">
        <v>3.9</v>
      </c>
      <c r="G648" s="22">
        <f t="shared" si="20"/>
        <v>0.65</v>
      </c>
      <c r="H648" s="85" t="s">
        <v>2574</v>
      </c>
      <c r="I648" s="85" t="s">
        <v>2575</v>
      </c>
      <c r="J648" s="29">
        <v>492</v>
      </c>
      <c r="K648" s="36">
        <v>82</v>
      </c>
      <c r="L648" s="25" t="str">
        <f t="shared" si="21"/>
        <v/>
      </c>
    </row>
    <row r="649" spans="1:12">
      <c r="A649" s="32" t="s">
        <v>2576</v>
      </c>
      <c r="B649" s="33">
        <v>214</v>
      </c>
      <c r="C649" s="33">
        <v>6</v>
      </c>
      <c r="D649" s="32" t="s">
        <v>2577</v>
      </c>
      <c r="E649" s="20"/>
      <c r="F649" s="34">
        <v>3.9</v>
      </c>
      <c r="G649" s="22">
        <f t="shared" si="20"/>
        <v>0.65</v>
      </c>
      <c r="H649" s="85" t="s">
        <v>2578</v>
      </c>
      <c r="I649" s="85" t="s">
        <v>2579</v>
      </c>
      <c r="J649" s="29">
        <v>492</v>
      </c>
      <c r="K649" s="36">
        <v>82</v>
      </c>
      <c r="L649" s="25" t="str">
        <f t="shared" si="21"/>
        <v/>
      </c>
    </row>
    <row r="650" spans="1:12">
      <c r="A650" s="32" t="s">
        <v>2580</v>
      </c>
      <c r="B650" s="33">
        <v>197</v>
      </c>
      <c r="C650" s="33">
        <v>6</v>
      </c>
      <c r="D650" s="32" t="s">
        <v>2581</v>
      </c>
      <c r="E650" s="20"/>
      <c r="F650" s="34">
        <v>3.9</v>
      </c>
      <c r="G650" s="22">
        <f t="shared" si="20"/>
        <v>0.65</v>
      </c>
      <c r="H650" s="85" t="s">
        <v>2582</v>
      </c>
      <c r="I650" s="85" t="s">
        <v>2583</v>
      </c>
      <c r="J650" s="29">
        <v>492</v>
      </c>
      <c r="K650" s="36">
        <v>82</v>
      </c>
      <c r="L650" s="25" t="str">
        <f t="shared" si="21"/>
        <v/>
      </c>
    </row>
    <row r="651" spans="1:12">
      <c r="A651" s="32" t="s">
        <v>2584</v>
      </c>
      <c r="B651" s="33">
        <v>165</v>
      </c>
      <c r="C651" s="33">
        <v>6</v>
      </c>
      <c r="D651" s="32" t="s">
        <v>2585</v>
      </c>
      <c r="E651" s="20"/>
      <c r="F651" s="34">
        <v>3.9</v>
      </c>
      <c r="G651" s="22">
        <f t="shared" si="20"/>
        <v>0.65</v>
      </c>
      <c r="H651" s="85" t="s">
        <v>2586</v>
      </c>
      <c r="I651" s="85" t="s">
        <v>2587</v>
      </c>
      <c r="J651" s="29">
        <v>492</v>
      </c>
      <c r="K651" s="36">
        <v>82</v>
      </c>
      <c r="L651" s="25" t="str">
        <f t="shared" si="21"/>
        <v/>
      </c>
    </row>
    <row r="652" spans="1:12">
      <c r="A652" s="32" t="s">
        <v>2588</v>
      </c>
      <c r="B652" s="33">
        <v>115</v>
      </c>
      <c r="C652" s="33">
        <v>6</v>
      </c>
      <c r="D652" s="32" t="s">
        <v>2589</v>
      </c>
      <c r="E652" s="20"/>
      <c r="F652" s="34">
        <v>3.9</v>
      </c>
      <c r="G652" s="22">
        <f t="shared" si="20"/>
        <v>0.65</v>
      </c>
      <c r="H652" s="85" t="s">
        <v>2590</v>
      </c>
      <c r="I652" s="85" t="s">
        <v>2591</v>
      </c>
      <c r="J652" s="29">
        <v>492</v>
      </c>
      <c r="K652" s="36">
        <v>82</v>
      </c>
      <c r="L652" s="25" t="str">
        <f t="shared" si="21"/>
        <v/>
      </c>
    </row>
    <row r="653" spans="1:12">
      <c r="A653" s="32" t="s">
        <v>2592</v>
      </c>
      <c r="B653" s="33">
        <v>183</v>
      </c>
      <c r="C653" s="33">
        <v>6</v>
      </c>
      <c r="D653" s="32" t="s">
        <v>2593</v>
      </c>
      <c r="E653" s="20"/>
      <c r="F653" s="34">
        <v>3.9</v>
      </c>
      <c r="G653" s="22">
        <f t="shared" si="20"/>
        <v>0.65</v>
      </c>
      <c r="H653" s="85" t="s">
        <v>2594</v>
      </c>
      <c r="I653" s="85" t="s">
        <v>2595</v>
      </c>
      <c r="J653" s="29">
        <v>492</v>
      </c>
      <c r="K653" s="36">
        <v>82</v>
      </c>
      <c r="L653" s="25" t="str">
        <f t="shared" si="21"/>
        <v/>
      </c>
    </row>
    <row r="654" spans="1:12">
      <c r="A654" s="32" t="s">
        <v>2596</v>
      </c>
      <c r="B654" s="33">
        <v>125</v>
      </c>
      <c r="C654" s="33">
        <v>6</v>
      </c>
      <c r="D654" s="32" t="s">
        <v>2597</v>
      </c>
      <c r="E654" s="20"/>
      <c r="F654" s="34">
        <v>3.9</v>
      </c>
      <c r="G654" s="22">
        <f t="shared" si="20"/>
        <v>0.65</v>
      </c>
      <c r="H654" s="85" t="s">
        <v>2598</v>
      </c>
      <c r="I654" s="85" t="s">
        <v>2599</v>
      </c>
      <c r="J654" s="29">
        <v>492</v>
      </c>
      <c r="K654" s="36">
        <v>82</v>
      </c>
      <c r="L654" s="25" t="str">
        <f t="shared" si="21"/>
        <v/>
      </c>
    </row>
    <row r="655" spans="1:12">
      <c r="A655" s="32" t="s">
        <v>2600</v>
      </c>
      <c r="B655" s="33">
        <v>397</v>
      </c>
      <c r="C655" s="33">
        <v>6</v>
      </c>
      <c r="D655" s="32" t="s">
        <v>2601</v>
      </c>
      <c r="E655" s="20"/>
      <c r="F655" s="34">
        <v>3.9</v>
      </c>
      <c r="G655" s="22">
        <f t="shared" si="20"/>
        <v>0.65</v>
      </c>
      <c r="H655" s="85" t="s">
        <v>2602</v>
      </c>
      <c r="I655" s="85" t="s">
        <v>2603</v>
      </c>
      <c r="J655" s="29">
        <v>492</v>
      </c>
      <c r="K655" s="36">
        <v>82</v>
      </c>
      <c r="L655" s="25" t="str">
        <f t="shared" si="21"/>
        <v/>
      </c>
    </row>
    <row r="656" spans="1:12">
      <c r="A656" s="32" t="s">
        <v>2604</v>
      </c>
      <c r="B656" s="33">
        <v>74</v>
      </c>
      <c r="C656" s="33">
        <v>6</v>
      </c>
      <c r="D656" s="32" t="s">
        <v>2605</v>
      </c>
      <c r="E656" s="20"/>
      <c r="F656" s="34">
        <v>3.9</v>
      </c>
      <c r="G656" s="22">
        <f t="shared" si="20"/>
        <v>0.65</v>
      </c>
      <c r="H656" s="85" t="s">
        <v>2606</v>
      </c>
      <c r="I656" s="85" t="s">
        <v>2607</v>
      </c>
      <c r="J656" s="29">
        <v>492</v>
      </c>
      <c r="K656" s="36">
        <v>82</v>
      </c>
      <c r="L656" s="25" t="str">
        <f t="shared" si="21"/>
        <v/>
      </c>
    </row>
    <row r="657" spans="1:12">
      <c r="A657" s="32" t="s">
        <v>2608</v>
      </c>
      <c r="B657" s="33">
        <v>45</v>
      </c>
      <c r="C657" s="33">
        <v>6</v>
      </c>
      <c r="D657" s="32" t="s">
        <v>2609</v>
      </c>
      <c r="E657" s="20"/>
      <c r="F657" s="34">
        <v>3.9</v>
      </c>
      <c r="G657" s="22">
        <f t="shared" si="20"/>
        <v>0.65</v>
      </c>
      <c r="H657" s="85" t="s">
        <v>2610</v>
      </c>
      <c r="I657" s="85" t="s">
        <v>2611</v>
      </c>
      <c r="J657" s="29">
        <v>492</v>
      </c>
      <c r="K657" s="36">
        <v>82</v>
      </c>
      <c r="L657" s="25" t="str">
        <f t="shared" si="21"/>
        <v/>
      </c>
    </row>
    <row r="658" spans="1:12">
      <c r="A658" s="41" t="s">
        <v>2612</v>
      </c>
      <c r="B658" s="30">
        <v>15</v>
      </c>
      <c r="C658" s="30">
        <v>12</v>
      </c>
      <c r="D658" s="41" t="s">
        <v>2613</v>
      </c>
      <c r="E658" s="29"/>
      <c r="F658" s="34">
        <v>29.4</v>
      </c>
      <c r="G658" s="34">
        <f t="shared" si="20"/>
        <v>2.45</v>
      </c>
      <c r="H658" s="85" t="s">
        <v>2614</v>
      </c>
      <c r="I658" s="92" t="s">
        <v>2615</v>
      </c>
      <c r="J658" s="29">
        <v>476</v>
      </c>
      <c r="K658" s="36">
        <v>68</v>
      </c>
      <c r="L658" s="25" t="str">
        <f t="shared" si="21"/>
        <v/>
      </c>
    </row>
    <row r="659" spans="1:12">
      <c r="A659" s="41" t="s">
        <v>2616</v>
      </c>
      <c r="B659" s="30">
        <v>134</v>
      </c>
      <c r="C659" s="30">
        <v>12</v>
      </c>
      <c r="D659" s="41" t="s">
        <v>2617</v>
      </c>
      <c r="E659" s="29"/>
      <c r="F659" s="34">
        <v>81.6</v>
      </c>
      <c r="G659" s="34">
        <f t="shared" si="20"/>
        <v>6.8</v>
      </c>
      <c r="H659" s="85" t="s">
        <v>2618</v>
      </c>
      <c r="I659" s="92" t="s">
        <v>2619</v>
      </c>
      <c r="J659" s="29">
        <v>112</v>
      </c>
      <c r="K659" s="36">
        <v>16</v>
      </c>
      <c r="L659" s="25" t="str">
        <f t="shared" si="21"/>
        <v/>
      </c>
    </row>
    <row r="660" spans="1:12">
      <c r="A660" s="41" t="s">
        <v>2620</v>
      </c>
      <c r="B660" s="30">
        <v>19</v>
      </c>
      <c r="C660" s="30">
        <v>12</v>
      </c>
      <c r="D660" s="41" t="s">
        <v>2621</v>
      </c>
      <c r="E660" s="29"/>
      <c r="F660" s="34">
        <v>69</v>
      </c>
      <c r="G660" s="34">
        <f t="shared" si="20"/>
        <v>5.75</v>
      </c>
      <c r="H660" s="92" t="s">
        <v>2622</v>
      </c>
      <c r="I660" s="85" t="s">
        <v>2623</v>
      </c>
      <c r="J660" s="29">
        <v>180</v>
      </c>
      <c r="K660" s="36">
        <v>36</v>
      </c>
      <c r="L660" s="25" t="str">
        <f t="shared" si="21"/>
        <v/>
      </c>
    </row>
    <row r="661" spans="1:12">
      <c r="A661" s="32" t="s">
        <v>2624</v>
      </c>
      <c r="B661" s="33">
        <v>150</v>
      </c>
      <c r="C661" s="33">
        <v>12</v>
      </c>
      <c r="D661" s="32" t="s">
        <v>2625</v>
      </c>
      <c r="E661" s="20"/>
      <c r="F661" s="37">
        <v>20.5</v>
      </c>
      <c r="G661" s="38">
        <f t="shared" si="20"/>
        <v>1.70833333333333</v>
      </c>
      <c r="H661" s="85" t="s">
        <v>2626</v>
      </c>
      <c r="I661" s="85" t="s">
        <v>2627</v>
      </c>
      <c r="J661" s="29">
        <v>224</v>
      </c>
      <c r="K661" s="36">
        <v>28</v>
      </c>
      <c r="L661" s="25" t="str">
        <f t="shared" si="21"/>
        <v/>
      </c>
    </row>
    <row r="662" spans="1:12">
      <c r="A662" s="32" t="s">
        <v>2628</v>
      </c>
      <c r="B662" s="33">
        <v>326</v>
      </c>
      <c r="C662" s="33">
        <v>12</v>
      </c>
      <c r="D662" s="32" t="s">
        <v>2629</v>
      </c>
      <c r="E662" s="20"/>
      <c r="F662" s="37">
        <v>20.5</v>
      </c>
      <c r="G662" s="38">
        <f t="shared" si="20"/>
        <v>1.70833333333333</v>
      </c>
      <c r="H662" s="85" t="s">
        <v>2630</v>
      </c>
      <c r="I662" s="85" t="s">
        <v>2631</v>
      </c>
      <c r="J662" s="29">
        <v>340</v>
      </c>
      <c r="K662" s="36">
        <v>34</v>
      </c>
      <c r="L662" s="25" t="str">
        <f t="shared" si="21"/>
        <v/>
      </c>
    </row>
    <row r="663" spans="1:12">
      <c r="A663" s="41" t="s">
        <v>2632</v>
      </c>
      <c r="B663" s="30">
        <v>170</v>
      </c>
      <c r="C663" s="30">
        <v>12</v>
      </c>
      <c r="D663" s="41" t="s">
        <v>2633</v>
      </c>
      <c r="E663" s="29"/>
      <c r="F663" s="34">
        <v>29.2</v>
      </c>
      <c r="G663" s="34">
        <f t="shared" si="20"/>
        <v>2.43333333333333</v>
      </c>
      <c r="H663" s="92" t="s">
        <v>2634</v>
      </c>
      <c r="I663" s="85" t="s">
        <v>2635</v>
      </c>
      <c r="J663" s="29">
        <v>115</v>
      </c>
      <c r="K663" s="36">
        <v>23</v>
      </c>
      <c r="L663" s="25" t="str">
        <f t="shared" si="21"/>
        <v/>
      </c>
    </row>
    <row r="664" spans="1:12">
      <c r="A664" s="41" t="s">
        <v>2636</v>
      </c>
      <c r="B664" s="30">
        <v>102</v>
      </c>
      <c r="C664" s="30">
        <v>12</v>
      </c>
      <c r="D664" s="41" t="s">
        <v>2637</v>
      </c>
      <c r="E664" s="29"/>
      <c r="F664" s="34">
        <v>43.5</v>
      </c>
      <c r="G664" s="34">
        <f t="shared" si="20"/>
        <v>3.625</v>
      </c>
      <c r="H664" s="92" t="s">
        <v>2638</v>
      </c>
      <c r="I664" s="85" t="s">
        <v>2639</v>
      </c>
      <c r="J664" s="29">
        <v>76</v>
      </c>
      <c r="K664" s="36">
        <v>19</v>
      </c>
      <c r="L664" s="25" t="str">
        <f t="shared" si="21"/>
        <v/>
      </c>
    </row>
    <row r="665" spans="1:12">
      <c r="A665" s="41" t="s">
        <v>2640</v>
      </c>
      <c r="B665" s="30">
        <v>106</v>
      </c>
      <c r="C665" s="30">
        <v>12</v>
      </c>
      <c r="D665" s="41" t="s">
        <v>2641</v>
      </c>
      <c r="E665" s="29"/>
      <c r="F665" s="34">
        <v>81.6</v>
      </c>
      <c r="G665" s="34">
        <f t="shared" si="20"/>
        <v>6.8</v>
      </c>
      <c r="H665" s="92" t="s">
        <v>2642</v>
      </c>
      <c r="I665" s="85" t="s">
        <v>2635</v>
      </c>
      <c r="J665" s="29">
        <v>112</v>
      </c>
      <c r="K665" s="36">
        <v>16</v>
      </c>
      <c r="L665" s="25" t="str">
        <f t="shared" si="21"/>
        <v/>
      </c>
    </row>
    <row r="666" spans="1:12">
      <c r="A666" s="41" t="s">
        <v>2643</v>
      </c>
      <c r="B666" s="30">
        <v>171</v>
      </c>
      <c r="C666" s="30">
        <v>12</v>
      </c>
      <c r="D666" s="41" t="s">
        <v>2644</v>
      </c>
      <c r="E666" s="29"/>
      <c r="F666" s="34">
        <v>78.4</v>
      </c>
      <c r="G666" s="34">
        <f t="shared" si="20"/>
        <v>6.53333333333333</v>
      </c>
      <c r="H666" s="55"/>
      <c r="I666" s="35"/>
      <c r="J666" s="29">
        <v>174</v>
      </c>
      <c r="K666" s="36">
        <v>29</v>
      </c>
      <c r="L666" s="25" t="str">
        <f t="shared" si="21"/>
        <v/>
      </c>
    </row>
    <row r="667" spans="1:12">
      <c r="A667" s="32" t="s">
        <v>2645</v>
      </c>
      <c r="B667" s="33">
        <v>1300</v>
      </c>
      <c r="C667" s="33">
        <v>6</v>
      </c>
      <c r="D667" s="32" t="s">
        <v>2646</v>
      </c>
      <c r="E667" s="20"/>
      <c r="F667" s="34">
        <v>12.8</v>
      </c>
      <c r="G667" s="22">
        <f t="shared" si="20"/>
        <v>2.13333333333333</v>
      </c>
      <c r="H667" s="85" t="s">
        <v>2647</v>
      </c>
      <c r="I667" s="85" t="s">
        <v>2648</v>
      </c>
      <c r="J667" s="29">
        <v>390</v>
      </c>
      <c r="K667" s="36">
        <v>30</v>
      </c>
      <c r="L667" s="25" t="str">
        <f t="shared" si="21"/>
        <v/>
      </c>
    </row>
    <row r="668" spans="1:12">
      <c r="A668" s="32" t="s">
        <v>2649</v>
      </c>
      <c r="B668" s="33">
        <v>72</v>
      </c>
      <c r="C668" s="33">
        <v>12</v>
      </c>
      <c r="D668" s="32" t="s">
        <v>2650</v>
      </c>
      <c r="E668" s="20"/>
      <c r="F668" s="34">
        <v>46</v>
      </c>
      <c r="G668" s="22">
        <f t="shared" si="20"/>
        <v>3.83333333333333</v>
      </c>
      <c r="H668" s="85" t="s">
        <v>2651</v>
      </c>
      <c r="I668" s="85" t="s">
        <v>2652</v>
      </c>
      <c r="J668" s="29">
        <v>140</v>
      </c>
      <c r="K668" s="36">
        <v>20</v>
      </c>
      <c r="L668" s="25" t="str">
        <f t="shared" si="21"/>
        <v/>
      </c>
    </row>
    <row r="669" spans="1:12">
      <c r="A669" s="32" t="s">
        <v>2653</v>
      </c>
      <c r="B669" s="33">
        <v>200</v>
      </c>
      <c r="C669" s="33">
        <v>12</v>
      </c>
      <c r="D669" s="32" t="s">
        <v>2654</v>
      </c>
      <c r="E669" s="20"/>
      <c r="F669" s="37">
        <v>60</v>
      </c>
      <c r="G669" s="38">
        <f t="shared" si="20"/>
        <v>5</v>
      </c>
      <c r="H669" s="85" t="s">
        <v>2655</v>
      </c>
      <c r="I669" s="85" t="s">
        <v>2656</v>
      </c>
      <c r="J669" s="29">
        <v>100</v>
      </c>
      <c r="K669" s="36">
        <v>25</v>
      </c>
      <c r="L669" s="25" t="str">
        <f t="shared" si="21"/>
        <v/>
      </c>
    </row>
    <row r="670" spans="1:12">
      <c r="A670" s="32" t="s">
        <v>2657</v>
      </c>
      <c r="B670" s="33">
        <v>370</v>
      </c>
      <c r="C670" s="33">
        <v>6</v>
      </c>
      <c r="D670" s="32" t="s">
        <v>2658</v>
      </c>
      <c r="E670" s="20"/>
      <c r="F670" s="34">
        <v>18.8</v>
      </c>
      <c r="G670" s="22">
        <f t="shared" si="20"/>
        <v>3.13333333333333</v>
      </c>
      <c r="H670" s="85" t="s">
        <v>2659</v>
      </c>
      <c r="I670" s="85" t="s">
        <v>2660</v>
      </c>
      <c r="J670" s="29">
        <v>275</v>
      </c>
      <c r="K670" s="36">
        <v>55</v>
      </c>
      <c r="L670" s="25" t="str">
        <f t="shared" si="21"/>
        <v/>
      </c>
    </row>
    <row r="671" spans="1:12">
      <c r="A671" s="32" t="s">
        <v>2661</v>
      </c>
      <c r="B671" s="33">
        <v>335</v>
      </c>
      <c r="C671" s="33">
        <v>6</v>
      </c>
      <c r="D671" s="32" t="s">
        <v>2662</v>
      </c>
      <c r="E671" s="20"/>
      <c r="F671" s="34">
        <v>7.8</v>
      </c>
      <c r="G671" s="22">
        <f t="shared" si="20"/>
        <v>1.3</v>
      </c>
      <c r="H671" s="85" t="s">
        <v>2663</v>
      </c>
      <c r="I671" s="85" t="s">
        <v>2664</v>
      </c>
      <c r="J671" s="29">
        <v>496</v>
      </c>
      <c r="K671" s="36">
        <v>62</v>
      </c>
      <c r="L671" s="25" t="str">
        <f t="shared" si="21"/>
        <v/>
      </c>
    </row>
    <row r="672" spans="1:12">
      <c r="A672" s="32" t="s">
        <v>2665</v>
      </c>
      <c r="B672" s="33">
        <v>483</v>
      </c>
      <c r="C672" s="33">
        <v>6</v>
      </c>
      <c r="D672" s="32" t="s">
        <v>2666</v>
      </c>
      <c r="E672" s="20"/>
      <c r="F672" s="34">
        <v>8.8</v>
      </c>
      <c r="G672" s="22">
        <f t="shared" si="20"/>
        <v>1.46666666666667</v>
      </c>
      <c r="H672" s="85" t="s">
        <v>2667</v>
      </c>
      <c r="I672" s="85" t="s">
        <v>2668</v>
      </c>
      <c r="J672" s="29">
        <v>496</v>
      </c>
      <c r="K672" s="36">
        <v>62</v>
      </c>
      <c r="L672" s="25" t="str">
        <f t="shared" si="21"/>
        <v/>
      </c>
    </row>
    <row r="673" spans="1:12">
      <c r="A673" s="32" t="s">
        <v>2669</v>
      </c>
      <c r="B673" s="33">
        <v>310</v>
      </c>
      <c r="C673" s="33">
        <v>6</v>
      </c>
      <c r="D673" s="32" t="s">
        <v>2670</v>
      </c>
      <c r="E673" s="20"/>
      <c r="F673" s="34">
        <v>7.99</v>
      </c>
      <c r="G673" s="22">
        <f t="shared" si="20"/>
        <v>1.33166666666667</v>
      </c>
      <c r="H673" s="85" t="s">
        <v>2671</v>
      </c>
      <c r="I673" s="85" t="s">
        <v>2672</v>
      </c>
      <c r="J673" s="29">
        <v>496</v>
      </c>
      <c r="K673" s="36">
        <v>62</v>
      </c>
      <c r="L673" s="25" t="str">
        <f t="shared" si="21"/>
        <v/>
      </c>
    </row>
    <row r="674" spans="1:12">
      <c r="A674" s="32" t="s">
        <v>2673</v>
      </c>
      <c r="B674" s="33">
        <v>658</v>
      </c>
      <c r="C674" s="33">
        <v>6</v>
      </c>
      <c r="D674" s="32" t="s">
        <v>2674</v>
      </c>
      <c r="E674" s="20"/>
      <c r="F674" s="34">
        <v>7.99</v>
      </c>
      <c r="G674" s="34">
        <f t="shared" si="20"/>
        <v>1.33166666666667</v>
      </c>
      <c r="H674" s="85" t="s">
        <v>2675</v>
      </c>
      <c r="I674" s="85" t="s">
        <v>2676</v>
      </c>
      <c r="J674" s="29">
        <v>496</v>
      </c>
      <c r="K674" s="36">
        <v>62</v>
      </c>
      <c r="L674" s="25" t="str">
        <f t="shared" si="21"/>
        <v/>
      </c>
    </row>
    <row r="675" s="3" customFormat="1" spans="1:12">
      <c r="A675" s="62" t="s">
        <v>2677</v>
      </c>
      <c r="B675" s="63">
        <v>805</v>
      </c>
      <c r="C675" s="63">
        <v>12</v>
      </c>
      <c r="D675" s="62" t="s">
        <v>2678</v>
      </c>
      <c r="E675" s="64"/>
      <c r="F675" s="65">
        <v>14.65</v>
      </c>
      <c r="G675" s="66">
        <f t="shared" si="20"/>
        <v>1.22083333333333</v>
      </c>
      <c r="H675" s="96" t="s">
        <v>2679</v>
      </c>
      <c r="I675" s="96" t="s">
        <v>2680</v>
      </c>
      <c r="J675" s="68">
        <v>369</v>
      </c>
      <c r="K675" s="69">
        <v>41</v>
      </c>
      <c r="L675" s="70" t="str">
        <f t="shared" si="21"/>
        <v/>
      </c>
    </row>
    <row r="676" s="3" customFormat="1" spans="1:12">
      <c r="A676" s="62" t="s">
        <v>2681</v>
      </c>
      <c r="B676" s="63">
        <v>607</v>
      </c>
      <c r="C676" s="63">
        <v>12</v>
      </c>
      <c r="D676" s="62" t="s">
        <v>2682</v>
      </c>
      <c r="E676" s="64"/>
      <c r="F676" s="65">
        <v>14.65</v>
      </c>
      <c r="G676" s="66">
        <f t="shared" si="20"/>
        <v>1.22083333333333</v>
      </c>
      <c r="H676" s="96" t="s">
        <v>2683</v>
      </c>
      <c r="I676" s="96" t="s">
        <v>2684</v>
      </c>
      <c r="J676" s="68">
        <v>369</v>
      </c>
      <c r="K676" s="69">
        <v>41</v>
      </c>
      <c r="L676" s="70" t="str">
        <f t="shared" si="21"/>
        <v/>
      </c>
    </row>
    <row r="677" spans="1:12">
      <c r="A677" s="32" t="s">
        <v>2685</v>
      </c>
      <c r="B677" s="33">
        <v>872</v>
      </c>
      <c r="C677" s="33">
        <v>6</v>
      </c>
      <c r="D677" s="32" t="s">
        <v>2686</v>
      </c>
      <c r="E677" s="20"/>
      <c r="F677" s="34">
        <v>13.2</v>
      </c>
      <c r="G677" s="22">
        <f t="shared" si="20"/>
        <v>2.2</v>
      </c>
      <c r="H677" s="85" t="s">
        <v>2687</v>
      </c>
      <c r="I677" s="85" t="s">
        <v>2688</v>
      </c>
      <c r="J677" s="33">
        <v>220</v>
      </c>
      <c r="K677" s="36">
        <v>55</v>
      </c>
      <c r="L677" s="25" t="str">
        <f t="shared" si="21"/>
        <v/>
      </c>
    </row>
    <row r="678" spans="1:12">
      <c r="A678" s="32" t="s">
        <v>2689</v>
      </c>
      <c r="B678" s="33">
        <v>1208</v>
      </c>
      <c r="C678" s="33">
        <v>6</v>
      </c>
      <c r="D678" s="32" t="s">
        <v>2690</v>
      </c>
      <c r="E678" s="20"/>
      <c r="F678" s="34">
        <v>13.2</v>
      </c>
      <c r="G678" s="22">
        <f t="shared" si="20"/>
        <v>2.2</v>
      </c>
      <c r="H678" s="85" t="s">
        <v>2691</v>
      </c>
      <c r="I678" s="85" t="s">
        <v>2692</v>
      </c>
      <c r="J678" s="29">
        <v>205</v>
      </c>
      <c r="K678" s="36">
        <v>41</v>
      </c>
      <c r="L678" s="25" t="str">
        <f t="shared" si="21"/>
        <v/>
      </c>
    </row>
    <row r="679" spans="1:12">
      <c r="A679" s="32" t="s">
        <v>2693</v>
      </c>
      <c r="B679" s="33">
        <v>466</v>
      </c>
      <c r="C679" s="33">
        <v>6</v>
      </c>
      <c r="D679" s="32" t="s">
        <v>2694</v>
      </c>
      <c r="E679" s="20"/>
      <c r="F679" s="34">
        <v>18.8</v>
      </c>
      <c r="G679" s="22">
        <f t="shared" si="20"/>
        <v>3.13333333333333</v>
      </c>
      <c r="H679" s="85" t="s">
        <v>2695</v>
      </c>
      <c r="I679" s="85" t="s">
        <v>2696</v>
      </c>
      <c r="J679" s="29">
        <v>132</v>
      </c>
      <c r="K679" s="36">
        <v>33</v>
      </c>
      <c r="L679" s="25" t="str">
        <f t="shared" si="21"/>
        <v/>
      </c>
    </row>
    <row r="680" spans="1:12">
      <c r="A680" s="32" t="s">
        <v>2697</v>
      </c>
      <c r="B680" s="33">
        <v>298</v>
      </c>
      <c r="C680" s="33">
        <v>6</v>
      </c>
      <c r="D680" s="32" t="s">
        <v>2698</v>
      </c>
      <c r="E680" s="20"/>
      <c r="F680" s="34">
        <v>23.6</v>
      </c>
      <c r="G680" s="22">
        <f t="shared" si="20"/>
        <v>3.93333333333333</v>
      </c>
      <c r="H680" s="85" t="s">
        <v>2699</v>
      </c>
      <c r="I680" s="85" t="s">
        <v>2700</v>
      </c>
      <c r="J680" s="29">
        <v>104</v>
      </c>
      <c r="K680" s="36">
        <v>26</v>
      </c>
      <c r="L680" s="25" t="str">
        <f t="shared" si="21"/>
        <v/>
      </c>
    </row>
    <row r="681" spans="1:12">
      <c r="A681" s="32" t="s">
        <v>2701</v>
      </c>
      <c r="B681" s="33">
        <v>465</v>
      </c>
      <c r="C681" s="33">
        <v>6</v>
      </c>
      <c r="D681" s="32" t="s">
        <v>2702</v>
      </c>
      <c r="E681" s="20"/>
      <c r="F681" s="34">
        <v>13.2</v>
      </c>
      <c r="G681" s="22">
        <f t="shared" si="20"/>
        <v>2.2</v>
      </c>
      <c r="H681" s="85" t="s">
        <v>2703</v>
      </c>
      <c r="I681" s="85" t="s">
        <v>2704</v>
      </c>
      <c r="J681" s="29">
        <v>205</v>
      </c>
      <c r="K681" s="36">
        <v>41</v>
      </c>
      <c r="L681" s="25" t="str">
        <f t="shared" si="21"/>
        <v/>
      </c>
    </row>
    <row r="682" spans="1:12">
      <c r="A682" s="32" t="s">
        <v>2705</v>
      </c>
      <c r="B682" s="33">
        <v>131</v>
      </c>
      <c r="C682" s="33">
        <v>6</v>
      </c>
      <c r="D682" s="32" t="s">
        <v>2706</v>
      </c>
      <c r="E682" s="20"/>
      <c r="F682" s="34">
        <v>19.5</v>
      </c>
      <c r="G682" s="22">
        <f t="shared" si="20"/>
        <v>3.25</v>
      </c>
      <c r="H682" s="85" t="s">
        <v>2707</v>
      </c>
      <c r="I682" s="85" t="s">
        <v>2708</v>
      </c>
      <c r="J682" s="29">
        <v>132</v>
      </c>
      <c r="K682" s="36">
        <v>33</v>
      </c>
      <c r="L682" s="25" t="str">
        <f t="shared" si="21"/>
        <v/>
      </c>
    </row>
    <row r="683" spans="1:12">
      <c r="A683" s="32" t="s">
        <v>2709</v>
      </c>
      <c r="B683" s="33">
        <v>398</v>
      </c>
      <c r="C683" s="33">
        <v>6</v>
      </c>
      <c r="D683" s="32" t="s">
        <v>2710</v>
      </c>
      <c r="E683" s="20"/>
      <c r="F683" s="34">
        <v>12.95</v>
      </c>
      <c r="G683" s="34">
        <f t="shared" si="20"/>
        <v>2.15833333333333</v>
      </c>
      <c r="H683" s="85" t="s">
        <v>2711</v>
      </c>
      <c r="I683" s="85" t="s">
        <v>2712</v>
      </c>
      <c r="J683" s="29">
        <v>220</v>
      </c>
      <c r="K683" s="36">
        <v>41</v>
      </c>
      <c r="L683" s="25" t="str">
        <f t="shared" si="21"/>
        <v/>
      </c>
    </row>
    <row r="684" spans="1:12">
      <c r="A684" s="32" t="s">
        <v>2713</v>
      </c>
      <c r="B684" s="33">
        <v>108</v>
      </c>
      <c r="C684" s="33">
        <v>6</v>
      </c>
      <c r="D684" s="32" t="s">
        <v>2714</v>
      </c>
      <c r="E684" s="20"/>
      <c r="F684" s="34">
        <v>19.5</v>
      </c>
      <c r="G684" s="22">
        <f t="shared" si="20"/>
        <v>3.25</v>
      </c>
      <c r="H684" s="85" t="s">
        <v>2715</v>
      </c>
      <c r="I684" s="85" t="s">
        <v>2716</v>
      </c>
      <c r="J684" s="29">
        <v>160</v>
      </c>
      <c r="K684" s="36">
        <v>40</v>
      </c>
      <c r="L684" s="25" t="str">
        <f t="shared" si="21"/>
        <v/>
      </c>
    </row>
    <row r="685" spans="1:12">
      <c r="A685" s="32" t="s">
        <v>2717</v>
      </c>
      <c r="B685" s="33">
        <v>445</v>
      </c>
      <c r="C685" s="33">
        <v>6</v>
      </c>
      <c r="D685" s="32" t="s">
        <v>2718</v>
      </c>
      <c r="E685" s="20"/>
      <c r="F685" s="34">
        <v>18.8</v>
      </c>
      <c r="G685" s="22">
        <f t="shared" si="20"/>
        <v>3.13333333333333</v>
      </c>
      <c r="H685" s="85" t="s">
        <v>2719</v>
      </c>
      <c r="I685" s="85" t="s">
        <v>2720</v>
      </c>
      <c r="J685" s="29">
        <v>270</v>
      </c>
      <c r="K685" s="36">
        <v>54</v>
      </c>
      <c r="L685" s="25" t="str">
        <f t="shared" si="21"/>
        <v/>
      </c>
    </row>
    <row r="686" spans="1:12">
      <c r="A686" s="32" t="s">
        <v>2721</v>
      </c>
      <c r="B686" s="33">
        <v>196</v>
      </c>
      <c r="C686" s="33">
        <v>12</v>
      </c>
      <c r="D686" s="32" t="s">
        <v>2722</v>
      </c>
      <c r="E686" s="20"/>
      <c r="F686" s="34">
        <v>38.8</v>
      </c>
      <c r="G686" s="22">
        <f t="shared" si="20"/>
        <v>3.23333333333333</v>
      </c>
      <c r="H686" s="85" t="s">
        <v>2723</v>
      </c>
      <c r="I686" s="85" t="s">
        <v>2724</v>
      </c>
      <c r="J686" s="29">
        <v>140</v>
      </c>
      <c r="K686" s="36">
        <v>35</v>
      </c>
      <c r="L686" s="25" t="str">
        <f t="shared" si="21"/>
        <v/>
      </c>
    </row>
    <row r="687" spans="1:12">
      <c r="A687" s="32" t="s">
        <v>2725</v>
      </c>
      <c r="B687" s="33">
        <v>139</v>
      </c>
      <c r="C687" s="33">
        <v>12</v>
      </c>
      <c r="D687" s="32" t="s">
        <v>2726</v>
      </c>
      <c r="E687" s="20"/>
      <c r="F687" s="34">
        <v>38.8</v>
      </c>
      <c r="G687" s="22">
        <f t="shared" si="20"/>
        <v>3.23333333333333</v>
      </c>
      <c r="H687" s="85" t="s">
        <v>2727</v>
      </c>
      <c r="I687" s="85" t="s">
        <v>2728</v>
      </c>
      <c r="J687" s="29">
        <v>140</v>
      </c>
      <c r="K687" s="36">
        <v>35</v>
      </c>
      <c r="L687" s="25" t="str">
        <f t="shared" si="21"/>
        <v/>
      </c>
    </row>
    <row r="688" spans="1:12">
      <c r="A688" s="32" t="s">
        <v>2729</v>
      </c>
      <c r="B688" s="33">
        <v>196</v>
      </c>
      <c r="C688" s="33">
        <v>12</v>
      </c>
      <c r="D688" s="32" t="s">
        <v>2730</v>
      </c>
      <c r="E688" s="20"/>
      <c r="F688" s="34">
        <v>38.8</v>
      </c>
      <c r="G688" s="22">
        <f t="shared" si="20"/>
        <v>3.23333333333333</v>
      </c>
      <c r="H688" s="85" t="s">
        <v>2731</v>
      </c>
      <c r="I688" s="85" t="s">
        <v>2732</v>
      </c>
      <c r="J688" s="29">
        <v>140</v>
      </c>
      <c r="K688" s="36">
        <v>35</v>
      </c>
      <c r="L688" s="25" t="str">
        <f t="shared" si="21"/>
        <v/>
      </c>
    </row>
    <row r="689" spans="1:12">
      <c r="A689" s="32" t="s">
        <v>2733</v>
      </c>
      <c r="B689" s="33">
        <v>561</v>
      </c>
      <c r="C689" s="33">
        <v>6</v>
      </c>
      <c r="D689" s="32" t="s">
        <v>2734</v>
      </c>
      <c r="E689" s="20"/>
      <c r="F689" s="34">
        <v>16.25</v>
      </c>
      <c r="G689" s="22">
        <f t="shared" si="20"/>
        <v>2.70833333333333</v>
      </c>
      <c r="H689" s="85" t="s">
        <v>2735</v>
      </c>
      <c r="I689" s="85" t="s">
        <v>2736</v>
      </c>
      <c r="J689" s="29">
        <v>380</v>
      </c>
      <c r="K689" s="36">
        <v>76</v>
      </c>
      <c r="L689" s="25" t="str">
        <f t="shared" si="21"/>
        <v/>
      </c>
    </row>
    <row r="690" spans="1:12">
      <c r="A690" s="32" t="s">
        <v>2737</v>
      </c>
      <c r="B690" s="33">
        <v>372</v>
      </c>
      <c r="C690" s="33">
        <v>6</v>
      </c>
      <c r="D690" s="32" t="s">
        <v>2738</v>
      </c>
      <c r="E690" s="20"/>
      <c r="F690" s="34">
        <v>16.65</v>
      </c>
      <c r="G690" s="34">
        <f t="shared" si="20"/>
        <v>2.775</v>
      </c>
      <c r="H690" s="85" t="s">
        <v>2739</v>
      </c>
      <c r="I690" s="85" t="s">
        <v>2740</v>
      </c>
      <c r="J690" s="29">
        <v>222</v>
      </c>
      <c r="K690" s="36">
        <v>37</v>
      </c>
      <c r="L690" s="25" t="str">
        <f t="shared" si="21"/>
        <v/>
      </c>
    </row>
    <row r="691" spans="1:12">
      <c r="A691" s="32" t="s">
        <v>2741</v>
      </c>
      <c r="B691" s="33">
        <v>4</v>
      </c>
      <c r="C691" s="33">
        <v>6</v>
      </c>
      <c r="D691" s="32" t="s">
        <v>2742</v>
      </c>
      <c r="E691" s="20"/>
      <c r="F691" s="34">
        <v>19.6</v>
      </c>
      <c r="G691" s="34">
        <f t="shared" si="20"/>
        <v>3.26666666666667</v>
      </c>
      <c r="H691" s="85" t="s">
        <v>2743</v>
      </c>
      <c r="I691" s="85" t="s">
        <v>2744</v>
      </c>
      <c r="J691" s="29">
        <v>476</v>
      </c>
      <c r="K691" s="36">
        <v>68</v>
      </c>
      <c r="L691" s="25" t="str">
        <f t="shared" si="21"/>
        <v/>
      </c>
    </row>
    <row r="692" spans="1:12">
      <c r="A692" s="32" t="s">
        <v>2745</v>
      </c>
      <c r="B692" s="33">
        <v>808</v>
      </c>
      <c r="C692" s="33">
        <v>6</v>
      </c>
      <c r="D692" s="32" t="s">
        <v>2746</v>
      </c>
      <c r="E692" s="20"/>
      <c r="F692" s="34">
        <v>18.8</v>
      </c>
      <c r="G692" s="22">
        <f t="shared" si="20"/>
        <v>3.13333333333333</v>
      </c>
      <c r="H692" s="85" t="s">
        <v>2747</v>
      </c>
      <c r="I692" s="85" t="s">
        <v>2748</v>
      </c>
      <c r="J692" s="29">
        <v>608</v>
      </c>
      <c r="K692" s="36">
        <v>76</v>
      </c>
      <c r="L692" s="25" t="str">
        <f t="shared" si="21"/>
        <v/>
      </c>
    </row>
    <row r="693" spans="1:12">
      <c r="A693" s="32" t="s">
        <v>2749</v>
      </c>
      <c r="B693" s="33">
        <v>654</v>
      </c>
      <c r="C693" s="33">
        <v>6</v>
      </c>
      <c r="D693" s="32" t="s">
        <v>2750</v>
      </c>
      <c r="E693" s="20"/>
      <c r="F693" s="34">
        <v>18.8</v>
      </c>
      <c r="G693" s="22">
        <f t="shared" si="20"/>
        <v>3.13333333333333</v>
      </c>
      <c r="H693" s="85" t="s">
        <v>2751</v>
      </c>
      <c r="I693" s="85" t="s">
        <v>2752</v>
      </c>
      <c r="J693" s="29">
        <v>608</v>
      </c>
      <c r="K693" s="36">
        <v>76</v>
      </c>
      <c r="L693" s="25" t="str">
        <f t="shared" si="21"/>
        <v/>
      </c>
    </row>
    <row r="694" spans="1:12">
      <c r="A694" s="32" t="s">
        <v>2753</v>
      </c>
      <c r="B694" s="33">
        <v>602</v>
      </c>
      <c r="C694" s="33">
        <v>6</v>
      </c>
      <c r="D694" s="32" t="s">
        <v>2754</v>
      </c>
      <c r="E694" s="20"/>
      <c r="F694" s="34">
        <v>30.85</v>
      </c>
      <c r="G694" s="22">
        <f t="shared" si="20"/>
        <v>5.14166666666667</v>
      </c>
      <c r="H694" s="85" t="s">
        <v>2755</v>
      </c>
      <c r="I694" s="85" t="s">
        <v>2756</v>
      </c>
      <c r="J694" s="29">
        <v>350</v>
      </c>
      <c r="K694" s="36">
        <v>70</v>
      </c>
      <c r="L694" s="25" t="str">
        <f t="shared" si="21"/>
        <v/>
      </c>
    </row>
    <row r="695" spans="1:12">
      <c r="A695" s="32" t="s">
        <v>2757</v>
      </c>
      <c r="B695" s="33">
        <v>331</v>
      </c>
      <c r="C695" s="33">
        <v>6</v>
      </c>
      <c r="D695" s="32" t="s">
        <v>2758</v>
      </c>
      <c r="E695" s="20"/>
      <c r="F695" s="34">
        <v>30.85</v>
      </c>
      <c r="G695" s="22">
        <f t="shared" si="20"/>
        <v>5.14166666666667</v>
      </c>
      <c r="H695" s="85" t="s">
        <v>2759</v>
      </c>
      <c r="I695" s="85" t="s">
        <v>2760</v>
      </c>
      <c r="J695" s="29">
        <v>350</v>
      </c>
      <c r="K695" s="36">
        <v>70</v>
      </c>
      <c r="L695" s="25" t="str">
        <f t="shared" si="21"/>
        <v/>
      </c>
    </row>
    <row r="696" spans="1:12">
      <c r="A696" s="32" t="s">
        <v>2761</v>
      </c>
      <c r="B696" s="33">
        <v>187</v>
      </c>
      <c r="C696" s="33">
        <v>6</v>
      </c>
      <c r="D696" s="32" t="s">
        <v>2762</v>
      </c>
      <c r="E696" s="20"/>
      <c r="F696" s="34">
        <v>22.15</v>
      </c>
      <c r="G696" s="22">
        <f t="shared" si="20"/>
        <v>3.69166666666667</v>
      </c>
      <c r="H696" s="85" t="s">
        <v>2763</v>
      </c>
      <c r="I696" s="85" t="s">
        <v>2764</v>
      </c>
      <c r="J696" s="29">
        <v>315</v>
      </c>
      <c r="K696" s="36">
        <v>35</v>
      </c>
      <c r="L696" s="25" t="str">
        <f t="shared" si="21"/>
        <v/>
      </c>
    </row>
    <row r="697" spans="1:12">
      <c r="A697" s="32" t="s">
        <v>2765</v>
      </c>
      <c r="B697" s="33">
        <v>129</v>
      </c>
      <c r="C697" s="33">
        <v>6</v>
      </c>
      <c r="D697" s="32" t="s">
        <v>2766</v>
      </c>
      <c r="E697" s="20"/>
      <c r="F697" s="34">
        <v>24.4</v>
      </c>
      <c r="G697" s="22">
        <f t="shared" si="20"/>
        <v>4.06666666666667</v>
      </c>
      <c r="H697" s="85" t="s">
        <v>2767</v>
      </c>
      <c r="I697" s="85" t="s">
        <v>2768</v>
      </c>
      <c r="J697" s="29">
        <v>414</v>
      </c>
      <c r="K697" s="36">
        <v>69</v>
      </c>
      <c r="L697" s="25" t="str">
        <f t="shared" si="21"/>
        <v/>
      </c>
    </row>
    <row r="698" spans="1:12">
      <c r="A698" s="32" t="s">
        <v>2769</v>
      </c>
      <c r="B698" s="33">
        <v>497</v>
      </c>
      <c r="C698" s="33">
        <v>6</v>
      </c>
      <c r="D698" s="32" t="s">
        <v>2770</v>
      </c>
      <c r="E698" s="20"/>
      <c r="F698" s="34">
        <v>22.4</v>
      </c>
      <c r="G698" s="22">
        <f t="shared" si="20"/>
        <v>3.73333333333333</v>
      </c>
      <c r="H698" s="85" t="s">
        <v>2771</v>
      </c>
      <c r="I698" s="85" t="s">
        <v>2772</v>
      </c>
      <c r="J698" s="29">
        <v>315</v>
      </c>
      <c r="K698" s="36">
        <v>63</v>
      </c>
      <c r="L698" s="25" t="str">
        <f t="shared" si="21"/>
        <v/>
      </c>
    </row>
    <row r="699" spans="1:12">
      <c r="A699" s="32" t="s">
        <v>2773</v>
      </c>
      <c r="B699" s="33">
        <v>507</v>
      </c>
      <c r="C699" s="33">
        <v>6</v>
      </c>
      <c r="D699" s="32" t="s">
        <v>2774</v>
      </c>
      <c r="E699" s="20"/>
      <c r="F699" s="34">
        <v>12.95</v>
      </c>
      <c r="G699" s="22">
        <f t="shared" si="20"/>
        <v>2.15833333333333</v>
      </c>
      <c r="H699" s="85" t="s">
        <v>2775</v>
      </c>
      <c r="I699" s="85" t="s">
        <v>2776</v>
      </c>
      <c r="J699" s="29">
        <v>220</v>
      </c>
      <c r="K699" s="36">
        <v>44</v>
      </c>
      <c r="L699" s="25" t="str">
        <f t="shared" si="21"/>
        <v/>
      </c>
    </row>
    <row r="700" spans="1:12">
      <c r="A700" s="32" t="s">
        <v>2777</v>
      </c>
      <c r="B700" s="33">
        <v>96</v>
      </c>
      <c r="C700" s="33">
        <v>6</v>
      </c>
      <c r="D700" s="32" t="s">
        <v>2778</v>
      </c>
      <c r="E700" s="20"/>
      <c r="F700" s="34">
        <v>19.6</v>
      </c>
      <c r="G700" s="22">
        <f t="shared" si="20"/>
        <v>3.26666666666667</v>
      </c>
      <c r="H700" s="85" t="s">
        <v>2779</v>
      </c>
      <c r="I700" s="85" t="s">
        <v>2780</v>
      </c>
      <c r="J700" s="29">
        <v>160</v>
      </c>
      <c r="K700" s="36">
        <v>40</v>
      </c>
      <c r="L700" s="25" t="str">
        <f t="shared" si="21"/>
        <v/>
      </c>
    </row>
    <row r="701" spans="1:12">
      <c r="A701" s="32" t="s">
        <v>2781</v>
      </c>
      <c r="B701" s="33">
        <v>3</v>
      </c>
      <c r="C701" s="33">
        <v>6</v>
      </c>
      <c r="D701" s="32" t="s">
        <v>2782</v>
      </c>
      <c r="E701" s="20"/>
      <c r="F701" s="34">
        <v>16.6</v>
      </c>
      <c r="G701" s="22">
        <f t="shared" si="20"/>
        <v>2.76666666666667</v>
      </c>
      <c r="H701" s="85" t="s">
        <v>2783</v>
      </c>
      <c r="I701" s="85" t="s">
        <v>2784</v>
      </c>
      <c r="J701" s="29">
        <v>265</v>
      </c>
      <c r="K701" s="36">
        <v>53</v>
      </c>
      <c r="L701" s="25" t="str">
        <f t="shared" si="21"/>
        <v/>
      </c>
    </row>
    <row r="702" s="3" customFormat="1" spans="1:12">
      <c r="A702" s="62" t="s">
        <v>2785</v>
      </c>
      <c r="B702" s="63">
        <v>448</v>
      </c>
      <c r="C702" s="63">
        <v>12</v>
      </c>
      <c r="D702" s="62" t="s">
        <v>2786</v>
      </c>
      <c r="E702" s="64"/>
      <c r="F702" s="65">
        <v>20.95</v>
      </c>
      <c r="G702" s="66">
        <f t="shared" si="20"/>
        <v>1.74583333333333</v>
      </c>
      <c r="H702" s="96" t="s">
        <v>2787</v>
      </c>
      <c r="I702" s="96" t="s">
        <v>2788</v>
      </c>
      <c r="J702" s="68">
        <v>180</v>
      </c>
      <c r="K702" s="69">
        <v>30</v>
      </c>
      <c r="L702" s="70" t="str">
        <f t="shared" si="21"/>
        <v/>
      </c>
    </row>
    <row r="703" spans="1:12">
      <c r="A703" s="32" t="s">
        <v>2789</v>
      </c>
      <c r="B703" s="33">
        <v>354</v>
      </c>
      <c r="C703" s="33">
        <v>6</v>
      </c>
      <c r="D703" s="32" t="s">
        <v>2790</v>
      </c>
      <c r="E703" s="20"/>
      <c r="F703" s="34">
        <v>14.65</v>
      </c>
      <c r="G703" s="22">
        <f t="shared" ref="G703:G766" si="22">F703/C703</f>
        <v>2.44166666666667</v>
      </c>
      <c r="H703" s="85" t="s">
        <v>2791</v>
      </c>
      <c r="I703" s="85" t="s">
        <v>2792</v>
      </c>
      <c r="J703" s="29">
        <v>434</v>
      </c>
      <c r="K703" s="36">
        <v>62</v>
      </c>
      <c r="L703" s="25" t="str">
        <f t="shared" ref="L703:L766" si="23">IF(E703,E703*F703,"")</f>
        <v/>
      </c>
    </row>
    <row r="704" spans="1:12">
      <c r="A704" s="32" t="s">
        <v>2793</v>
      </c>
      <c r="B704" s="33">
        <v>148</v>
      </c>
      <c r="C704" s="33">
        <v>6</v>
      </c>
      <c r="D704" s="32" t="s">
        <v>2794</v>
      </c>
      <c r="E704" s="20"/>
      <c r="F704" s="34">
        <v>14.65</v>
      </c>
      <c r="G704" s="22">
        <f t="shared" si="22"/>
        <v>2.44166666666667</v>
      </c>
      <c r="H704" s="85" t="s">
        <v>2795</v>
      </c>
      <c r="I704" s="85" t="s">
        <v>2796</v>
      </c>
      <c r="J704" s="29">
        <v>434</v>
      </c>
      <c r="K704" s="36">
        <v>62</v>
      </c>
      <c r="L704" s="25" t="str">
        <f t="shared" si="23"/>
        <v/>
      </c>
    </row>
    <row r="705" spans="1:12">
      <c r="A705" s="32" t="s">
        <v>2797</v>
      </c>
      <c r="B705" s="33">
        <v>161</v>
      </c>
      <c r="C705" s="33">
        <v>6</v>
      </c>
      <c r="D705" s="32" t="s">
        <v>2798</v>
      </c>
      <c r="E705" s="20"/>
      <c r="F705" s="34">
        <v>21.5</v>
      </c>
      <c r="G705" s="22">
        <f t="shared" si="22"/>
        <v>3.58333333333333</v>
      </c>
      <c r="H705" s="85" t="s">
        <v>2799</v>
      </c>
      <c r="I705" s="85" t="s">
        <v>2800</v>
      </c>
      <c r="J705" s="29">
        <v>160</v>
      </c>
      <c r="K705" s="36">
        <v>40</v>
      </c>
      <c r="L705" s="25" t="str">
        <f t="shared" si="23"/>
        <v/>
      </c>
    </row>
    <row r="706" spans="1:12">
      <c r="A706" s="32" t="s">
        <v>2801</v>
      </c>
      <c r="B706" s="33">
        <v>219</v>
      </c>
      <c r="C706" s="33">
        <v>6</v>
      </c>
      <c r="D706" s="32" t="s">
        <v>2802</v>
      </c>
      <c r="E706" s="20"/>
      <c r="F706" s="34">
        <v>21.5</v>
      </c>
      <c r="G706" s="22">
        <f t="shared" si="22"/>
        <v>3.58333333333333</v>
      </c>
      <c r="H706" s="85" t="s">
        <v>2803</v>
      </c>
      <c r="I706" s="85" t="s">
        <v>2804</v>
      </c>
      <c r="J706" s="29">
        <v>160</v>
      </c>
      <c r="K706" s="36">
        <v>40</v>
      </c>
      <c r="L706" s="25" t="str">
        <f t="shared" si="23"/>
        <v/>
      </c>
    </row>
    <row r="707" spans="1:12">
      <c r="A707" s="32" t="s">
        <v>2805</v>
      </c>
      <c r="B707" s="33">
        <v>78</v>
      </c>
      <c r="C707" s="33">
        <v>6</v>
      </c>
      <c r="D707" s="32" t="s">
        <v>2806</v>
      </c>
      <c r="E707" s="20"/>
      <c r="F707" s="34">
        <v>28.4</v>
      </c>
      <c r="G707" s="22">
        <f t="shared" si="22"/>
        <v>4.73333333333333</v>
      </c>
      <c r="H707" s="85" t="s">
        <v>2807</v>
      </c>
      <c r="I707" s="85" t="s">
        <v>2808</v>
      </c>
      <c r="J707" s="29">
        <v>408</v>
      </c>
      <c r="K707" s="36">
        <v>34</v>
      </c>
      <c r="L707" s="25" t="str">
        <f t="shared" si="23"/>
        <v/>
      </c>
    </row>
    <row r="708" spans="1:12">
      <c r="A708" s="32" t="s">
        <v>2809</v>
      </c>
      <c r="B708" s="33">
        <v>263</v>
      </c>
      <c r="C708" s="33">
        <v>12</v>
      </c>
      <c r="D708" s="32" t="s">
        <v>2810</v>
      </c>
      <c r="E708" s="20"/>
      <c r="F708" s="34">
        <v>56.8</v>
      </c>
      <c r="G708" s="22">
        <f t="shared" si="22"/>
        <v>4.73333333333333</v>
      </c>
      <c r="H708" s="85" t="s">
        <v>2811</v>
      </c>
      <c r="I708" s="85" t="s">
        <v>2812</v>
      </c>
      <c r="J708" s="29">
        <v>238</v>
      </c>
      <c r="K708" s="36">
        <v>34</v>
      </c>
      <c r="L708" s="25" t="str">
        <f t="shared" si="23"/>
        <v/>
      </c>
    </row>
    <row r="709" spans="1:12">
      <c r="A709" s="32" t="s">
        <v>2813</v>
      </c>
      <c r="B709" s="33">
        <v>458</v>
      </c>
      <c r="C709" s="33">
        <v>6</v>
      </c>
      <c r="D709" s="32" t="s">
        <v>2814</v>
      </c>
      <c r="E709" s="20"/>
      <c r="F709" s="34">
        <v>28.4</v>
      </c>
      <c r="G709" s="22">
        <f t="shared" si="22"/>
        <v>4.73333333333333</v>
      </c>
      <c r="H709" s="85" t="s">
        <v>2815</v>
      </c>
      <c r="I709" s="85" t="s">
        <v>2816</v>
      </c>
      <c r="J709" s="29">
        <v>442</v>
      </c>
      <c r="K709" s="36">
        <v>34</v>
      </c>
      <c r="L709" s="25" t="str">
        <f t="shared" si="23"/>
        <v/>
      </c>
    </row>
    <row r="710" spans="1:12">
      <c r="A710" s="32" t="s">
        <v>2817</v>
      </c>
      <c r="B710" s="33">
        <v>90</v>
      </c>
      <c r="C710" s="33">
        <v>12</v>
      </c>
      <c r="D710" s="32" t="s">
        <v>2818</v>
      </c>
      <c r="E710" s="20"/>
      <c r="F710" s="34">
        <v>60.4</v>
      </c>
      <c r="G710" s="22">
        <f t="shared" si="22"/>
        <v>5.03333333333333</v>
      </c>
      <c r="H710" s="85" t="s">
        <v>2819</v>
      </c>
      <c r="I710" s="85" t="s">
        <v>2820</v>
      </c>
      <c r="J710" s="29">
        <v>150</v>
      </c>
      <c r="K710" s="36">
        <v>30</v>
      </c>
      <c r="L710" s="25" t="str">
        <f t="shared" si="23"/>
        <v/>
      </c>
    </row>
    <row r="711" spans="1:12">
      <c r="A711" s="32" t="s">
        <v>2821</v>
      </c>
      <c r="B711" s="33">
        <v>95</v>
      </c>
      <c r="C711" s="33">
        <v>12</v>
      </c>
      <c r="D711" s="32" t="s">
        <v>2822</v>
      </c>
      <c r="E711" s="20"/>
      <c r="F711" s="34">
        <v>37.4</v>
      </c>
      <c r="G711" s="22">
        <f t="shared" si="22"/>
        <v>3.11666666666667</v>
      </c>
      <c r="H711" s="85" t="s">
        <v>2823</v>
      </c>
      <c r="I711" s="85" t="s">
        <v>2824</v>
      </c>
      <c r="J711" s="29">
        <v>125</v>
      </c>
      <c r="K711" s="36">
        <v>25</v>
      </c>
      <c r="L711" s="25" t="str">
        <f t="shared" si="23"/>
        <v/>
      </c>
    </row>
    <row r="712" spans="1:12">
      <c r="A712" s="32" t="s">
        <v>2825</v>
      </c>
      <c r="B712" s="33">
        <v>6</v>
      </c>
      <c r="C712" s="33">
        <v>6</v>
      </c>
      <c r="D712" s="32" t="s">
        <v>2826</v>
      </c>
      <c r="E712" s="20"/>
      <c r="F712" s="34">
        <v>33.8</v>
      </c>
      <c r="G712" s="22">
        <f t="shared" si="22"/>
        <v>5.63333333333333</v>
      </c>
      <c r="H712" s="85" t="s">
        <v>2827</v>
      </c>
      <c r="I712" s="85" t="s">
        <v>2828</v>
      </c>
      <c r="J712" s="29">
        <v>408</v>
      </c>
      <c r="K712" s="36">
        <v>34</v>
      </c>
      <c r="L712" s="25" t="str">
        <f t="shared" si="23"/>
        <v/>
      </c>
    </row>
    <row r="713" spans="1:12">
      <c r="A713" s="32" t="s">
        <v>2829</v>
      </c>
      <c r="B713" s="33">
        <v>71</v>
      </c>
      <c r="C713" s="33">
        <v>6</v>
      </c>
      <c r="D713" s="32" t="s">
        <v>2830</v>
      </c>
      <c r="E713" s="20"/>
      <c r="F713" s="34">
        <v>22.4</v>
      </c>
      <c r="G713" s="22">
        <f t="shared" si="22"/>
        <v>3.73333333333333</v>
      </c>
      <c r="H713" s="85" t="s">
        <v>2831</v>
      </c>
      <c r="I713" s="85" t="s">
        <v>2832</v>
      </c>
      <c r="J713" s="29">
        <v>476</v>
      </c>
      <c r="K713" s="36">
        <v>68</v>
      </c>
      <c r="L713" s="25" t="str">
        <f t="shared" si="23"/>
        <v/>
      </c>
    </row>
    <row r="714" spans="1:12">
      <c r="A714" s="32" t="s">
        <v>2833</v>
      </c>
      <c r="B714" s="33">
        <v>492</v>
      </c>
      <c r="C714" s="33">
        <v>6</v>
      </c>
      <c r="D714" s="32" t="s">
        <v>2834</v>
      </c>
      <c r="E714" s="20"/>
      <c r="F714" s="34">
        <v>23.6</v>
      </c>
      <c r="G714" s="22">
        <f t="shared" si="22"/>
        <v>3.93333333333333</v>
      </c>
      <c r="H714" s="85" t="s">
        <v>2835</v>
      </c>
      <c r="I714" s="85" t="s">
        <v>2836</v>
      </c>
      <c r="J714" s="29">
        <v>532</v>
      </c>
      <c r="K714" s="36">
        <v>76</v>
      </c>
      <c r="L714" s="25" t="str">
        <f t="shared" si="23"/>
        <v/>
      </c>
    </row>
    <row r="715" spans="1:12">
      <c r="A715" s="32" t="s">
        <v>2837</v>
      </c>
      <c r="B715" s="33">
        <v>154</v>
      </c>
      <c r="C715" s="33">
        <v>6</v>
      </c>
      <c r="D715" s="32" t="s">
        <v>2838</v>
      </c>
      <c r="E715" s="20"/>
      <c r="F715" s="34">
        <v>21.25</v>
      </c>
      <c r="G715" s="22">
        <f t="shared" si="22"/>
        <v>3.54166666666667</v>
      </c>
      <c r="H715" s="85" t="s">
        <v>2839</v>
      </c>
      <c r="I715" s="85" t="s">
        <v>2840</v>
      </c>
      <c r="J715" s="29">
        <v>442</v>
      </c>
      <c r="K715" s="36">
        <v>34</v>
      </c>
      <c r="L715" s="25" t="str">
        <f t="shared" si="23"/>
        <v/>
      </c>
    </row>
    <row r="716" spans="1:12">
      <c r="A716" s="32" t="s">
        <v>2841</v>
      </c>
      <c r="B716" s="33">
        <v>276</v>
      </c>
      <c r="C716" s="33">
        <v>6</v>
      </c>
      <c r="D716" s="32" t="s">
        <v>2842</v>
      </c>
      <c r="E716" s="20"/>
      <c r="F716" s="34">
        <v>16.65</v>
      </c>
      <c r="G716" s="22">
        <f t="shared" si="22"/>
        <v>2.775</v>
      </c>
      <c r="H716" s="85" t="s">
        <v>2843</v>
      </c>
      <c r="I716" s="85" t="s">
        <v>2844</v>
      </c>
      <c r="J716" s="29">
        <v>372</v>
      </c>
      <c r="K716" s="36">
        <v>62</v>
      </c>
      <c r="L716" s="25" t="str">
        <f t="shared" si="23"/>
        <v/>
      </c>
    </row>
    <row r="717" spans="1:12">
      <c r="A717" s="32" t="s">
        <v>2845</v>
      </c>
      <c r="B717" s="33">
        <v>2324</v>
      </c>
      <c r="C717" s="33">
        <v>12</v>
      </c>
      <c r="D717" s="32" t="s">
        <v>2846</v>
      </c>
      <c r="E717" s="20"/>
      <c r="F717" s="34">
        <v>11.4</v>
      </c>
      <c r="G717" s="22">
        <f t="shared" si="22"/>
        <v>0.95</v>
      </c>
      <c r="H717" s="85" t="s">
        <v>2847</v>
      </c>
      <c r="I717" s="85" t="s">
        <v>2848</v>
      </c>
      <c r="J717" s="29">
        <v>168</v>
      </c>
      <c r="K717" s="36">
        <v>42</v>
      </c>
      <c r="L717" s="25" t="str">
        <f t="shared" si="23"/>
        <v/>
      </c>
    </row>
    <row r="718" spans="1:12">
      <c r="A718" s="32" t="s">
        <v>2849</v>
      </c>
      <c r="B718" s="33">
        <v>57</v>
      </c>
      <c r="C718" s="33">
        <v>12</v>
      </c>
      <c r="D718" s="32" t="s">
        <v>2850</v>
      </c>
      <c r="E718" s="20"/>
      <c r="F718" s="34">
        <v>6.96</v>
      </c>
      <c r="G718" s="22">
        <f t="shared" si="22"/>
        <v>0.58</v>
      </c>
      <c r="H718" s="85" t="s">
        <v>2851</v>
      </c>
      <c r="I718" s="85" t="s">
        <v>2852</v>
      </c>
      <c r="J718" s="29">
        <v>150</v>
      </c>
      <c r="K718" s="36">
        <v>30</v>
      </c>
      <c r="L718" s="25" t="str">
        <f t="shared" si="23"/>
        <v/>
      </c>
    </row>
    <row r="719" spans="1:12">
      <c r="A719" s="32" t="s">
        <v>2853</v>
      </c>
      <c r="B719" s="33">
        <v>114</v>
      </c>
      <c r="C719" s="33">
        <v>12</v>
      </c>
      <c r="D719" s="32" t="s">
        <v>2854</v>
      </c>
      <c r="E719" s="20"/>
      <c r="F719" s="37">
        <v>7.99</v>
      </c>
      <c r="G719" s="38">
        <f t="shared" si="22"/>
        <v>0.665833333333333</v>
      </c>
      <c r="H719" s="85" t="s">
        <v>2855</v>
      </c>
      <c r="I719" s="85" t="s">
        <v>2856</v>
      </c>
      <c r="J719" s="29">
        <v>150</v>
      </c>
      <c r="K719" s="36">
        <v>30</v>
      </c>
      <c r="L719" s="25" t="str">
        <f t="shared" si="23"/>
        <v/>
      </c>
    </row>
    <row r="720" spans="1:12">
      <c r="A720" s="32" t="s">
        <v>2857</v>
      </c>
      <c r="B720" s="33">
        <v>115</v>
      </c>
      <c r="C720" s="33">
        <v>12</v>
      </c>
      <c r="D720" s="32" t="s">
        <v>2858</v>
      </c>
      <c r="E720" s="29"/>
      <c r="F720" s="37">
        <v>7.99</v>
      </c>
      <c r="G720" s="38">
        <f t="shared" si="22"/>
        <v>0.665833333333333</v>
      </c>
      <c r="H720" s="85" t="s">
        <v>2859</v>
      </c>
      <c r="I720" s="85" t="s">
        <v>2860</v>
      </c>
      <c r="J720" s="29">
        <v>150</v>
      </c>
      <c r="K720" s="36">
        <v>30</v>
      </c>
      <c r="L720" s="25" t="str">
        <f t="shared" si="23"/>
        <v/>
      </c>
    </row>
    <row r="721" spans="1:12">
      <c r="A721" s="32" t="s">
        <v>2861</v>
      </c>
      <c r="B721" s="33">
        <v>76</v>
      </c>
      <c r="C721" s="33">
        <v>12</v>
      </c>
      <c r="D721" s="32" t="s">
        <v>2862</v>
      </c>
      <c r="E721" s="29"/>
      <c r="F721" s="37">
        <v>13.8</v>
      </c>
      <c r="G721" s="38">
        <f t="shared" si="22"/>
        <v>1.15</v>
      </c>
      <c r="H721" s="85" t="s">
        <v>2863</v>
      </c>
      <c r="I721" s="85" t="s">
        <v>2864</v>
      </c>
      <c r="J721" s="29">
        <v>80</v>
      </c>
      <c r="K721" s="36">
        <v>20</v>
      </c>
      <c r="L721" s="25" t="str">
        <f t="shared" si="23"/>
        <v/>
      </c>
    </row>
    <row r="722" spans="1:12">
      <c r="A722" s="32" t="s">
        <v>2865</v>
      </c>
      <c r="B722" s="33">
        <v>34</v>
      </c>
      <c r="C722" s="33">
        <v>12</v>
      </c>
      <c r="D722" s="32" t="s">
        <v>2866</v>
      </c>
      <c r="E722" s="29"/>
      <c r="F722" s="37">
        <v>13.8</v>
      </c>
      <c r="G722" s="38">
        <f t="shared" si="22"/>
        <v>1.15</v>
      </c>
      <c r="H722" s="85" t="s">
        <v>2867</v>
      </c>
      <c r="I722" s="85" t="s">
        <v>2868</v>
      </c>
      <c r="J722" s="29">
        <v>80</v>
      </c>
      <c r="K722" s="36">
        <v>20</v>
      </c>
      <c r="L722" s="25" t="str">
        <f t="shared" si="23"/>
        <v/>
      </c>
    </row>
    <row r="723" spans="1:12">
      <c r="A723" s="32" t="s">
        <v>2869</v>
      </c>
      <c r="B723" s="33">
        <v>34</v>
      </c>
      <c r="C723" s="33">
        <v>12</v>
      </c>
      <c r="D723" s="32" t="s">
        <v>2870</v>
      </c>
      <c r="E723" s="29"/>
      <c r="F723" s="37">
        <v>13.8</v>
      </c>
      <c r="G723" s="38">
        <f t="shared" si="22"/>
        <v>1.15</v>
      </c>
      <c r="H723" s="85" t="s">
        <v>2871</v>
      </c>
      <c r="I723" s="85" t="s">
        <v>2872</v>
      </c>
      <c r="J723" s="29">
        <v>80</v>
      </c>
      <c r="K723" s="36">
        <v>20</v>
      </c>
      <c r="L723" s="25" t="str">
        <f t="shared" si="23"/>
        <v/>
      </c>
    </row>
    <row r="724" spans="1:12">
      <c r="A724" s="32" t="s">
        <v>2873</v>
      </c>
      <c r="B724" s="33">
        <v>44</v>
      </c>
      <c r="C724" s="33">
        <v>12</v>
      </c>
      <c r="D724" s="32" t="s">
        <v>2874</v>
      </c>
      <c r="E724" s="29"/>
      <c r="F724" s="34">
        <v>13.5</v>
      </c>
      <c r="G724" s="22">
        <f t="shared" si="22"/>
        <v>1.125</v>
      </c>
      <c r="H724" s="85" t="s">
        <v>2875</v>
      </c>
      <c r="I724" s="85" t="s">
        <v>2876</v>
      </c>
      <c r="J724" s="29">
        <v>80</v>
      </c>
      <c r="K724" s="36">
        <v>20</v>
      </c>
      <c r="L724" s="25" t="str">
        <f t="shared" si="23"/>
        <v/>
      </c>
    </row>
    <row r="725" spans="1:12">
      <c r="A725" s="32" t="s">
        <v>2877</v>
      </c>
      <c r="B725" s="33">
        <v>38</v>
      </c>
      <c r="C725" s="33">
        <v>12</v>
      </c>
      <c r="D725" s="32" t="s">
        <v>2878</v>
      </c>
      <c r="E725" s="29"/>
      <c r="F725" s="34">
        <v>13.5</v>
      </c>
      <c r="G725" s="22">
        <f t="shared" si="22"/>
        <v>1.125</v>
      </c>
      <c r="H725" s="85" t="s">
        <v>2879</v>
      </c>
      <c r="I725" s="85" t="s">
        <v>2880</v>
      </c>
      <c r="J725" s="29">
        <v>80</v>
      </c>
      <c r="K725" s="36">
        <v>20</v>
      </c>
      <c r="L725" s="25" t="str">
        <f t="shared" si="23"/>
        <v/>
      </c>
    </row>
    <row r="726" spans="1:12">
      <c r="A726" s="32" t="s">
        <v>2881</v>
      </c>
      <c r="B726" s="33">
        <v>86</v>
      </c>
      <c r="C726" s="33">
        <v>12</v>
      </c>
      <c r="D726" s="32" t="s">
        <v>2882</v>
      </c>
      <c r="E726" s="29"/>
      <c r="F726" s="34">
        <v>12.8</v>
      </c>
      <c r="G726" s="22">
        <f t="shared" si="22"/>
        <v>1.06666666666667</v>
      </c>
      <c r="H726" s="85" t="s">
        <v>2883</v>
      </c>
      <c r="I726" s="85" t="s">
        <v>2884</v>
      </c>
      <c r="J726" s="29">
        <v>80</v>
      </c>
      <c r="K726" s="36">
        <v>20</v>
      </c>
      <c r="L726" s="25" t="str">
        <f t="shared" si="23"/>
        <v/>
      </c>
    </row>
    <row r="727" spans="1:12">
      <c r="A727" s="32" t="s">
        <v>2885</v>
      </c>
      <c r="B727" s="33">
        <v>66</v>
      </c>
      <c r="C727" s="33">
        <v>12</v>
      </c>
      <c r="D727" s="32" t="s">
        <v>2886</v>
      </c>
      <c r="E727" s="29"/>
      <c r="F727" s="34">
        <v>12.8</v>
      </c>
      <c r="G727" s="22">
        <f t="shared" si="22"/>
        <v>1.06666666666667</v>
      </c>
      <c r="H727" s="85" t="s">
        <v>2887</v>
      </c>
      <c r="I727" s="85" t="s">
        <v>2888</v>
      </c>
      <c r="J727" s="29">
        <v>80</v>
      </c>
      <c r="K727" s="36">
        <v>20</v>
      </c>
      <c r="L727" s="25" t="str">
        <f t="shared" si="23"/>
        <v/>
      </c>
    </row>
    <row r="728" spans="1:12">
      <c r="A728" s="32" t="s">
        <v>2889</v>
      </c>
      <c r="B728" s="33">
        <v>92</v>
      </c>
      <c r="C728" s="33">
        <v>12</v>
      </c>
      <c r="D728" s="32" t="s">
        <v>2890</v>
      </c>
      <c r="E728" s="29"/>
      <c r="F728" s="34">
        <v>12.8</v>
      </c>
      <c r="G728" s="22">
        <f t="shared" si="22"/>
        <v>1.06666666666667</v>
      </c>
      <c r="H728" s="85" t="s">
        <v>2891</v>
      </c>
      <c r="I728" s="85" t="s">
        <v>2892</v>
      </c>
      <c r="J728" s="29">
        <v>80</v>
      </c>
      <c r="K728" s="36">
        <v>20</v>
      </c>
      <c r="L728" s="25" t="str">
        <f t="shared" si="23"/>
        <v/>
      </c>
    </row>
    <row r="729" spans="1:12">
      <c r="A729" s="32" t="s">
        <v>2893</v>
      </c>
      <c r="B729" s="33">
        <v>64</v>
      </c>
      <c r="C729" s="33">
        <v>12</v>
      </c>
      <c r="D729" s="32" t="s">
        <v>2894</v>
      </c>
      <c r="E729" s="20"/>
      <c r="F729" s="34">
        <v>15.6</v>
      </c>
      <c r="G729" s="22">
        <f t="shared" si="22"/>
        <v>1.3</v>
      </c>
      <c r="H729" s="85" t="s">
        <v>2895</v>
      </c>
      <c r="I729" s="85" t="s">
        <v>2896</v>
      </c>
      <c r="J729" s="29">
        <v>90</v>
      </c>
      <c r="K729" s="36">
        <v>15</v>
      </c>
      <c r="L729" s="25" t="str">
        <f t="shared" si="23"/>
        <v/>
      </c>
    </row>
    <row r="730" spans="1:12">
      <c r="A730" s="41" t="s">
        <v>2897</v>
      </c>
      <c r="B730" s="31">
        <v>451</v>
      </c>
      <c r="C730" s="30">
        <v>12</v>
      </c>
      <c r="D730" s="41" t="s">
        <v>2898</v>
      </c>
      <c r="E730" s="20"/>
      <c r="F730" s="43">
        <v>10.5</v>
      </c>
      <c r="G730" s="38">
        <f t="shared" si="22"/>
        <v>0.875</v>
      </c>
      <c r="H730" s="85" t="s">
        <v>2899</v>
      </c>
      <c r="I730" s="87" t="s">
        <v>2900</v>
      </c>
      <c r="J730" s="31">
        <v>150</v>
      </c>
      <c r="K730" s="36">
        <v>15</v>
      </c>
      <c r="L730" s="25" t="str">
        <f t="shared" si="23"/>
        <v/>
      </c>
    </row>
    <row r="731" spans="1:12">
      <c r="A731" s="41" t="s">
        <v>2901</v>
      </c>
      <c r="B731" s="31">
        <v>37</v>
      </c>
      <c r="C731" s="30">
        <v>18</v>
      </c>
      <c r="D731" s="41" t="s">
        <v>2902</v>
      </c>
      <c r="E731" s="20"/>
      <c r="F731" s="48">
        <v>23.4</v>
      </c>
      <c r="G731" s="22">
        <f t="shared" si="22"/>
        <v>1.3</v>
      </c>
      <c r="H731" s="85" t="s">
        <v>2903</v>
      </c>
      <c r="I731" s="87" t="s">
        <v>2904</v>
      </c>
      <c r="J731" s="31">
        <v>75</v>
      </c>
      <c r="K731" s="36">
        <v>15</v>
      </c>
      <c r="L731" s="25" t="str">
        <f t="shared" si="23"/>
        <v/>
      </c>
    </row>
    <row r="732" spans="1:12">
      <c r="A732" s="41" t="s">
        <v>2905</v>
      </c>
      <c r="B732" s="31">
        <v>32</v>
      </c>
      <c r="C732" s="30">
        <v>18</v>
      </c>
      <c r="D732" s="41" t="s">
        <v>2906</v>
      </c>
      <c r="E732" s="20"/>
      <c r="F732" s="48">
        <v>23.4</v>
      </c>
      <c r="G732" s="22">
        <f t="shared" si="22"/>
        <v>1.3</v>
      </c>
      <c r="H732" s="85" t="s">
        <v>2907</v>
      </c>
      <c r="I732" s="87" t="s">
        <v>2908</v>
      </c>
      <c r="J732" s="31">
        <v>75</v>
      </c>
      <c r="K732" s="36">
        <v>15</v>
      </c>
      <c r="L732" s="25" t="str">
        <f t="shared" si="23"/>
        <v/>
      </c>
    </row>
    <row r="733" spans="1:12">
      <c r="A733" s="41" t="s">
        <v>2909</v>
      </c>
      <c r="B733" s="31">
        <v>97</v>
      </c>
      <c r="C733" s="30">
        <v>6</v>
      </c>
      <c r="D733" s="41" t="s">
        <v>2910</v>
      </c>
      <c r="E733" s="20"/>
      <c r="F733" s="48">
        <v>3.78</v>
      </c>
      <c r="G733" s="22">
        <f t="shared" si="22"/>
        <v>0.63</v>
      </c>
      <c r="H733" s="85" t="s">
        <v>2911</v>
      </c>
      <c r="I733" s="87" t="s">
        <v>2912</v>
      </c>
      <c r="J733" s="31">
        <v>200</v>
      </c>
      <c r="K733" s="36">
        <v>40</v>
      </c>
      <c r="L733" s="25" t="str">
        <f t="shared" si="23"/>
        <v/>
      </c>
    </row>
    <row r="734" spans="1:12">
      <c r="A734" s="41" t="s">
        <v>2913</v>
      </c>
      <c r="B734" s="31">
        <v>1</v>
      </c>
      <c r="C734" s="30">
        <v>6</v>
      </c>
      <c r="D734" s="41" t="s">
        <v>2914</v>
      </c>
      <c r="E734" s="20"/>
      <c r="F734" s="48">
        <v>3.78</v>
      </c>
      <c r="G734" s="22">
        <f t="shared" si="22"/>
        <v>0.63</v>
      </c>
      <c r="H734" s="85" t="s">
        <v>2915</v>
      </c>
      <c r="I734" s="87" t="s">
        <v>2916</v>
      </c>
      <c r="J734" s="31">
        <v>200</v>
      </c>
      <c r="K734" s="36">
        <v>40</v>
      </c>
      <c r="L734" s="25" t="str">
        <f t="shared" si="23"/>
        <v/>
      </c>
    </row>
    <row r="735" spans="1:12">
      <c r="A735" s="32" t="s">
        <v>2917</v>
      </c>
      <c r="B735" s="33">
        <v>37</v>
      </c>
      <c r="C735" s="33">
        <v>6</v>
      </c>
      <c r="D735" s="32" t="s">
        <v>2918</v>
      </c>
      <c r="E735" s="20"/>
      <c r="F735" s="37">
        <v>8.28</v>
      </c>
      <c r="G735" s="38">
        <f t="shared" si="22"/>
        <v>1.38</v>
      </c>
      <c r="H735" s="85" t="s">
        <v>2919</v>
      </c>
      <c r="I735" s="85" t="s">
        <v>2920</v>
      </c>
      <c r="J735" s="29">
        <v>258</v>
      </c>
      <c r="K735" s="30">
        <v>86</v>
      </c>
      <c r="L735" s="25" t="str">
        <f t="shared" si="23"/>
        <v/>
      </c>
    </row>
    <row r="736" spans="1:12">
      <c r="A736" s="32" t="s">
        <v>2921</v>
      </c>
      <c r="B736" s="33">
        <v>49</v>
      </c>
      <c r="C736" s="33">
        <v>6</v>
      </c>
      <c r="D736" s="32" t="s">
        <v>2922</v>
      </c>
      <c r="E736" s="20"/>
      <c r="F736" s="37">
        <v>8.28</v>
      </c>
      <c r="G736" s="38">
        <f t="shared" si="22"/>
        <v>1.38</v>
      </c>
      <c r="H736" s="85" t="s">
        <v>2923</v>
      </c>
      <c r="I736" s="85" t="s">
        <v>2924</v>
      </c>
      <c r="J736" s="29">
        <v>258</v>
      </c>
      <c r="K736" s="30">
        <v>86</v>
      </c>
      <c r="L736" s="25" t="str">
        <f t="shared" si="23"/>
        <v/>
      </c>
    </row>
    <row r="737" spans="1:12">
      <c r="A737" s="32" t="s">
        <v>2925</v>
      </c>
      <c r="B737" s="33">
        <v>0</v>
      </c>
      <c r="C737" s="33">
        <v>6</v>
      </c>
      <c r="D737" s="32" t="s">
        <v>2926</v>
      </c>
      <c r="E737" s="20"/>
      <c r="F737" s="34">
        <v>9.9</v>
      </c>
      <c r="G737" s="22">
        <f t="shared" si="22"/>
        <v>1.65</v>
      </c>
      <c r="H737" s="85" t="s">
        <v>2927</v>
      </c>
      <c r="I737" s="85" t="s">
        <v>2928</v>
      </c>
      <c r="J737" s="29">
        <v>216</v>
      </c>
      <c r="K737" s="30">
        <v>72</v>
      </c>
      <c r="L737" s="25" t="str">
        <f t="shared" si="23"/>
        <v/>
      </c>
    </row>
    <row r="738" spans="1:12">
      <c r="A738" s="32" t="s">
        <v>2929</v>
      </c>
      <c r="B738" s="33">
        <v>103</v>
      </c>
      <c r="C738" s="33">
        <v>6</v>
      </c>
      <c r="D738" s="32" t="s">
        <v>2930</v>
      </c>
      <c r="E738" s="20"/>
      <c r="F738" s="34">
        <v>9.9</v>
      </c>
      <c r="G738" s="22">
        <f t="shared" si="22"/>
        <v>1.65</v>
      </c>
      <c r="H738" s="85" t="s">
        <v>2931</v>
      </c>
      <c r="I738" s="85" t="s">
        <v>2932</v>
      </c>
      <c r="J738" s="29">
        <v>216</v>
      </c>
      <c r="K738" s="30">
        <v>72</v>
      </c>
      <c r="L738" s="25" t="str">
        <f t="shared" si="23"/>
        <v/>
      </c>
    </row>
    <row r="739" spans="1:12">
      <c r="A739" s="32" t="s">
        <v>2933</v>
      </c>
      <c r="B739" s="33">
        <v>177</v>
      </c>
      <c r="C739" s="33">
        <v>6</v>
      </c>
      <c r="D739" s="32" t="s">
        <v>2934</v>
      </c>
      <c r="E739" s="20"/>
      <c r="F739" s="34">
        <v>9.9</v>
      </c>
      <c r="G739" s="22">
        <f t="shared" si="22"/>
        <v>1.65</v>
      </c>
      <c r="H739" s="85" t="s">
        <v>2935</v>
      </c>
      <c r="I739" s="85" t="s">
        <v>2936</v>
      </c>
      <c r="J739" s="29">
        <v>216</v>
      </c>
      <c r="K739" s="30">
        <v>72</v>
      </c>
      <c r="L739" s="25" t="str">
        <f t="shared" si="23"/>
        <v/>
      </c>
    </row>
    <row r="740" spans="1:12">
      <c r="A740" s="32" t="s">
        <v>2937</v>
      </c>
      <c r="B740" s="33">
        <v>104</v>
      </c>
      <c r="C740" s="33">
        <v>6</v>
      </c>
      <c r="D740" s="32" t="s">
        <v>2938</v>
      </c>
      <c r="E740" s="20"/>
      <c r="F740" s="34">
        <v>9.9</v>
      </c>
      <c r="G740" s="22">
        <f t="shared" si="22"/>
        <v>1.65</v>
      </c>
      <c r="H740" s="85" t="s">
        <v>2939</v>
      </c>
      <c r="I740" s="85" t="s">
        <v>2940</v>
      </c>
      <c r="J740" s="29">
        <v>216</v>
      </c>
      <c r="K740" s="30">
        <v>72</v>
      </c>
      <c r="L740" s="25" t="str">
        <f t="shared" si="23"/>
        <v/>
      </c>
    </row>
    <row r="741" spans="1:12">
      <c r="A741" s="32" t="s">
        <v>2941</v>
      </c>
      <c r="B741" s="33">
        <v>91</v>
      </c>
      <c r="C741" s="33">
        <v>6</v>
      </c>
      <c r="D741" s="32" t="s">
        <v>2942</v>
      </c>
      <c r="E741" s="20"/>
      <c r="F741" s="34">
        <v>9.9</v>
      </c>
      <c r="G741" s="22">
        <f t="shared" si="22"/>
        <v>1.65</v>
      </c>
      <c r="H741" s="85" t="s">
        <v>2943</v>
      </c>
      <c r="I741" s="85" t="s">
        <v>2944</v>
      </c>
      <c r="J741" s="29">
        <v>216</v>
      </c>
      <c r="K741" s="30">
        <v>72</v>
      </c>
      <c r="L741" s="25" t="str">
        <f t="shared" si="23"/>
        <v/>
      </c>
    </row>
    <row r="742" spans="1:12">
      <c r="A742" s="32" t="s">
        <v>2945</v>
      </c>
      <c r="B742" s="33">
        <v>13</v>
      </c>
      <c r="C742" s="33">
        <v>6</v>
      </c>
      <c r="D742" s="32" t="s">
        <v>2946</v>
      </c>
      <c r="E742" s="20"/>
      <c r="F742" s="34">
        <v>13.8</v>
      </c>
      <c r="G742" s="22">
        <f t="shared" si="22"/>
        <v>2.3</v>
      </c>
      <c r="H742" s="85" t="s">
        <v>2947</v>
      </c>
      <c r="I742" s="85" t="s">
        <v>2948</v>
      </c>
      <c r="J742" s="29">
        <v>144</v>
      </c>
      <c r="K742" s="36">
        <v>48</v>
      </c>
      <c r="L742" s="25" t="str">
        <f t="shared" si="23"/>
        <v/>
      </c>
    </row>
    <row r="743" spans="1:12">
      <c r="A743" s="32" t="s">
        <v>2949</v>
      </c>
      <c r="B743" s="33">
        <v>52</v>
      </c>
      <c r="C743" s="33">
        <v>6</v>
      </c>
      <c r="D743" s="32" t="s">
        <v>2950</v>
      </c>
      <c r="E743" s="20"/>
      <c r="F743" s="37">
        <v>13.8</v>
      </c>
      <c r="G743" s="38">
        <f t="shared" si="22"/>
        <v>2.3</v>
      </c>
      <c r="H743" s="85" t="s">
        <v>2951</v>
      </c>
      <c r="I743" s="85" t="s">
        <v>2952</v>
      </c>
      <c r="J743" s="29">
        <v>144</v>
      </c>
      <c r="K743" s="36">
        <v>48</v>
      </c>
      <c r="L743" s="25" t="str">
        <f t="shared" si="23"/>
        <v/>
      </c>
    </row>
    <row r="744" spans="1:12">
      <c r="A744" s="32" t="s">
        <v>2953</v>
      </c>
      <c r="B744" s="33">
        <v>0</v>
      </c>
      <c r="C744" s="33">
        <v>6</v>
      </c>
      <c r="D744" s="32" t="s">
        <v>2954</v>
      </c>
      <c r="E744" s="20"/>
      <c r="F744" s="37">
        <v>13.8</v>
      </c>
      <c r="G744" s="38">
        <f t="shared" si="22"/>
        <v>2.3</v>
      </c>
      <c r="H744" s="85" t="s">
        <v>2955</v>
      </c>
      <c r="I744" s="85" t="s">
        <v>2956</v>
      </c>
      <c r="J744" s="29">
        <v>144</v>
      </c>
      <c r="K744" s="36">
        <v>48</v>
      </c>
      <c r="L744" s="25" t="str">
        <f t="shared" si="23"/>
        <v/>
      </c>
    </row>
    <row r="745" spans="1:12">
      <c r="A745" s="32" t="s">
        <v>2957</v>
      </c>
      <c r="B745" s="33">
        <v>48</v>
      </c>
      <c r="C745" s="33">
        <v>12</v>
      </c>
      <c r="D745" s="32" t="s">
        <v>2958</v>
      </c>
      <c r="E745" s="20"/>
      <c r="F745" s="34">
        <v>8.95</v>
      </c>
      <c r="G745" s="22">
        <f t="shared" si="22"/>
        <v>0.745833333333333</v>
      </c>
      <c r="H745" s="85" t="s">
        <v>2959</v>
      </c>
      <c r="I745" s="85" t="s">
        <v>2960</v>
      </c>
      <c r="J745" s="29">
        <v>100</v>
      </c>
      <c r="K745" s="36">
        <v>20</v>
      </c>
      <c r="L745" s="25" t="str">
        <f t="shared" si="23"/>
        <v/>
      </c>
    </row>
    <row r="746" spans="1:12">
      <c r="A746" s="32" t="s">
        <v>2961</v>
      </c>
      <c r="B746" s="33">
        <v>55</v>
      </c>
      <c r="C746" s="33">
        <v>12</v>
      </c>
      <c r="D746" s="32" t="s">
        <v>2962</v>
      </c>
      <c r="E746" s="20"/>
      <c r="F746" s="34">
        <v>8.95</v>
      </c>
      <c r="G746" s="22">
        <f t="shared" si="22"/>
        <v>0.745833333333333</v>
      </c>
      <c r="H746" s="85" t="s">
        <v>2963</v>
      </c>
      <c r="I746" s="85" t="s">
        <v>2964</v>
      </c>
      <c r="J746" s="29">
        <v>100</v>
      </c>
      <c r="K746" s="36">
        <v>20</v>
      </c>
      <c r="L746" s="25" t="str">
        <f t="shared" si="23"/>
        <v/>
      </c>
    </row>
    <row r="747" spans="1:12">
      <c r="A747" s="32" t="s">
        <v>2965</v>
      </c>
      <c r="B747" s="33">
        <v>791</v>
      </c>
      <c r="C747" s="33">
        <v>12</v>
      </c>
      <c r="D747" s="32" t="s">
        <v>2966</v>
      </c>
      <c r="E747" s="20"/>
      <c r="F747" s="34">
        <v>5.7</v>
      </c>
      <c r="G747" s="22">
        <f t="shared" si="22"/>
        <v>0.475</v>
      </c>
      <c r="H747" s="85" t="s">
        <v>2967</v>
      </c>
      <c r="I747" s="85" t="s">
        <v>2968</v>
      </c>
      <c r="J747" s="29">
        <v>544</v>
      </c>
      <c r="K747" s="36">
        <v>68</v>
      </c>
      <c r="L747" s="25" t="str">
        <f t="shared" si="23"/>
        <v/>
      </c>
    </row>
    <row r="748" spans="1:12">
      <c r="A748" s="32" t="s">
        <v>2969</v>
      </c>
      <c r="B748" s="33">
        <v>1316</v>
      </c>
      <c r="C748" s="33">
        <v>12</v>
      </c>
      <c r="D748" s="32" t="s">
        <v>2970</v>
      </c>
      <c r="E748" s="29"/>
      <c r="F748" s="34">
        <v>9.25</v>
      </c>
      <c r="G748" s="22">
        <f t="shared" si="22"/>
        <v>0.770833333333333</v>
      </c>
      <c r="H748" s="85" t="s">
        <v>2971</v>
      </c>
      <c r="I748" s="85" t="s">
        <v>2972</v>
      </c>
      <c r="J748" s="29">
        <v>432</v>
      </c>
      <c r="K748" s="36">
        <v>72</v>
      </c>
      <c r="L748" s="25" t="str">
        <f t="shared" si="23"/>
        <v/>
      </c>
    </row>
    <row r="749" spans="1:12">
      <c r="A749" s="32" t="s">
        <v>2973</v>
      </c>
      <c r="B749" s="33">
        <v>58</v>
      </c>
      <c r="C749" s="33">
        <v>12</v>
      </c>
      <c r="D749" s="32" t="s">
        <v>2974</v>
      </c>
      <c r="E749" s="29"/>
      <c r="F749" s="37">
        <v>6.3</v>
      </c>
      <c r="G749" s="38">
        <f t="shared" si="22"/>
        <v>0.525</v>
      </c>
      <c r="H749" s="85" t="s">
        <v>2975</v>
      </c>
      <c r="I749" s="85" t="s">
        <v>2976</v>
      </c>
      <c r="J749" s="29">
        <v>544</v>
      </c>
      <c r="K749" s="30">
        <v>68</v>
      </c>
      <c r="L749" s="25" t="str">
        <f t="shared" si="23"/>
        <v/>
      </c>
    </row>
    <row r="750" spans="1:12">
      <c r="A750" s="32" t="s">
        <v>2977</v>
      </c>
      <c r="B750" s="33">
        <v>893</v>
      </c>
      <c r="C750" s="33">
        <v>12</v>
      </c>
      <c r="D750" s="32" t="s">
        <v>2978</v>
      </c>
      <c r="E750" s="20"/>
      <c r="F750" s="34">
        <v>9.25</v>
      </c>
      <c r="G750" s="22">
        <f t="shared" si="22"/>
        <v>0.770833333333333</v>
      </c>
      <c r="H750" s="85" t="s">
        <v>2979</v>
      </c>
      <c r="I750" s="85" t="s">
        <v>2980</v>
      </c>
      <c r="J750" s="29">
        <v>432</v>
      </c>
      <c r="K750" s="36">
        <v>72</v>
      </c>
      <c r="L750" s="25" t="str">
        <f t="shared" si="23"/>
        <v/>
      </c>
    </row>
    <row r="751" spans="1:12">
      <c r="A751" s="32" t="s">
        <v>2981</v>
      </c>
      <c r="B751" s="33">
        <v>1114</v>
      </c>
      <c r="C751" s="33">
        <v>12</v>
      </c>
      <c r="D751" s="32" t="s">
        <v>2982</v>
      </c>
      <c r="E751" s="20"/>
      <c r="F751" s="34">
        <v>9.25</v>
      </c>
      <c r="G751" s="22">
        <f t="shared" si="22"/>
        <v>0.770833333333333</v>
      </c>
      <c r="H751" s="85" t="s">
        <v>2983</v>
      </c>
      <c r="I751" s="85" t="s">
        <v>2984</v>
      </c>
      <c r="J751" s="29">
        <v>432</v>
      </c>
      <c r="K751" s="36">
        <v>72</v>
      </c>
      <c r="L751" s="25" t="str">
        <f t="shared" si="23"/>
        <v/>
      </c>
    </row>
    <row r="752" spans="1:12">
      <c r="A752" s="32" t="s">
        <v>2985</v>
      </c>
      <c r="B752" s="33">
        <v>20</v>
      </c>
      <c r="C752" s="33">
        <v>6</v>
      </c>
      <c r="D752" s="32" t="s">
        <v>2986</v>
      </c>
      <c r="E752" s="29"/>
      <c r="F752" s="34">
        <v>4.6</v>
      </c>
      <c r="G752" s="34">
        <f t="shared" si="22"/>
        <v>0.766666666666667</v>
      </c>
      <c r="H752" s="85" t="s">
        <v>2987</v>
      </c>
      <c r="I752" s="95" t="s">
        <v>2988</v>
      </c>
      <c r="J752" s="29">
        <v>260</v>
      </c>
      <c r="K752" s="36">
        <v>52</v>
      </c>
      <c r="L752" s="25" t="str">
        <f t="shared" si="23"/>
        <v/>
      </c>
    </row>
    <row r="753" spans="1:12">
      <c r="A753" s="32" t="s">
        <v>2989</v>
      </c>
      <c r="B753" s="33">
        <v>8</v>
      </c>
      <c r="C753" s="33">
        <v>6</v>
      </c>
      <c r="D753" s="32" t="s">
        <v>2990</v>
      </c>
      <c r="E753" s="29"/>
      <c r="F753" s="34">
        <v>4.6</v>
      </c>
      <c r="G753" s="34">
        <f t="shared" si="22"/>
        <v>0.766666666666667</v>
      </c>
      <c r="H753" s="85" t="s">
        <v>2991</v>
      </c>
      <c r="I753" s="95" t="s">
        <v>2992</v>
      </c>
      <c r="J753" s="29">
        <v>260</v>
      </c>
      <c r="K753" s="36">
        <v>52</v>
      </c>
      <c r="L753" s="25" t="str">
        <f t="shared" si="23"/>
        <v/>
      </c>
    </row>
    <row r="754" spans="1:12">
      <c r="A754" s="32" t="s">
        <v>2993</v>
      </c>
      <c r="B754" s="33">
        <v>9</v>
      </c>
      <c r="C754" s="33">
        <v>6</v>
      </c>
      <c r="D754" s="32" t="s">
        <v>2994</v>
      </c>
      <c r="E754" s="29"/>
      <c r="F754" s="34">
        <v>9.6</v>
      </c>
      <c r="G754" s="34">
        <f t="shared" si="22"/>
        <v>1.6</v>
      </c>
      <c r="H754" s="85" t="s">
        <v>2995</v>
      </c>
      <c r="I754" s="95" t="s">
        <v>2996</v>
      </c>
      <c r="J754" s="29">
        <v>148</v>
      </c>
      <c r="K754" s="36">
        <v>37</v>
      </c>
      <c r="L754" s="25" t="str">
        <f t="shared" si="23"/>
        <v/>
      </c>
    </row>
    <row r="755" spans="1:12">
      <c r="A755" s="32" t="s">
        <v>2997</v>
      </c>
      <c r="B755" s="33">
        <v>12</v>
      </c>
      <c r="C755" s="33">
        <v>6</v>
      </c>
      <c r="D755" s="32" t="s">
        <v>2998</v>
      </c>
      <c r="E755" s="29"/>
      <c r="F755" s="34">
        <v>9.6</v>
      </c>
      <c r="G755" s="34">
        <f t="shared" si="22"/>
        <v>1.6</v>
      </c>
      <c r="H755" s="85" t="s">
        <v>2999</v>
      </c>
      <c r="I755" s="95" t="s">
        <v>3000</v>
      </c>
      <c r="J755" s="29">
        <v>148</v>
      </c>
      <c r="K755" s="36">
        <v>37</v>
      </c>
      <c r="L755" s="25" t="str">
        <f t="shared" si="23"/>
        <v/>
      </c>
    </row>
    <row r="756" spans="1:12">
      <c r="A756" s="32" t="s">
        <v>3001</v>
      </c>
      <c r="B756" s="33">
        <v>86</v>
      </c>
      <c r="C756" s="33">
        <v>12</v>
      </c>
      <c r="D756" s="32" t="s">
        <v>3002</v>
      </c>
      <c r="E756" s="20"/>
      <c r="F756" s="34">
        <v>7.2</v>
      </c>
      <c r="G756" s="22">
        <f t="shared" si="22"/>
        <v>0.6</v>
      </c>
      <c r="H756" s="85" t="s">
        <v>3003</v>
      </c>
      <c r="I756" s="85" t="s">
        <v>3004</v>
      </c>
      <c r="J756" s="29">
        <v>384</v>
      </c>
      <c r="K756" s="36">
        <v>96</v>
      </c>
      <c r="L756" s="25" t="str">
        <f t="shared" si="23"/>
        <v/>
      </c>
    </row>
    <row r="757" spans="1:12">
      <c r="A757" s="32" t="s">
        <v>3005</v>
      </c>
      <c r="B757" s="33">
        <v>141</v>
      </c>
      <c r="C757" s="33">
        <v>12</v>
      </c>
      <c r="D757" s="32" t="s">
        <v>3006</v>
      </c>
      <c r="E757" s="20"/>
      <c r="F757" s="34">
        <v>7.2</v>
      </c>
      <c r="G757" s="22">
        <f t="shared" si="22"/>
        <v>0.6</v>
      </c>
      <c r="H757" s="85" t="s">
        <v>3007</v>
      </c>
      <c r="I757" s="85" t="s">
        <v>3008</v>
      </c>
      <c r="J757" s="29">
        <v>384</v>
      </c>
      <c r="K757" s="36">
        <v>96</v>
      </c>
      <c r="L757" s="25" t="str">
        <f t="shared" si="23"/>
        <v/>
      </c>
    </row>
    <row r="758" spans="1:12">
      <c r="A758" s="32" t="s">
        <v>3009</v>
      </c>
      <c r="B758" s="33">
        <v>35</v>
      </c>
      <c r="C758" s="33">
        <v>12</v>
      </c>
      <c r="D758" s="32" t="s">
        <v>3010</v>
      </c>
      <c r="E758" s="20"/>
      <c r="F758" s="34">
        <v>7.2</v>
      </c>
      <c r="G758" s="22">
        <f t="shared" si="22"/>
        <v>0.6</v>
      </c>
      <c r="H758" s="85" t="s">
        <v>3011</v>
      </c>
      <c r="I758" s="85" t="s">
        <v>3012</v>
      </c>
      <c r="J758" s="29">
        <v>384</v>
      </c>
      <c r="K758" s="36">
        <v>96</v>
      </c>
      <c r="L758" s="25" t="str">
        <f t="shared" si="23"/>
        <v/>
      </c>
    </row>
    <row r="759" spans="1:12">
      <c r="A759" s="32" t="s">
        <v>3013</v>
      </c>
      <c r="B759" s="33">
        <v>40</v>
      </c>
      <c r="C759" s="33">
        <v>12</v>
      </c>
      <c r="D759" s="32" t="s">
        <v>3014</v>
      </c>
      <c r="E759" s="20"/>
      <c r="F759" s="34">
        <v>7.2</v>
      </c>
      <c r="G759" s="22">
        <f t="shared" si="22"/>
        <v>0.6</v>
      </c>
      <c r="H759" s="85" t="s">
        <v>3015</v>
      </c>
      <c r="I759" s="85" t="s">
        <v>3016</v>
      </c>
      <c r="J759" s="29">
        <v>384</v>
      </c>
      <c r="K759" s="36">
        <v>96</v>
      </c>
      <c r="L759" s="25" t="str">
        <f t="shared" si="23"/>
        <v/>
      </c>
    </row>
    <row r="760" spans="1:12">
      <c r="A760" s="32" t="s">
        <v>3017</v>
      </c>
      <c r="B760" s="33">
        <v>21</v>
      </c>
      <c r="C760" s="33">
        <v>24</v>
      </c>
      <c r="D760" s="32" t="s">
        <v>3018</v>
      </c>
      <c r="E760" s="20"/>
      <c r="F760" s="34">
        <v>14.4</v>
      </c>
      <c r="G760" s="22">
        <f t="shared" si="22"/>
        <v>0.6</v>
      </c>
      <c r="H760" s="85" t="s">
        <v>3019</v>
      </c>
      <c r="I760" s="85" t="s">
        <v>3020</v>
      </c>
      <c r="J760" s="29">
        <v>120</v>
      </c>
      <c r="K760" s="36">
        <v>96</v>
      </c>
      <c r="L760" s="25" t="str">
        <f t="shared" si="23"/>
        <v/>
      </c>
    </row>
    <row r="761" spans="1:12">
      <c r="A761" s="32" t="s">
        <v>3021</v>
      </c>
      <c r="B761" s="33">
        <v>20</v>
      </c>
      <c r="C761" s="33">
        <v>24</v>
      </c>
      <c r="D761" s="32" t="s">
        <v>3022</v>
      </c>
      <c r="E761" s="20"/>
      <c r="F761" s="34">
        <v>14.4</v>
      </c>
      <c r="G761" s="22">
        <f t="shared" si="22"/>
        <v>0.6</v>
      </c>
      <c r="H761" s="52" t="s">
        <v>3023</v>
      </c>
      <c r="I761" s="85" t="s">
        <v>3024</v>
      </c>
      <c r="J761" s="29">
        <v>120</v>
      </c>
      <c r="K761" s="36">
        <v>96</v>
      </c>
      <c r="L761" s="25" t="str">
        <f t="shared" si="23"/>
        <v/>
      </c>
    </row>
    <row r="762" spans="1:12">
      <c r="A762" s="32" t="s">
        <v>3025</v>
      </c>
      <c r="B762" s="33">
        <v>19</v>
      </c>
      <c r="C762" s="33">
        <v>24</v>
      </c>
      <c r="D762" s="32" t="s">
        <v>3026</v>
      </c>
      <c r="E762" s="20"/>
      <c r="F762" s="34">
        <v>14.4</v>
      </c>
      <c r="G762" s="22">
        <f t="shared" si="22"/>
        <v>0.6</v>
      </c>
      <c r="H762" s="52" t="s">
        <v>3027</v>
      </c>
      <c r="I762" s="85" t="s">
        <v>3028</v>
      </c>
      <c r="J762" s="29">
        <v>120</v>
      </c>
      <c r="K762" s="36">
        <v>96</v>
      </c>
      <c r="L762" s="25" t="str">
        <f t="shared" si="23"/>
        <v/>
      </c>
    </row>
    <row r="763" spans="1:12">
      <c r="A763" s="32" t="s">
        <v>3029</v>
      </c>
      <c r="B763" s="33">
        <v>23</v>
      </c>
      <c r="C763" s="33">
        <v>24</v>
      </c>
      <c r="D763" s="32" t="s">
        <v>3030</v>
      </c>
      <c r="E763" s="20"/>
      <c r="F763" s="34">
        <v>14.4</v>
      </c>
      <c r="G763" s="22">
        <f t="shared" si="22"/>
        <v>0.6</v>
      </c>
      <c r="H763" s="52" t="s">
        <v>3031</v>
      </c>
      <c r="I763" s="85" t="s">
        <v>3032</v>
      </c>
      <c r="J763" s="29">
        <v>120</v>
      </c>
      <c r="K763" s="36">
        <v>96</v>
      </c>
      <c r="L763" s="25" t="str">
        <f t="shared" si="23"/>
        <v/>
      </c>
    </row>
    <row r="764" spans="1:12">
      <c r="A764" s="32" t="s">
        <v>3033</v>
      </c>
      <c r="B764" s="33">
        <v>15</v>
      </c>
      <c r="C764" s="33">
        <v>24</v>
      </c>
      <c r="D764" s="32" t="s">
        <v>3034</v>
      </c>
      <c r="E764" s="20"/>
      <c r="F764" s="34">
        <v>14.4</v>
      </c>
      <c r="G764" s="22">
        <f t="shared" si="22"/>
        <v>0.6</v>
      </c>
      <c r="H764" s="85" t="s">
        <v>3035</v>
      </c>
      <c r="I764" s="85" t="s">
        <v>3036</v>
      </c>
      <c r="J764" s="29">
        <v>120</v>
      </c>
      <c r="K764" s="30">
        <v>96</v>
      </c>
      <c r="L764" s="25" t="str">
        <f t="shared" si="23"/>
        <v/>
      </c>
    </row>
    <row r="765" spans="1:12">
      <c r="A765" s="32" t="s">
        <v>3037</v>
      </c>
      <c r="B765" s="33">
        <v>25</v>
      </c>
      <c r="C765" s="33">
        <v>24</v>
      </c>
      <c r="D765" s="32" t="s">
        <v>3038</v>
      </c>
      <c r="E765" s="20"/>
      <c r="F765" s="34">
        <v>14.4</v>
      </c>
      <c r="G765" s="22">
        <f t="shared" si="22"/>
        <v>0.6</v>
      </c>
      <c r="H765" s="85" t="s">
        <v>3039</v>
      </c>
      <c r="I765" s="85" t="s">
        <v>3040</v>
      </c>
      <c r="J765" s="29">
        <v>120</v>
      </c>
      <c r="K765" s="30">
        <v>96</v>
      </c>
      <c r="L765" s="25" t="str">
        <f t="shared" si="23"/>
        <v/>
      </c>
    </row>
    <row r="766" spans="1:12">
      <c r="A766" s="32" t="s">
        <v>3041</v>
      </c>
      <c r="B766" s="33">
        <v>12</v>
      </c>
      <c r="C766" s="33">
        <v>24</v>
      </c>
      <c r="D766" s="32" t="s">
        <v>3042</v>
      </c>
      <c r="E766" s="20"/>
      <c r="F766" s="34">
        <v>14.4</v>
      </c>
      <c r="G766" s="22">
        <f t="shared" si="22"/>
        <v>0.6</v>
      </c>
      <c r="H766" s="85" t="s">
        <v>3043</v>
      </c>
      <c r="I766" s="85" t="s">
        <v>3044</v>
      </c>
      <c r="J766" s="29">
        <v>120</v>
      </c>
      <c r="K766" s="30">
        <v>96</v>
      </c>
      <c r="L766" s="25" t="str">
        <f t="shared" si="23"/>
        <v/>
      </c>
    </row>
    <row r="767" spans="1:12">
      <c r="A767" s="32" t="s">
        <v>3045</v>
      </c>
      <c r="B767" s="33">
        <v>15</v>
      </c>
      <c r="C767" s="33">
        <v>24</v>
      </c>
      <c r="D767" s="32" t="s">
        <v>3046</v>
      </c>
      <c r="E767" s="20"/>
      <c r="F767" s="34">
        <v>14.4</v>
      </c>
      <c r="G767" s="22">
        <f t="shared" ref="G767:G830" si="24">F767/C767</f>
        <v>0.6</v>
      </c>
      <c r="H767" s="85" t="s">
        <v>3047</v>
      </c>
      <c r="I767" s="85" t="s">
        <v>3048</v>
      </c>
      <c r="J767" s="29">
        <v>120</v>
      </c>
      <c r="K767" s="30">
        <v>96</v>
      </c>
      <c r="L767" s="25" t="str">
        <f t="shared" ref="L767:L830" si="25">IF(E767,E767*F767,"")</f>
        <v/>
      </c>
    </row>
    <row r="768" spans="1:12">
      <c r="A768" s="32" t="s">
        <v>3049</v>
      </c>
      <c r="B768" s="33">
        <v>24</v>
      </c>
      <c r="C768" s="33">
        <v>24</v>
      </c>
      <c r="D768" s="32" t="s">
        <v>3050</v>
      </c>
      <c r="E768" s="20"/>
      <c r="F768" s="34">
        <v>14.4</v>
      </c>
      <c r="G768" s="22">
        <f t="shared" si="24"/>
        <v>0.6</v>
      </c>
      <c r="H768" s="85" t="s">
        <v>3051</v>
      </c>
      <c r="I768" s="85" t="s">
        <v>3052</v>
      </c>
      <c r="J768" s="29">
        <v>120</v>
      </c>
      <c r="K768" s="30">
        <v>96</v>
      </c>
      <c r="L768" s="25" t="str">
        <f t="shared" si="25"/>
        <v/>
      </c>
    </row>
    <row r="769" spans="1:12">
      <c r="A769" s="32" t="s">
        <v>3053</v>
      </c>
      <c r="B769" s="33">
        <v>39</v>
      </c>
      <c r="C769" s="33">
        <v>12</v>
      </c>
      <c r="D769" s="32" t="s">
        <v>3054</v>
      </c>
      <c r="E769" s="20"/>
      <c r="F769" s="34">
        <v>6.24</v>
      </c>
      <c r="G769" s="22">
        <f t="shared" si="24"/>
        <v>0.52</v>
      </c>
      <c r="H769" s="85" t="s">
        <v>3055</v>
      </c>
      <c r="I769" s="85" t="s">
        <v>3056</v>
      </c>
      <c r="J769" s="29">
        <v>108</v>
      </c>
      <c r="K769" s="36">
        <v>12</v>
      </c>
      <c r="L769" s="25" t="str">
        <f t="shared" si="25"/>
        <v/>
      </c>
    </row>
    <row r="770" spans="1:12">
      <c r="A770" s="32" t="s">
        <v>3057</v>
      </c>
      <c r="B770" s="33">
        <v>46</v>
      </c>
      <c r="C770" s="33">
        <v>12</v>
      </c>
      <c r="D770" s="32" t="s">
        <v>3058</v>
      </c>
      <c r="E770" s="20"/>
      <c r="F770" s="34">
        <v>6.24</v>
      </c>
      <c r="G770" s="22">
        <f t="shared" si="24"/>
        <v>0.52</v>
      </c>
      <c r="H770" s="85" t="s">
        <v>3059</v>
      </c>
      <c r="I770" s="85" t="s">
        <v>3060</v>
      </c>
      <c r="J770" s="29">
        <v>108</v>
      </c>
      <c r="K770" s="36">
        <v>12</v>
      </c>
      <c r="L770" s="25" t="str">
        <f t="shared" si="25"/>
        <v/>
      </c>
    </row>
    <row r="771" spans="1:12">
      <c r="A771" s="32" t="s">
        <v>3061</v>
      </c>
      <c r="B771" s="33">
        <v>34</v>
      </c>
      <c r="C771" s="33">
        <v>12</v>
      </c>
      <c r="D771" s="32" t="s">
        <v>3062</v>
      </c>
      <c r="E771" s="20"/>
      <c r="F771" s="34">
        <v>7.5</v>
      </c>
      <c r="G771" s="22">
        <f t="shared" si="24"/>
        <v>0.625</v>
      </c>
      <c r="H771" s="85" t="s">
        <v>3063</v>
      </c>
      <c r="I771" s="85" t="s">
        <v>3064</v>
      </c>
      <c r="J771" s="29">
        <v>108</v>
      </c>
      <c r="K771" s="36">
        <v>12</v>
      </c>
      <c r="L771" s="25" t="str">
        <f t="shared" si="25"/>
        <v/>
      </c>
    </row>
    <row r="772" spans="1:12">
      <c r="A772" s="32" t="s">
        <v>3065</v>
      </c>
      <c r="B772" s="33">
        <v>45</v>
      </c>
      <c r="C772" s="33">
        <v>12</v>
      </c>
      <c r="D772" s="32" t="s">
        <v>3066</v>
      </c>
      <c r="E772" s="20"/>
      <c r="F772" s="34">
        <v>7.5</v>
      </c>
      <c r="G772" s="22">
        <f t="shared" si="24"/>
        <v>0.625</v>
      </c>
      <c r="H772" s="85" t="s">
        <v>3067</v>
      </c>
      <c r="I772" s="85" t="s">
        <v>3068</v>
      </c>
      <c r="J772" s="29">
        <v>96</v>
      </c>
      <c r="K772" s="36">
        <v>12</v>
      </c>
      <c r="L772" s="25" t="str">
        <f t="shared" si="25"/>
        <v/>
      </c>
    </row>
    <row r="773" spans="1:12">
      <c r="A773" s="32" t="s">
        <v>3069</v>
      </c>
      <c r="B773" s="33">
        <v>110</v>
      </c>
      <c r="C773" s="33">
        <v>12</v>
      </c>
      <c r="D773" s="32" t="s">
        <v>3070</v>
      </c>
      <c r="E773" s="20"/>
      <c r="F773" s="34">
        <v>5.4</v>
      </c>
      <c r="G773" s="22">
        <f t="shared" si="24"/>
        <v>0.45</v>
      </c>
      <c r="H773" s="85" t="s">
        <v>3071</v>
      </c>
      <c r="I773" s="85" t="s">
        <v>3072</v>
      </c>
      <c r="J773" s="29">
        <v>182</v>
      </c>
      <c r="K773" s="36">
        <v>26</v>
      </c>
      <c r="L773" s="25" t="str">
        <f t="shared" si="25"/>
        <v/>
      </c>
    </row>
    <row r="774" spans="1:12">
      <c r="A774" s="32" t="s">
        <v>3073</v>
      </c>
      <c r="B774" s="33">
        <v>92</v>
      </c>
      <c r="C774" s="33">
        <v>12</v>
      </c>
      <c r="D774" s="32" t="s">
        <v>3074</v>
      </c>
      <c r="E774" s="20"/>
      <c r="F774" s="34">
        <v>2.8</v>
      </c>
      <c r="G774" s="22">
        <f t="shared" si="24"/>
        <v>0.233333333333333</v>
      </c>
      <c r="H774" s="85" t="s">
        <v>3075</v>
      </c>
      <c r="I774" s="85" t="s">
        <v>3076</v>
      </c>
      <c r="J774" s="29"/>
      <c r="K774" s="36"/>
      <c r="L774" s="25" t="str">
        <f t="shared" si="25"/>
        <v/>
      </c>
    </row>
    <row r="775" spans="1:12">
      <c r="A775" s="32" t="s">
        <v>3077</v>
      </c>
      <c r="B775" s="33">
        <v>21</v>
      </c>
      <c r="C775" s="33">
        <v>12</v>
      </c>
      <c r="D775" s="32" t="s">
        <v>3078</v>
      </c>
      <c r="E775" s="20"/>
      <c r="F775" s="34">
        <v>6.15</v>
      </c>
      <c r="G775" s="22">
        <f t="shared" si="24"/>
        <v>0.5125</v>
      </c>
      <c r="H775" s="85" t="s">
        <v>3079</v>
      </c>
      <c r="I775" s="85" t="s">
        <v>3080</v>
      </c>
      <c r="J775" s="29"/>
      <c r="K775" s="36"/>
      <c r="L775" s="25" t="str">
        <f t="shared" si="25"/>
        <v/>
      </c>
    </row>
    <row r="776" spans="1:12">
      <c r="A776" s="32" t="s">
        <v>3081</v>
      </c>
      <c r="B776" s="33">
        <v>0</v>
      </c>
      <c r="C776" s="33">
        <v>12</v>
      </c>
      <c r="D776" s="32" t="s">
        <v>3082</v>
      </c>
      <c r="E776" s="20"/>
      <c r="F776" s="34">
        <v>6.3</v>
      </c>
      <c r="G776" s="22">
        <f t="shared" si="24"/>
        <v>0.525</v>
      </c>
      <c r="H776" s="85" t="s">
        <v>3083</v>
      </c>
      <c r="I776" s="85" t="s">
        <v>3084</v>
      </c>
      <c r="J776" s="29"/>
      <c r="K776" s="36"/>
      <c r="L776" s="25" t="str">
        <f t="shared" si="25"/>
        <v/>
      </c>
    </row>
    <row r="777" spans="1:12">
      <c r="A777" s="32" t="s">
        <v>3085</v>
      </c>
      <c r="B777" s="33">
        <v>0</v>
      </c>
      <c r="C777" s="33">
        <v>12</v>
      </c>
      <c r="D777" s="32" t="s">
        <v>3086</v>
      </c>
      <c r="E777" s="20"/>
      <c r="F777" s="34">
        <v>6.3</v>
      </c>
      <c r="G777" s="22">
        <f t="shared" si="24"/>
        <v>0.525</v>
      </c>
      <c r="H777" s="85" t="s">
        <v>3087</v>
      </c>
      <c r="I777" s="85" t="s">
        <v>3088</v>
      </c>
      <c r="J777" s="29"/>
      <c r="K777" s="36"/>
      <c r="L777" s="25" t="str">
        <f t="shared" si="25"/>
        <v/>
      </c>
    </row>
    <row r="778" spans="1:12">
      <c r="A778" s="32" t="s">
        <v>3089</v>
      </c>
      <c r="B778" s="33">
        <v>0</v>
      </c>
      <c r="C778" s="33">
        <v>12</v>
      </c>
      <c r="D778" s="32" t="s">
        <v>3090</v>
      </c>
      <c r="E778" s="20"/>
      <c r="F778" s="34">
        <v>6.3</v>
      </c>
      <c r="G778" s="22">
        <f t="shared" si="24"/>
        <v>0.525</v>
      </c>
      <c r="H778" s="85" t="s">
        <v>3091</v>
      </c>
      <c r="I778" s="85" t="s">
        <v>3092</v>
      </c>
      <c r="J778" s="29"/>
      <c r="K778" s="36"/>
      <c r="L778" s="25" t="str">
        <f t="shared" si="25"/>
        <v/>
      </c>
    </row>
    <row r="779" spans="1:12">
      <c r="A779" s="32" t="s">
        <v>3093</v>
      </c>
      <c r="B779" s="33">
        <v>12</v>
      </c>
      <c r="C779" s="33">
        <v>12</v>
      </c>
      <c r="D779" s="32" t="s">
        <v>3094</v>
      </c>
      <c r="E779" s="20"/>
      <c r="F779" s="34">
        <v>6.3</v>
      </c>
      <c r="G779" s="22">
        <f t="shared" si="24"/>
        <v>0.525</v>
      </c>
      <c r="H779" s="85" t="s">
        <v>3095</v>
      </c>
      <c r="I779" s="85" t="s">
        <v>3096</v>
      </c>
      <c r="J779" s="29"/>
      <c r="K779" s="36"/>
      <c r="L779" s="25" t="str">
        <f t="shared" si="25"/>
        <v/>
      </c>
    </row>
    <row r="780" spans="1:12">
      <c r="A780" s="32" t="s">
        <v>3097</v>
      </c>
      <c r="B780" s="33">
        <v>30</v>
      </c>
      <c r="C780" s="33">
        <v>12</v>
      </c>
      <c r="D780" s="32" t="s">
        <v>3098</v>
      </c>
      <c r="E780" s="20"/>
      <c r="F780" s="34">
        <v>6.3</v>
      </c>
      <c r="G780" s="22">
        <f t="shared" si="24"/>
        <v>0.525</v>
      </c>
      <c r="H780" s="85" t="s">
        <v>3099</v>
      </c>
      <c r="I780" s="85" t="s">
        <v>3100</v>
      </c>
      <c r="J780" s="29"/>
      <c r="K780" s="36"/>
      <c r="L780" s="25" t="str">
        <f t="shared" si="25"/>
        <v/>
      </c>
    </row>
    <row r="781" spans="1:12">
      <c r="A781" s="32" t="s">
        <v>3101</v>
      </c>
      <c r="B781" s="33">
        <v>4</v>
      </c>
      <c r="C781" s="33">
        <v>12</v>
      </c>
      <c r="D781" s="32" t="s">
        <v>3102</v>
      </c>
      <c r="E781" s="20"/>
      <c r="F781" s="34">
        <v>6.3</v>
      </c>
      <c r="G781" s="22">
        <f t="shared" si="24"/>
        <v>0.525</v>
      </c>
      <c r="H781" s="85" t="s">
        <v>3103</v>
      </c>
      <c r="I781" s="85" t="s">
        <v>3104</v>
      </c>
      <c r="J781" s="29"/>
      <c r="K781" s="36"/>
      <c r="L781" s="25" t="str">
        <f t="shared" si="25"/>
        <v/>
      </c>
    </row>
    <row r="782" spans="1:12">
      <c r="A782" s="32" t="s">
        <v>3105</v>
      </c>
      <c r="B782" s="33">
        <v>6</v>
      </c>
      <c r="C782" s="33">
        <v>12</v>
      </c>
      <c r="D782" s="32" t="s">
        <v>3106</v>
      </c>
      <c r="E782" s="20"/>
      <c r="F782" s="34">
        <v>6.3</v>
      </c>
      <c r="G782" s="22">
        <f t="shared" si="24"/>
        <v>0.525</v>
      </c>
      <c r="H782" s="85" t="s">
        <v>3107</v>
      </c>
      <c r="I782" s="85" t="s">
        <v>3108</v>
      </c>
      <c r="J782" s="29"/>
      <c r="K782" s="36"/>
      <c r="L782" s="25" t="str">
        <f t="shared" si="25"/>
        <v/>
      </c>
    </row>
    <row r="783" spans="1:12">
      <c r="A783" s="32" t="s">
        <v>3109</v>
      </c>
      <c r="B783" s="33">
        <v>0</v>
      </c>
      <c r="C783" s="33">
        <v>12</v>
      </c>
      <c r="D783" s="32" t="s">
        <v>3110</v>
      </c>
      <c r="E783" s="20"/>
      <c r="F783" s="34">
        <v>6.3</v>
      </c>
      <c r="G783" s="22">
        <f t="shared" si="24"/>
        <v>0.525</v>
      </c>
      <c r="H783" s="85" t="s">
        <v>3111</v>
      </c>
      <c r="I783" s="85" t="s">
        <v>3112</v>
      </c>
      <c r="J783" s="29"/>
      <c r="K783" s="51"/>
      <c r="L783" s="25" t="str">
        <f t="shared" si="25"/>
        <v/>
      </c>
    </row>
    <row r="784" spans="1:12">
      <c r="A784" s="41" t="s">
        <v>3113</v>
      </c>
      <c r="B784" s="30">
        <v>52</v>
      </c>
      <c r="C784" s="30">
        <v>12</v>
      </c>
      <c r="D784" s="41" t="s">
        <v>3114</v>
      </c>
      <c r="E784" s="29"/>
      <c r="F784" s="34">
        <v>12.8</v>
      </c>
      <c r="G784" s="34">
        <f t="shared" si="24"/>
        <v>1.06666666666667</v>
      </c>
      <c r="H784" s="92" t="s">
        <v>3115</v>
      </c>
      <c r="I784" s="92" t="s">
        <v>3116</v>
      </c>
      <c r="J784" s="29">
        <v>128</v>
      </c>
      <c r="K784" s="30">
        <v>32</v>
      </c>
      <c r="L784" s="25" t="str">
        <f t="shared" si="25"/>
        <v/>
      </c>
    </row>
    <row r="785" spans="1:12">
      <c r="A785" s="32" t="s">
        <v>3117</v>
      </c>
      <c r="B785" s="33">
        <v>31</v>
      </c>
      <c r="C785" s="33">
        <v>6</v>
      </c>
      <c r="D785" s="32" t="s">
        <v>3118</v>
      </c>
      <c r="E785" s="20"/>
      <c r="F785" s="34">
        <v>11.95</v>
      </c>
      <c r="G785" s="22">
        <f t="shared" si="24"/>
        <v>1.99166666666667</v>
      </c>
      <c r="H785" s="85" t="s">
        <v>3119</v>
      </c>
      <c r="I785" s="85" t="s">
        <v>3120</v>
      </c>
      <c r="J785" s="29">
        <v>224</v>
      </c>
      <c r="K785" s="30">
        <v>56</v>
      </c>
      <c r="L785" s="25" t="str">
        <f t="shared" si="25"/>
        <v/>
      </c>
    </row>
    <row r="786" spans="1:12">
      <c r="A786" s="32" t="s">
        <v>3121</v>
      </c>
      <c r="B786" s="33">
        <v>416</v>
      </c>
      <c r="C786" s="33">
        <v>6</v>
      </c>
      <c r="D786" s="32" t="s">
        <v>3122</v>
      </c>
      <c r="E786" s="20"/>
      <c r="F786" s="34">
        <v>7.32</v>
      </c>
      <c r="G786" s="22">
        <f t="shared" si="24"/>
        <v>1.22</v>
      </c>
      <c r="H786" s="85" t="s">
        <v>3123</v>
      </c>
      <c r="I786" s="85" t="s">
        <v>3124</v>
      </c>
      <c r="J786" s="29">
        <v>244</v>
      </c>
      <c r="K786" s="30">
        <v>61</v>
      </c>
      <c r="L786" s="25" t="str">
        <f t="shared" si="25"/>
        <v/>
      </c>
    </row>
    <row r="787" spans="1:12">
      <c r="A787" s="32" t="s">
        <v>3125</v>
      </c>
      <c r="B787" s="19">
        <v>147</v>
      </c>
      <c r="C787" s="33">
        <v>6</v>
      </c>
      <c r="D787" s="32" t="s">
        <v>3126</v>
      </c>
      <c r="E787" s="29"/>
      <c r="F787" s="37">
        <v>7.32</v>
      </c>
      <c r="G787" s="37">
        <f t="shared" si="24"/>
        <v>1.22</v>
      </c>
      <c r="H787" s="85" t="s">
        <v>3127</v>
      </c>
      <c r="I787" s="85" t="s">
        <v>3128</v>
      </c>
      <c r="J787" s="20">
        <v>244</v>
      </c>
      <c r="K787" s="30">
        <v>61</v>
      </c>
      <c r="L787" s="40" t="str">
        <f t="shared" si="25"/>
        <v/>
      </c>
    </row>
    <row r="788" spans="1:12">
      <c r="A788" s="32" t="s">
        <v>3129</v>
      </c>
      <c r="B788" s="33">
        <v>337</v>
      </c>
      <c r="C788" s="33">
        <v>6</v>
      </c>
      <c r="D788" s="32" t="s">
        <v>3130</v>
      </c>
      <c r="E788" s="20"/>
      <c r="F788" s="34">
        <v>7.32</v>
      </c>
      <c r="G788" s="22">
        <f t="shared" si="24"/>
        <v>1.22</v>
      </c>
      <c r="H788" s="85" t="s">
        <v>3131</v>
      </c>
      <c r="I788" s="85" t="s">
        <v>3132</v>
      </c>
      <c r="J788" s="29">
        <v>244</v>
      </c>
      <c r="K788" s="36">
        <v>61</v>
      </c>
      <c r="L788" s="25" t="str">
        <f t="shared" si="25"/>
        <v/>
      </c>
    </row>
    <row r="789" spans="1:12">
      <c r="A789" s="32" t="s">
        <v>3133</v>
      </c>
      <c r="B789" s="33">
        <v>335</v>
      </c>
      <c r="C789" s="33">
        <v>6</v>
      </c>
      <c r="D789" s="32" t="s">
        <v>3134</v>
      </c>
      <c r="E789" s="20"/>
      <c r="F789" s="34">
        <v>7.32</v>
      </c>
      <c r="G789" s="22">
        <f t="shared" si="24"/>
        <v>1.22</v>
      </c>
      <c r="H789" s="85" t="s">
        <v>3135</v>
      </c>
      <c r="I789" s="85" t="s">
        <v>3136</v>
      </c>
      <c r="J789" s="29">
        <v>244</v>
      </c>
      <c r="K789" s="36">
        <v>61</v>
      </c>
      <c r="L789" s="25" t="str">
        <f t="shared" si="25"/>
        <v/>
      </c>
    </row>
    <row r="790" spans="1:12">
      <c r="A790" s="32" t="s">
        <v>3137</v>
      </c>
      <c r="B790" s="33">
        <v>115</v>
      </c>
      <c r="C790" s="33">
        <v>6</v>
      </c>
      <c r="D790" s="32" t="s">
        <v>3138</v>
      </c>
      <c r="E790" s="20"/>
      <c r="F790" s="34">
        <v>7.32</v>
      </c>
      <c r="G790" s="22">
        <f t="shared" si="24"/>
        <v>1.22</v>
      </c>
      <c r="H790" s="85" t="s">
        <v>3139</v>
      </c>
      <c r="I790" s="85" t="s">
        <v>3140</v>
      </c>
      <c r="J790" s="29">
        <v>244</v>
      </c>
      <c r="K790" s="36">
        <v>61</v>
      </c>
      <c r="L790" s="25" t="str">
        <f t="shared" si="25"/>
        <v/>
      </c>
    </row>
    <row r="791" spans="1:12">
      <c r="A791" s="32" t="s">
        <v>3141</v>
      </c>
      <c r="B791" s="33">
        <v>272</v>
      </c>
      <c r="C791" s="33">
        <v>6</v>
      </c>
      <c r="D791" s="32" t="s">
        <v>3142</v>
      </c>
      <c r="E791" s="20"/>
      <c r="F791" s="34">
        <v>7.32</v>
      </c>
      <c r="G791" s="22">
        <f t="shared" si="24"/>
        <v>1.22</v>
      </c>
      <c r="H791" s="85" t="s">
        <v>3143</v>
      </c>
      <c r="I791" s="85" t="s">
        <v>3144</v>
      </c>
      <c r="J791" s="29">
        <v>244</v>
      </c>
      <c r="K791" s="36">
        <v>61</v>
      </c>
      <c r="L791" s="25" t="str">
        <f t="shared" si="25"/>
        <v/>
      </c>
    </row>
    <row r="792" spans="1:12">
      <c r="A792" s="32" t="s">
        <v>3145</v>
      </c>
      <c r="B792" s="33">
        <v>304</v>
      </c>
      <c r="C792" s="33">
        <v>6</v>
      </c>
      <c r="D792" s="32" t="s">
        <v>3146</v>
      </c>
      <c r="E792" s="20"/>
      <c r="F792" s="34">
        <v>7.32</v>
      </c>
      <c r="G792" s="22">
        <f t="shared" si="24"/>
        <v>1.22</v>
      </c>
      <c r="H792" s="85" t="s">
        <v>3147</v>
      </c>
      <c r="I792" s="85" t="s">
        <v>3148</v>
      </c>
      <c r="J792" s="29">
        <v>244</v>
      </c>
      <c r="K792" s="36">
        <v>61</v>
      </c>
      <c r="L792" s="25" t="str">
        <f t="shared" si="25"/>
        <v/>
      </c>
    </row>
    <row r="793" spans="1:12">
      <c r="A793" s="32" t="s">
        <v>3149</v>
      </c>
      <c r="B793" s="33">
        <v>234</v>
      </c>
      <c r="C793" s="33">
        <v>6</v>
      </c>
      <c r="D793" s="32" t="s">
        <v>3150</v>
      </c>
      <c r="E793" s="20"/>
      <c r="F793" s="34">
        <v>4.14</v>
      </c>
      <c r="G793" s="22">
        <f t="shared" si="24"/>
        <v>0.69</v>
      </c>
      <c r="H793" s="85" t="s">
        <v>3151</v>
      </c>
      <c r="I793" s="85" t="s">
        <v>3152</v>
      </c>
      <c r="J793" s="29">
        <v>520</v>
      </c>
      <c r="K793" s="36">
        <v>65</v>
      </c>
      <c r="L793" s="25" t="str">
        <f t="shared" si="25"/>
        <v/>
      </c>
    </row>
    <row r="794" spans="1:12">
      <c r="A794" s="32" t="s">
        <v>3153</v>
      </c>
      <c r="B794" s="33">
        <v>348</v>
      </c>
      <c r="C794" s="33">
        <v>6</v>
      </c>
      <c r="D794" s="32" t="s">
        <v>3154</v>
      </c>
      <c r="E794" s="20"/>
      <c r="F794" s="34">
        <v>4.14</v>
      </c>
      <c r="G794" s="22">
        <f t="shared" si="24"/>
        <v>0.69</v>
      </c>
      <c r="H794" s="85" t="s">
        <v>3155</v>
      </c>
      <c r="I794" s="85" t="s">
        <v>3156</v>
      </c>
      <c r="J794" s="29">
        <v>520</v>
      </c>
      <c r="K794" s="36">
        <v>65</v>
      </c>
      <c r="L794" s="25" t="str">
        <f t="shared" si="25"/>
        <v/>
      </c>
    </row>
    <row r="795" spans="1:12">
      <c r="A795" s="32" t="s">
        <v>3157</v>
      </c>
      <c r="B795" s="33">
        <v>421</v>
      </c>
      <c r="C795" s="33">
        <v>6</v>
      </c>
      <c r="D795" s="32" t="s">
        <v>3158</v>
      </c>
      <c r="E795" s="20"/>
      <c r="F795" s="34">
        <v>4.14</v>
      </c>
      <c r="G795" s="22">
        <f t="shared" si="24"/>
        <v>0.69</v>
      </c>
      <c r="H795" s="85" t="s">
        <v>3159</v>
      </c>
      <c r="I795" s="85" t="s">
        <v>3160</v>
      </c>
      <c r="J795" s="29">
        <v>520</v>
      </c>
      <c r="K795" s="36">
        <v>65</v>
      </c>
      <c r="L795" s="25" t="str">
        <f t="shared" si="25"/>
        <v/>
      </c>
    </row>
    <row r="796" spans="1:12">
      <c r="A796" s="32" t="s">
        <v>3161</v>
      </c>
      <c r="B796" s="33">
        <v>479</v>
      </c>
      <c r="C796" s="33">
        <v>6</v>
      </c>
      <c r="D796" s="32" t="s">
        <v>3162</v>
      </c>
      <c r="E796" s="20"/>
      <c r="F796" s="34">
        <v>4.14</v>
      </c>
      <c r="G796" s="22">
        <f t="shared" si="24"/>
        <v>0.69</v>
      </c>
      <c r="H796" s="85" t="s">
        <v>3163</v>
      </c>
      <c r="I796" s="85" t="s">
        <v>3164</v>
      </c>
      <c r="J796" s="29">
        <v>520</v>
      </c>
      <c r="K796" s="36">
        <v>65</v>
      </c>
      <c r="L796" s="25" t="str">
        <f t="shared" si="25"/>
        <v/>
      </c>
    </row>
    <row r="797" spans="1:12">
      <c r="A797" s="32" t="s">
        <v>3165</v>
      </c>
      <c r="B797" s="33">
        <v>202</v>
      </c>
      <c r="C797" s="33">
        <v>6</v>
      </c>
      <c r="D797" s="32" t="s">
        <v>3166</v>
      </c>
      <c r="E797" s="20"/>
      <c r="F797" s="34">
        <v>4.14</v>
      </c>
      <c r="G797" s="22">
        <f t="shared" si="24"/>
        <v>0.69</v>
      </c>
      <c r="H797" s="85" t="s">
        <v>3167</v>
      </c>
      <c r="I797" s="85" t="s">
        <v>3168</v>
      </c>
      <c r="J797" s="29">
        <v>520</v>
      </c>
      <c r="K797" s="36">
        <v>65</v>
      </c>
      <c r="L797" s="25" t="str">
        <f t="shared" si="25"/>
        <v/>
      </c>
    </row>
    <row r="798" spans="1:12">
      <c r="A798" s="32" t="s">
        <v>3169</v>
      </c>
      <c r="B798" s="33">
        <v>282</v>
      </c>
      <c r="C798" s="33">
        <v>6</v>
      </c>
      <c r="D798" s="32" t="s">
        <v>3170</v>
      </c>
      <c r="E798" s="20"/>
      <c r="F798" s="34">
        <v>4.14</v>
      </c>
      <c r="G798" s="22">
        <f t="shared" si="24"/>
        <v>0.69</v>
      </c>
      <c r="H798" s="85" t="s">
        <v>3171</v>
      </c>
      <c r="I798" s="85" t="s">
        <v>3172</v>
      </c>
      <c r="J798" s="29">
        <v>520</v>
      </c>
      <c r="K798" s="36">
        <v>65</v>
      </c>
      <c r="L798" s="25" t="str">
        <f t="shared" si="25"/>
        <v/>
      </c>
    </row>
    <row r="799" spans="1:12">
      <c r="A799" s="32" t="s">
        <v>3173</v>
      </c>
      <c r="B799" s="33">
        <v>858</v>
      </c>
      <c r="C799" s="33">
        <v>6</v>
      </c>
      <c r="D799" s="32" t="s">
        <v>3174</v>
      </c>
      <c r="E799" s="20"/>
      <c r="F799" s="34">
        <v>4.14</v>
      </c>
      <c r="G799" s="22">
        <f t="shared" si="24"/>
        <v>0.69</v>
      </c>
      <c r="H799" s="85" t="s">
        <v>3175</v>
      </c>
      <c r="I799" s="85" t="s">
        <v>3176</v>
      </c>
      <c r="J799" s="29">
        <v>520</v>
      </c>
      <c r="K799" s="36">
        <v>65</v>
      </c>
      <c r="L799" s="25" t="str">
        <f t="shared" si="25"/>
        <v/>
      </c>
    </row>
    <row r="800" spans="1:12">
      <c r="A800" s="32" t="s">
        <v>3177</v>
      </c>
      <c r="B800" s="33">
        <v>336</v>
      </c>
      <c r="C800" s="33">
        <v>6</v>
      </c>
      <c r="D800" s="32" t="s">
        <v>3178</v>
      </c>
      <c r="E800" s="20"/>
      <c r="F800" s="34">
        <v>4.14</v>
      </c>
      <c r="G800" s="22">
        <f t="shared" si="24"/>
        <v>0.69</v>
      </c>
      <c r="H800" s="85" t="s">
        <v>3179</v>
      </c>
      <c r="I800" s="85" t="s">
        <v>3180</v>
      </c>
      <c r="J800" s="29">
        <v>520</v>
      </c>
      <c r="K800" s="36">
        <v>65</v>
      </c>
      <c r="L800" s="25" t="str">
        <f t="shared" si="25"/>
        <v/>
      </c>
    </row>
    <row r="801" spans="1:12">
      <c r="A801" s="32" t="s">
        <v>3181</v>
      </c>
      <c r="B801" s="33">
        <v>27</v>
      </c>
      <c r="C801" s="33">
        <v>6</v>
      </c>
      <c r="D801" s="32" t="s">
        <v>3182</v>
      </c>
      <c r="E801" s="20"/>
      <c r="F801" s="34">
        <v>6.6</v>
      </c>
      <c r="G801" s="22">
        <f t="shared" si="24"/>
        <v>1.1</v>
      </c>
      <c r="H801" s="85" t="s">
        <v>3183</v>
      </c>
      <c r="I801" s="85" t="s">
        <v>3184</v>
      </c>
      <c r="J801" s="29">
        <v>220</v>
      </c>
      <c r="K801" s="36">
        <v>44</v>
      </c>
      <c r="L801" s="25" t="str">
        <f t="shared" si="25"/>
        <v/>
      </c>
    </row>
    <row r="802" spans="1:12">
      <c r="A802" s="32" t="s">
        <v>3185</v>
      </c>
      <c r="B802" s="33">
        <v>105</v>
      </c>
      <c r="C802" s="33">
        <v>6</v>
      </c>
      <c r="D802" s="32" t="s">
        <v>3186</v>
      </c>
      <c r="E802" s="20"/>
      <c r="F802" s="34">
        <v>7.2</v>
      </c>
      <c r="G802" s="22">
        <f t="shared" si="24"/>
        <v>1.2</v>
      </c>
      <c r="H802" s="85" t="s">
        <v>3187</v>
      </c>
      <c r="I802" s="85" t="s">
        <v>3188</v>
      </c>
      <c r="J802" s="29">
        <v>128</v>
      </c>
      <c r="K802" s="36">
        <v>32</v>
      </c>
      <c r="L802" s="25" t="str">
        <f t="shared" si="25"/>
        <v/>
      </c>
    </row>
    <row r="803" spans="1:12">
      <c r="A803" s="32" t="s">
        <v>3189</v>
      </c>
      <c r="B803" s="33">
        <v>54</v>
      </c>
      <c r="C803" s="33">
        <v>6</v>
      </c>
      <c r="D803" s="32" t="s">
        <v>3190</v>
      </c>
      <c r="E803" s="20"/>
      <c r="F803" s="34">
        <v>3.6</v>
      </c>
      <c r="G803" s="22">
        <f t="shared" si="24"/>
        <v>0.6</v>
      </c>
      <c r="H803" s="85" t="s">
        <v>3191</v>
      </c>
      <c r="I803" s="85" t="s">
        <v>3192</v>
      </c>
      <c r="J803" s="29">
        <v>800</v>
      </c>
      <c r="K803" s="36">
        <v>80</v>
      </c>
      <c r="L803" s="25" t="str">
        <f t="shared" si="25"/>
        <v/>
      </c>
    </row>
    <row r="804" spans="1:12">
      <c r="A804" s="32" t="s">
        <v>3193</v>
      </c>
      <c r="B804" s="33">
        <v>56</v>
      </c>
      <c r="C804" s="30">
        <v>6</v>
      </c>
      <c r="D804" s="41" t="s">
        <v>3194</v>
      </c>
      <c r="E804" s="20"/>
      <c r="F804" s="34">
        <v>7.8</v>
      </c>
      <c r="G804" s="22">
        <f t="shared" si="24"/>
        <v>1.3</v>
      </c>
      <c r="H804" s="55">
        <v>5012583200765</v>
      </c>
      <c r="I804" s="85" t="s">
        <v>3195</v>
      </c>
      <c r="J804" s="29">
        <v>330</v>
      </c>
      <c r="K804" s="36">
        <v>66</v>
      </c>
      <c r="L804" s="25" t="str">
        <f t="shared" si="25"/>
        <v/>
      </c>
    </row>
    <row r="805" spans="1:12">
      <c r="A805" s="32" t="s">
        <v>3196</v>
      </c>
      <c r="B805" s="33">
        <v>73</v>
      </c>
      <c r="C805" s="30">
        <v>6</v>
      </c>
      <c r="D805" s="41" t="s">
        <v>3197</v>
      </c>
      <c r="E805" s="20"/>
      <c r="F805" s="34">
        <v>7.8</v>
      </c>
      <c r="G805" s="22">
        <f t="shared" si="24"/>
        <v>1.3</v>
      </c>
      <c r="H805" s="55">
        <v>5012583200819</v>
      </c>
      <c r="I805" s="85" t="s">
        <v>3198</v>
      </c>
      <c r="J805" s="29">
        <v>330</v>
      </c>
      <c r="K805" s="36">
        <v>66</v>
      </c>
      <c r="L805" s="25" t="str">
        <f t="shared" si="25"/>
        <v/>
      </c>
    </row>
    <row r="806" spans="1:12">
      <c r="A806" s="32" t="s">
        <v>3199</v>
      </c>
      <c r="B806" s="33">
        <v>178</v>
      </c>
      <c r="C806" s="30">
        <v>6</v>
      </c>
      <c r="D806" s="41" t="s">
        <v>3200</v>
      </c>
      <c r="E806" s="20"/>
      <c r="F806" s="34">
        <v>7.8</v>
      </c>
      <c r="G806" s="22">
        <f t="shared" si="24"/>
        <v>1.3</v>
      </c>
      <c r="H806" s="55"/>
      <c r="I806" s="35"/>
      <c r="J806" s="29">
        <v>330</v>
      </c>
      <c r="K806" s="36">
        <v>66</v>
      </c>
      <c r="L806" s="25" t="str">
        <f t="shared" si="25"/>
        <v/>
      </c>
    </row>
    <row r="807" spans="1:12">
      <c r="A807" s="32" t="s">
        <v>3201</v>
      </c>
      <c r="B807" s="33">
        <v>199</v>
      </c>
      <c r="C807" s="33">
        <v>12</v>
      </c>
      <c r="D807" s="32" t="s">
        <v>3202</v>
      </c>
      <c r="E807" s="29"/>
      <c r="F807" s="37">
        <v>9.8</v>
      </c>
      <c r="G807" s="37">
        <f t="shared" si="24"/>
        <v>0.816666666666667</v>
      </c>
      <c r="H807" s="85" t="s">
        <v>3203</v>
      </c>
      <c r="I807" s="85" t="s">
        <v>3204</v>
      </c>
      <c r="J807" s="29">
        <v>192</v>
      </c>
      <c r="K807" s="30">
        <v>32</v>
      </c>
      <c r="L807" s="40" t="str">
        <f t="shared" si="25"/>
        <v/>
      </c>
    </row>
    <row r="808" spans="1:12">
      <c r="A808" s="32" t="s">
        <v>3205</v>
      </c>
      <c r="B808" s="19">
        <v>192</v>
      </c>
      <c r="C808" s="33">
        <v>12</v>
      </c>
      <c r="D808" s="32" t="s">
        <v>3206</v>
      </c>
      <c r="E808" s="20"/>
      <c r="F808" s="34">
        <v>8.95</v>
      </c>
      <c r="G808" s="22">
        <f t="shared" si="24"/>
        <v>0.745833333333333</v>
      </c>
      <c r="H808" s="85" t="s">
        <v>3207</v>
      </c>
      <c r="I808" s="85" t="s">
        <v>3208</v>
      </c>
      <c r="J808" s="19">
        <v>360</v>
      </c>
      <c r="K808" s="36">
        <v>72</v>
      </c>
      <c r="L808" s="25" t="str">
        <f t="shared" si="25"/>
        <v/>
      </c>
    </row>
    <row r="809" spans="1:12">
      <c r="A809" s="32" t="s">
        <v>3209</v>
      </c>
      <c r="B809" s="19">
        <v>262</v>
      </c>
      <c r="C809" s="33">
        <v>12</v>
      </c>
      <c r="D809" s="32" t="s">
        <v>3210</v>
      </c>
      <c r="E809" s="20"/>
      <c r="F809" s="34">
        <v>8.95</v>
      </c>
      <c r="G809" s="22">
        <f t="shared" si="24"/>
        <v>0.745833333333333</v>
      </c>
      <c r="H809" s="85" t="s">
        <v>3211</v>
      </c>
      <c r="I809" s="85" t="s">
        <v>3212</v>
      </c>
      <c r="J809" s="19">
        <v>360</v>
      </c>
      <c r="K809" s="36">
        <v>72</v>
      </c>
      <c r="L809" s="25" t="str">
        <f t="shared" si="25"/>
        <v/>
      </c>
    </row>
    <row r="810" spans="1:12">
      <c r="A810" s="32" t="s">
        <v>3213</v>
      </c>
      <c r="B810" s="19">
        <v>5</v>
      </c>
      <c r="C810" s="33">
        <v>6</v>
      </c>
      <c r="D810" s="32" t="s">
        <v>3214</v>
      </c>
      <c r="E810" s="20"/>
      <c r="F810" s="34">
        <v>5.2</v>
      </c>
      <c r="G810" s="22">
        <f t="shared" si="24"/>
        <v>0.866666666666667</v>
      </c>
      <c r="H810" s="85" t="s">
        <v>3215</v>
      </c>
      <c r="I810" s="85" t="s">
        <v>3216</v>
      </c>
      <c r="J810" s="19">
        <v>800</v>
      </c>
      <c r="K810" s="36">
        <v>80</v>
      </c>
      <c r="L810" s="25" t="str">
        <f t="shared" si="25"/>
        <v/>
      </c>
    </row>
    <row r="811" spans="1:12">
      <c r="A811" s="32" t="s">
        <v>3217</v>
      </c>
      <c r="B811" s="19">
        <v>3</v>
      </c>
      <c r="C811" s="33">
        <v>6</v>
      </c>
      <c r="D811" s="32" t="s">
        <v>3218</v>
      </c>
      <c r="E811" s="20"/>
      <c r="F811" s="34">
        <v>5.2</v>
      </c>
      <c r="G811" s="22">
        <f t="shared" si="24"/>
        <v>0.866666666666667</v>
      </c>
      <c r="H811" s="85" t="s">
        <v>3219</v>
      </c>
      <c r="I811" s="85" t="s">
        <v>3220</v>
      </c>
      <c r="J811" s="19">
        <v>800</v>
      </c>
      <c r="K811" s="36">
        <v>80</v>
      </c>
      <c r="L811" s="25" t="str">
        <f t="shared" si="25"/>
        <v/>
      </c>
    </row>
    <row r="812" spans="1:12">
      <c r="A812" s="32" t="s">
        <v>3221</v>
      </c>
      <c r="B812" s="19">
        <v>441</v>
      </c>
      <c r="C812" s="33">
        <v>6</v>
      </c>
      <c r="D812" s="32" t="s">
        <v>3222</v>
      </c>
      <c r="E812" s="20"/>
      <c r="F812" s="34">
        <v>5.2</v>
      </c>
      <c r="G812" s="22">
        <f t="shared" si="24"/>
        <v>0.866666666666667</v>
      </c>
      <c r="H812" s="85" t="s">
        <v>3223</v>
      </c>
      <c r="I812" s="85" t="s">
        <v>3224</v>
      </c>
      <c r="J812" s="19">
        <v>800</v>
      </c>
      <c r="K812" s="36">
        <v>80</v>
      </c>
      <c r="L812" s="25" t="str">
        <f t="shared" si="25"/>
        <v/>
      </c>
    </row>
    <row r="813" spans="1:12">
      <c r="A813" s="32" t="s">
        <v>3225</v>
      </c>
      <c r="B813" s="19">
        <v>716</v>
      </c>
      <c r="C813" s="33">
        <v>6</v>
      </c>
      <c r="D813" s="32" t="s">
        <v>3226</v>
      </c>
      <c r="E813" s="20"/>
      <c r="F813" s="34">
        <v>5.2</v>
      </c>
      <c r="G813" s="22">
        <f t="shared" si="24"/>
        <v>0.866666666666667</v>
      </c>
      <c r="H813" s="85" t="s">
        <v>3227</v>
      </c>
      <c r="I813" s="85" t="s">
        <v>3228</v>
      </c>
      <c r="J813" s="19">
        <v>800</v>
      </c>
      <c r="K813" s="36">
        <v>80</v>
      </c>
      <c r="L813" s="25" t="str">
        <f t="shared" si="25"/>
        <v/>
      </c>
    </row>
    <row r="814" spans="1:12">
      <c r="A814" s="32" t="s">
        <v>3229</v>
      </c>
      <c r="B814" s="19">
        <v>29</v>
      </c>
      <c r="C814" s="33">
        <v>6</v>
      </c>
      <c r="D814" s="32" t="s">
        <v>3230</v>
      </c>
      <c r="E814" s="20"/>
      <c r="F814" s="34">
        <v>7.8</v>
      </c>
      <c r="G814" s="22">
        <f t="shared" si="24"/>
        <v>1.3</v>
      </c>
      <c r="H814" s="85" t="s">
        <v>3231</v>
      </c>
      <c r="I814" s="85" t="s">
        <v>3232</v>
      </c>
      <c r="J814" s="36">
        <v>320</v>
      </c>
      <c r="K814" s="36">
        <v>80</v>
      </c>
      <c r="L814" s="25" t="str">
        <f t="shared" si="25"/>
        <v/>
      </c>
    </row>
    <row r="815" spans="1:12">
      <c r="A815" s="32" t="s">
        <v>3233</v>
      </c>
      <c r="B815" s="19">
        <v>61</v>
      </c>
      <c r="C815" s="33">
        <v>6</v>
      </c>
      <c r="D815" s="32" t="s">
        <v>3234</v>
      </c>
      <c r="E815" s="20"/>
      <c r="F815" s="34">
        <v>7.8</v>
      </c>
      <c r="G815" s="22">
        <f t="shared" si="24"/>
        <v>1.3</v>
      </c>
      <c r="H815" s="85" t="s">
        <v>3235</v>
      </c>
      <c r="I815" s="85" t="s">
        <v>3236</v>
      </c>
      <c r="J815" s="19">
        <v>320</v>
      </c>
      <c r="K815" s="36">
        <v>80</v>
      </c>
      <c r="L815" s="25" t="str">
        <f t="shared" si="25"/>
        <v/>
      </c>
    </row>
    <row r="816" spans="1:12">
      <c r="A816" s="32" t="s">
        <v>3237</v>
      </c>
      <c r="B816" s="19">
        <v>368</v>
      </c>
      <c r="C816" s="33">
        <v>6</v>
      </c>
      <c r="D816" s="32" t="s">
        <v>3238</v>
      </c>
      <c r="E816" s="20"/>
      <c r="F816" s="34">
        <v>8.4</v>
      </c>
      <c r="G816" s="22">
        <f t="shared" si="24"/>
        <v>1.4</v>
      </c>
      <c r="H816" s="85" t="s">
        <v>3239</v>
      </c>
      <c r="I816" s="85" t="s">
        <v>3240</v>
      </c>
      <c r="J816" s="19">
        <v>320</v>
      </c>
      <c r="K816" s="36">
        <v>80</v>
      </c>
      <c r="L816" s="25" t="str">
        <f t="shared" si="25"/>
        <v/>
      </c>
    </row>
    <row r="817" spans="1:12">
      <c r="A817" s="32" t="s">
        <v>3241</v>
      </c>
      <c r="B817" s="19">
        <v>366</v>
      </c>
      <c r="C817" s="33">
        <v>6</v>
      </c>
      <c r="D817" s="32" t="s">
        <v>3242</v>
      </c>
      <c r="E817" s="20"/>
      <c r="F817" s="34">
        <v>8.4</v>
      </c>
      <c r="G817" s="22">
        <f t="shared" si="24"/>
        <v>1.4</v>
      </c>
      <c r="H817" s="85" t="s">
        <v>3243</v>
      </c>
      <c r="I817" s="85" t="s">
        <v>3244</v>
      </c>
      <c r="J817" s="19">
        <v>320</v>
      </c>
      <c r="K817" s="36">
        <v>80</v>
      </c>
      <c r="L817" s="25" t="str">
        <f t="shared" si="25"/>
        <v/>
      </c>
    </row>
    <row r="818" spans="1:12">
      <c r="A818" s="32" t="s">
        <v>3245</v>
      </c>
      <c r="B818" s="19">
        <v>305</v>
      </c>
      <c r="C818" s="33">
        <v>6</v>
      </c>
      <c r="D818" s="32" t="s">
        <v>3246</v>
      </c>
      <c r="E818" s="20"/>
      <c r="F818" s="34">
        <v>8.4</v>
      </c>
      <c r="G818" s="22">
        <f t="shared" si="24"/>
        <v>1.4</v>
      </c>
      <c r="H818" s="85" t="s">
        <v>3247</v>
      </c>
      <c r="I818" s="85" t="s">
        <v>3248</v>
      </c>
      <c r="J818" s="19">
        <v>320</v>
      </c>
      <c r="K818" s="36">
        <v>80</v>
      </c>
      <c r="L818" s="25" t="str">
        <f t="shared" si="25"/>
        <v/>
      </c>
    </row>
    <row r="819" spans="1:12">
      <c r="A819" s="32" t="s">
        <v>3249</v>
      </c>
      <c r="B819" s="19">
        <v>214</v>
      </c>
      <c r="C819" s="33">
        <v>6</v>
      </c>
      <c r="D819" s="32" t="s">
        <v>3250</v>
      </c>
      <c r="E819" s="20"/>
      <c r="F819" s="34">
        <v>8.4</v>
      </c>
      <c r="G819" s="22">
        <f t="shared" si="24"/>
        <v>1.4</v>
      </c>
      <c r="H819" s="85" t="s">
        <v>3251</v>
      </c>
      <c r="I819" s="85" t="s">
        <v>3252</v>
      </c>
      <c r="J819" s="19">
        <v>320</v>
      </c>
      <c r="K819" s="36">
        <v>80</v>
      </c>
      <c r="L819" s="25" t="str">
        <f t="shared" si="25"/>
        <v/>
      </c>
    </row>
    <row r="820" spans="1:12">
      <c r="A820" s="32" t="s">
        <v>3253</v>
      </c>
      <c r="B820" s="19">
        <v>313</v>
      </c>
      <c r="C820" s="33">
        <v>6</v>
      </c>
      <c r="D820" s="32" t="s">
        <v>3254</v>
      </c>
      <c r="E820" s="20"/>
      <c r="F820" s="34">
        <v>8.4</v>
      </c>
      <c r="G820" s="22">
        <f t="shared" si="24"/>
        <v>1.4</v>
      </c>
      <c r="H820" s="85" t="s">
        <v>3255</v>
      </c>
      <c r="I820" s="85" t="s">
        <v>3256</v>
      </c>
      <c r="J820" s="19">
        <v>320</v>
      </c>
      <c r="K820" s="36">
        <v>80</v>
      </c>
      <c r="L820" s="25" t="str">
        <f t="shared" si="25"/>
        <v/>
      </c>
    </row>
    <row r="821" spans="1:12">
      <c r="A821" s="32" t="s">
        <v>3257</v>
      </c>
      <c r="B821" s="19">
        <v>296</v>
      </c>
      <c r="C821" s="33">
        <v>6</v>
      </c>
      <c r="D821" s="32" t="s">
        <v>3258</v>
      </c>
      <c r="E821" s="20"/>
      <c r="F821" s="34">
        <v>8.4</v>
      </c>
      <c r="G821" s="22">
        <f t="shared" si="24"/>
        <v>1.4</v>
      </c>
      <c r="H821" s="35"/>
      <c r="I821" s="35"/>
      <c r="J821" s="19">
        <v>320</v>
      </c>
      <c r="K821" s="36">
        <v>80</v>
      </c>
      <c r="L821" s="25" t="str">
        <f t="shared" si="25"/>
        <v/>
      </c>
    </row>
    <row r="822" spans="1:12">
      <c r="A822" s="32" t="s">
        <v>3259</v>
      </c>
      <c r="B822" s="19">
        <v>62</v>
      </c>
      <c r="C822" s="33">
        <v>6</v>
      </c>
      <c r="D822" s="32" t="s">
        <v>3260</v>
      </c>
      <c r="E822" s="20"/>
      <c r="F822" s="34">
        <v>8.8</v>
      </c>
      <c r="G822" s="22">
        <f t="shared" si="24"/>
        <v>1.46666666666667</v>
      </c>
      <c r="H822" s="85" t="s">
        <v>3261</v>
      </c>
      <c r="I822" s="85" t="s">
        <v>3262</v>
      </c>
      <c r="J822" s="19">
        <v>152</v>
      </c>
      <c r="K822" s="36">
        <v>38</v>
      </c>
      <c r="L822" s="25" t="str">
        <f t="shared" si="25"/>
        <v/>
      </c>
    </row>
    <row r="823" spans="1:12">
      <c r="A823" s="32" t="s">
        <v>3263</v>
      </c>
      <c r="B823" s="19">
        <v>89</v>
      </c>
      <c r="C823" s="33">
        <v>6</v>
      </c>
      <c r="D823" s="32" t="s">
        <v>3264</v>
      </c>
      <c r="E823" s="20"/>
      <c r="F823" s="34">
        <v>9</v>
      </c>
      <c r="G823" s="22">
        <f t="shared" si="24"/>
        <v>1.5</v>
      </c>
      <c r="H823" s="85" t="s">
        <v>3265</v>
      </c>
      <c r="I823" s="85" t="s">
        <v>3266</v>
      </c>
      <c r="J823" s="19">
        <v>152</v>
      </c>
      <c r="K823" s="36">
        <v>38</v>
      </c>
      <c r="L823" s="25" t="str">
        <f t="shared" si="25"/>
        <v/>
      </c>
    </row>
    <row r="824" spans="1:12">
      <c r="A824" s="32" t="s">
        <v>3267</v>
      </c>
      <c r="B824" s="19">
        <v>95</v>
      </c>
      <c r="C824" s="33">
        <v>6</v>
      </c>
      <c r="D824" s="32" t="s">
        <v>3268</v>
      </c>
      <c r="E824" s="20"/>
      <c r="F824" s="34">
        <v>9</v>
      </c>
      <c r="G824" s="22">
        <f t="shared" si="24"/>
        <v>1.5</v>
      </c>
      <c r="H824" s="85" t="s">
        <v>3269</v>
      </c>
      <c r="I824" s="85" t="s">
        <v>3270</v>
      </c>
      <c r="J824" s="19">
        <v>152</v>
      </c>
      <c r="K824" s="36">
        <v>38</v>
      </c>
      <c r="L824" s="25" t="str">
        <f t="shared" si="25"/>
        <v/>
      </c>
    </row>
    <row r="825" spans="1:12">
      <c r="A825" s="32" t="s">
        <v>3271</v>
      </c>
      <c r="B825" s="19">
        <v>25</v>
      </c>
      <c r="C825" s="33">
        <v>12</v>
      </c>
      <c r="D825" s="32" t="s">
        <v>3272</v>
      </c>
      <c r="E825" s="20"/>
      <c r="F825" s="34">
        <v>19.8</v>
      </c>
      <c r="G825" s="22">
        <f t="shared" si="24"/>
        <v>1.65</v>
      </c>
      <c r="H825" s="85" t="s">
        <v>3273</v>
      </c>
      <c r="I825" s="85" t="s">
        <v>3274</v>
      </c>
      <c r="J825" s="19">
        <v>102</v>
      </c>
      <c r="K825" s="36">
        <v>34</v>
      </c>
      <c r="L825" s="25" t="str">
        <f t="shared" si="25"/>
        <v/>
      </c>
    </row>
    <row r="826" spans="1:12">
      <c r="A826" s="32" t="s">
        <v>3275</v>
      </c>
      <c r="B826" s="19">
        <v>20</v>
      </c>
      <c r="C826" s="33">
        <v>12</v>
      </c>
      <c r="D826" s="32" t="s">
        <v>3276</v>
      </c>
      <c r="E826" s="20"/>
      <c r="F826" s="34">
        <v>19.8</v>
      </c>
      <c r="G826" s="22">
        <f t="shared" si="24"/>
        <v>1.65</v>
      </c>
      <c r="H826" s="85" t="s">
        <v>3277</v>
      </c>
      <c r="I826" s="85" t="s">
        <v>3278</v>
      </c>
      <c r="J826" s="19">
        <v>102</v>
      </c>
      <c r="K826" s="36">
        <v>34</v>
      </c>
      <c r="L826" s="25" t="str">
        <f t="shared" si="25"/>
        <v/>
      </c>
    </row>
    <row r="827" spans="1:12">
      <c r="A827" s="32" t="s">
        <v>3279</v>
      </c>
      <c r="B827" s="19">
        <v>12</v>
      </c>
      <c r="C827" s="33">
        <v>12</v>
      </c>
      <c r="D827" s="32" t="s">
        <v>3280</v>
      </c>
      <c r="E827" s="20"/>
      <c r="F827" s="34">
        <v>19.8</v>
      </c>
      <c r="G827" s="22">
        <f t="shared" si="24"/>
        <v>1.65</v>
      </c>
      <c r="H827" s="85" t="s">
        <v>3281</v>
      </c>
      <c r="I827" s="85" t="s">
        <v>3282</v>
      </c>
      <c r="J827" s="19">
        <v>102</v>
      </c>
      <c r="K827" s="36">
        <v>34</v>
      </c>
      <c r="L827" s="25" t="str">
        <f t="shared" si="25"/>
        <v/>
      </c>
    </row>
    <row r="828" spans="1:12">
      <c r="A828" s="32" t="s">
        <v>3283</v>
      </c>
      <c r="B828" s="19">
        <v>48</v>
      </c>
      <c r="C828" s="33">
        <v>12</v>
      </c>
      <c r="D828" s="32" t="s">
        <v>3284</v>
      </c>
      <c r="E828" s="20"/>
      <c r="F828" s="34">
        <v>19.8</v>
      </c>
      <c r="G828" s="22">
        <f t="shared" si="24"/>
        <v>1.65</v>
      </c>
      <c r="H828" s="85" t="s">
        <v>3285</v>
      </c>
      <c r="I828" s="85" t="s">
        <v>3286</v>
      </c>
      <c r="J828" s="19">
        <v>102</v>
      </c>
      <c r="K828" s="36">
        <v>34</v>
      </c>
      <c r="L828" s="25" t="str">
        <f t="shared" si="25"/>
        <v/>
      </c>
    </row>
    <row r="829" spans="1:12">
      <c r="A829" s="32" t="s">
        <v>3287</v>
      </c>
      <c r="B829" s="19">
        <v>102</v>
      </c>
      <c r="C829" s="33">
        <v>12</v>
      </c>
      <c r="D829" s="32" t="s">
        <v>3288</v>
      </c>
      <c r="E829" s="20"/>
      <c r="F829" s="34">
        <v>19.8</v>
      </c>
      <c r="G829" s="22">
        <f t="shared" si="24"/>
        <v>1.65</v>
      </c>
      <c r="H829" s="85" t="s">
        <v>3289</v>
      </c>
      <c r="I829" s="85" t="s">
        <v>3290</v>
      </c>
      <c r="J829" s="19">
        <v>102</v>
      </c>
      <c r="K829" s="36">
        <v>34</v>
      </c>
      <c r="L829" s="25" t="str">
        <f t="shared" si="25"/>
        <v/>
      </c>
    </row>
    <row r="830" spans="1:12">
      <c r="A830" s="32" t="s">
        <v>3291</v>
      </c>
      <c r="B830" s="19">
        <v>50</v>
      </c>
      <c r="C830" s="33">
        <v>12</v>
      </c>
      <c r="D830" s="32" t="s">
        <v>3292</v>
      </c>
      <c r="E830" s="20"/>
      <c r="F830" s="34">
        <v>19.8</v>
      </c>
      <c r="G830" s="22">
        <f t="shared" si="24"/>
        <v>1.65</v>
      </c>
      <c r="H830" s="85" t="s">
        <v>3293</v>
      </c>
      <c r="I830" s="85" t="s">
        <v>3294</v>
      </c>
      <c r="J830" s="19">
        <v>102</v>
      </c>
      <c r="K830" s="36">
        <v>34</v>
      </c>
      <c r="L830" s="25" t="str">
        <f t="shared" si="25"/>
        <v/>
      </c>
    </row>
    <row r="831" spans="1:12">
      <c r="A831" s="32" t="s">
        <v>3295</v>
      </c>
      <c r="B831" s="19">
        <v>55</v>
      </c>
      <c r="C831" s="33">
        <v>4</v>
      </c>
      <c r="D831" s="32" t="s">
        <v>3296</v>
      </c>
      <c r="E831" s="20"/>
      <c r="F831" s="34">
        <v>7.8</v>
      </c>
      <c r="G831" s="22">
        <f t="shared" ref="G831:G894" si="26">F831/C831</f>
        <v>1.95</v>
      </c>
      <c r="H831" s="85" t="s">
        <v>3297</v>
      </c>
      <c r="I831" s="85" t="s">
        <v>3298</v>
      </c>
      <c r="J831" s="19">
        <v>126</v>
      </c>
      <c r="K831" s="36">
        <v>42</v>
      </c>
      <c r="L831" s="25" t="str">
        <f t="shared" ref="L831:L894" si="27">IF(E831,E831*F831,"")</f>
        <v/>
      </c>
    </row>
    <row r="832" spans="1:12">
      <c r="A832" s="32" t="s">
        <v>3299</v>
      </c>
      <c r="B832" s="19">
        <v>126</v>
      </c>
      <c r="C832" s="33">
        <v>4</v>
      </c>
      <c r="D832" s="32" t="s">
        <v>3300</v>
      </c>
      <c r="E832" s="20"/>
      <c r="F832" s="34">
        <v>7.8</v>
      </c>
      <c r="G832" s="22">
        <f t="shared" si="26"/>
        <v>1.95</v>
      </c>
      <c r="H832" s="85" t="s">
        <v>3301</v>
      </c>
      <c r="I832" s="85" t="s">
        <v>3302</v>
      </c>
      <c r="J832" s="19">
        <v>126</v>
      </c>
      <c r="K832" s="36">
        <v>42</v>
      </c>
      <c r="L832" s="25" t="str">
        <f t="shared" si="27"/>
        <v/>
      </c>
    </row>
    <row r="833" spans="1:12">
      <c r="A833" s="32" t="s">
        <v>3303</v>
      </c>
      <c r="B833" s="19">
        <v>29</v>
      </c>
      <c r="C833" s="33">
        <v>4</v>
      </c>
      <c r="D833" s="32" t="s">
        <v>3304</v>
      </c>
      <c r="E833" s="20"/>
      <c r="F833" s="34">
        <v>7.8</v>
      </c>
      <c r="G833" s="22">
        <f t="shared" si="26"/>
        <v>1.95</v>
      </c>
      <c r="H833" s="85" t="s">
        <v>3305</v>
      </c>
      <c r="I833" s="85" t="s">
        <v>3306</v>
      </c>
      <c r="J833" s="19">
        <v>126</v>
      </c>
      <c r="K833" s="36">
        <v>42</v>
      </c>
      <c r="L833" s="25" t="str">
        <f t="shared" si="27"/>
        <v/>
      </c>
    </row>
    <row r="834" spans="1:12">
      <c r="A834" s="32" t="s">
        <v>3307</v>
      </c>
      <c r="B834" s="33">
        <v>540</v>
      </c>
      <c r="C834" s="33">
        <v>24</v>
      </c>
      <c r="D834" s="32" t="s">
        <v>3308</v>
      </c>
      <c r="E834" s="29"/>
      <c r="F834" s="34">
        <v>19.2</v>
      </c>
      <c r="G834" s="34">
        <f t="shared" si="26"/>
        <v>0.8</v>
      </c>
      <c r="H834" s="85" t="s">
        <v>3309</v>
      </c>
      <c r="I834" s="85" t="s">
        <v>3310</v>
      </c>
      <c r="J834" s="29">
        <v>182</v>
      </c>
      <c r="K834" s="36">
        <v>26</v>
      </c>
      <c r="L834" s="40" t="str">
        <f t="shared" si="27"/>
        <v/>
      </c>
    </row>
    <row r="835" spans="1:12">
      <c r="A835" s="32" t="s">
        <v>3311</v>
      </c>
      <c r="B835" s="33">
        <v>79</v>
      </c>
      <c r="C835" s="33">
        <v>6</v>
      </c>
      <c r="D835" s="32" t="s">
        <v>3312</v>
      </c>
      <c r="E835" s="29"/>
      <c r="F835" s="34">
        <v>7.75</v>
      </c>
      <c r="G835" s="34">
        <f t="shared" si="26"/>
        <v>1.29166666666667</v>
      </c>
      <c r="H835" s="85" t="s">
        <v>3313</v>
      </c>
      <c r="I835" s="85" t="s">
        <v>3314</v>
      </c>
      <c r="J835" s="29">
        <v>1300</v>
      </c>
      <c r="K835" s="36">
        <v>130</v>
      </c>
      <c r="L835" s="40" t="str">
        <f t="shared" si="27"/>
        <v/>
      </c>
    </row>
    <row r="836" spans="1:12">
      <c r="A836" s="32" t="s">
        <v>3315</v>
      </c>
      <c r="B836" s="33">
        <v>92</v>
      </c>
      <c r="C836" s="33">
        <v>6</v>
      </c>
      <c r="D836" s="32" t="s">
        <v>3316</v>
      </c>
      <c r="E836" s="29"/>
      <c r="F836" s="37">
        <v>9.4</v>
      </c>
      <c r="G836" s="37">
        <f t="shared" si="26"/>
        <v>1.56666666666667</v>
      </c>
      <c r="H836" s="85" t="s">
        <v>3317</v>
      </c>
      <c r="I836" s="85" t="s">
        <v>3318</v>
      </c>
      <c r="J836" s="29">
        <v>560</v>
      </c>
      <c r="K836" s="30">
        <v>112</v>
      </c>
      <c r="L836" s="40" t="str">
        <f t="shared" si="27"/>
        <v/>
      </c>
    </row>
    <row r="837" spans="1:12">
      <c r="A837" s="32" t="s">
        <v>3319</v>
      </c>
      <c r="B837" s="33">
        <v>6</v>
      </c>
      <c r="C837" s="33">
        <v>6</v>
      </c>
      <c r="D837" s="32" t="s">
        <v>3320</v>
      </c>
      <c r="E837" s="20"/>
      <c r="F837" s="37">
        <v>10.99</v>
      </c>
      <c r="G837" s="37">
        <f t="shared" si="26"/>
        <v>1.83166666666667</v>
      </c>
      <c r="H837" s="85" t="s">
        <v>3321</v>
      </c>
      <c r="I837" s="85" t="s">
        <v>3322</v>
      </c>
      <c r="J837" s="29">
        <v>396</v>
      </c>
      <c r="K837" s="30">
        <v>66</v>
      </c>
      <c r="L837" s="40" t="str">
        <f t="shared" si="27"/>
        <v/>
      </c>
    </row>
    <row r="838" spans="1:12">
      <c r="A838" s="32" t="s">
        <v>3323</v>
      </c>
      <c r="B838" s="33">
        <v>429</v>
      </c>
      <c r="C838" s="33">
        <v>6</v>
      </c>
      <c r="D838" s="32" t="s">
        <v>3324</v>
      </c>
      <c r="E838" s="29"/>
      <c r="F838" s="34">
        <v>10.99</v>
      </c>
      <c r="G838" s="34">
        <f t="shared" si="26"/>
        <v>1.83166666666667</v>
      </c>
      <c r="H838" s="85" t="s">
        <v>3325</v>
      </c>
      <c r="I838" s="85" t="s">
        <v>3326</v>
      </c>
      <c r="J838" s="29">
        <v>528</v>
      </c>
      <c r="K838" s="36">
        <v>66</v>
      </c>
      <c r="L838" s="40" t="str">
        <f t="shared" si="27"/>
        <v/>
      </c>
    </row>
    <row r="839" spans="1:12">
      <c r="A839" s="32" t="s">
        <v>3327</v>
      </c>
      <c r="B839" s="33">
        <v>26</v>
      </c>
      <c r="C839" s="33">
        <v>6</v>
      </c>
      <c r="D839" s="32" t="s">
        <v>3328</v>
      </c>
      <c r="E839" s="29"/>
      <c r="F839" s="34">
        <v>10.99</v>
      </c>
      <c r="G839" s="34">
        <f t="shared" si="26"/>
        <v>1.83166666666667</v>
      </c>
      <c r="H839" s="85" t="s">
        <v>3329</v>
      </c>
      <c r="I839" s="85" t="s">
        <v>3330</v>
      </c>
      <c r="J839" s="29">
        <v>528</v>
      </c>
      <c r="K839" s="36">
        <v>66</v>
      </c>
      <c r="L839" s="40" t="str">
        <f t="shared" si="27"/>
        <v/>
      </c>
    </row>
    <row r="840" spans="1:12">
      <c r="A840" s="32" t="s">
        <v>3331</v>
      </c>
      <c r="B840" s="33">
        <v>162</v>
      </c>
      <c r="C840" s="33">
        <v>6</v>
      </c>
      <c r="D840" s="32" t="s">
        <v>3332</v>
      </c>
      <c r="E840" s="29"/>
      <c r="F840" s="37">
        <v>10.99</v>
      </c>
      <c r="G840" s="37">
        <f t="shared" si="26"/>
        <v>1.83166666666667</v>
      </c>
      <c r="H840" s="85" t="s">
        <v>3333</v>
      </c>
      <c r="I840" s="85" t="s">
        <v>3334</v>
      </c>
      <c r="J840" s="29">
        <v>396</v>
      </c>
      <c r="K840" s="36">
        <v>66</v>
      </c>
      <c r="L840" s="25" t="str">
        <f t="shared" si="27"/>
        <v/>
      </c>
    </row>
    <row r="841" spans="1:12">
      <c r="A841" s="32" t="s">
        <v>3335</v>
      </c>
      <c r="B841" s="33">
        <v>301</v>
      </c>
      <c r="C841" s="33">
        <v>6</v>
      </c>
      <c r="D841" s="32" t="s">
        <v>3336</v>
      </c>
      <c r="E841" s="20"/>
      <c r="F841" s="34">
        <v>10.99</v>
      </c>
      <c r="G841" s="22">
        <f t="shared" si="26"/>
        <v>1.83166666666667</v>
      </c>
      <c r="H841" s="85" t="s">
        <v>3337</v>
      </c>
      <c r="I841" s="85" t="s">
        <v>3338</v>
      </c>
      <c r="J841" s="29">
        <v>528</v>
      </c>
      <c r="K841" s="36">
        <v>66</v>
      </c>
      <c r="L841" s="25" t="str">
        <f t="shared" si="27"/>
        <v/>
      </c>
    </row>
    <row r="842" spans="1:12">
      <c r="A842" s="32" t="s">
        <v>3339</v>
      </c>
      <c r="B842" s="33">
        <v>419</v>
      </c>
      <c r="C842" s="33">
        <v>6</v>
      </c>
      <c r="D842" s="32" t="s">
        <v>3340</v>
      </c>
      <c r="E842" s="29"/>
      <c r="F842" s="34">
        <v>11.4</v>
      </c>
      <c r="G842" s="34">
        <f t="shared" si="26"/>
        <v>1.9</v>
      </c>
      <c r="H842" s="85" t="s">
        <v>3341</v>
      </c>
      <c r="I842" s="85" t="s">
        <v>3342</v>
      </c>
      <c r="J842" s="29">
        <v>528</v>
      </c>
      <c r="K842" s="36">
        <v>66</v>
      </c>
      <c r="L842" s="40" t="str">
        <f t="shared" si="27"/>
        <v/>
      </c>
    </row>
    <row r="843" spans="1:12">
      <c r="A843" s="32" t="s">
        <v>3343</v>
      </c>
      <c r="B843" s="33">
        <v>359</v>
      </c>
      <c r="C843" s="33">
        <v>6</v>
      </c>
      <c r="D843" s="32" t="s">
        <v>3344</v>
      </c>
      <c r="E843" s="20"/>
      <c r="F843" s="34">
        <v>11.5</v>
      </c>
      <c r="G843" s="34">
        <f t="shared" si="26"/>
        <v>1.91666666666667</v>
      </c>
      <c r="H843" s="85" t="s">
        <v>3345</v>
      </c>
      <c r="I843" s="85" t="s">
        <v>3346</v>
      </c>
      <c r="J843" s="29">
        <v>468</v>
      </c>
      <c r="K843" s="36">
        <v>78</v>
      </c>
      <c r="L843" s="25" t="str">
        <f t="shared" si="27"/>
        <v/>
      </c>
    </row>
    <row r="844" spans="1:12">
      <c r="A844" s="32" t="s">
        <v>3347</v>
      </c>
      <c r="B844" s="33">
        <v>438</v>
      </c>
      <c r="C844" s="33">
        <v>6</v>
      </c>
      <c r="D844" s="32" t="s">
        <v>3348</v>
      </c>
      <c r="E844" s="29"/>
      <c r="F844" s="37">
        <v>11.5</v>
      </c>
      <c r="G844" s="38">
        <f t="shared" si="26"/>
        <v>1.91666666666667</v>
      </c>
      <c r="H844" s="85" t="s">
        <v>3349</v>
      </c>
      <c r="I844" s="85" t="s">
        <v>3350</v>
      </c>
      <c r="J844" s="29">
        <v>468</v>
      </c>
      <c r="K844" s="30">
        <v>78</v>
      </c>
      <c r="L844" s="25" t="str">
        <f t="shared" si="27"/>
        <v/>
      </c>
    </row>
    <row r="845" spans="1:12">
      <c r="A845" s="32" t="s">
        <v>3351</v>
      </c>
      <c r="B845" s="33">
        <v>379</v>
      </c>
      <c r="C845" s="33">
        <v>6</v>
      </c>
      <c r="D845" s="32" t="s">
        <v>3352</v>
      </c>
      <c r="E845" s="29"/>
      <c r="F845" s="34">
        <v>10.99</v>
      </c>
      <c r="G845" s="34">
        <f t="shared" si="26"/>
        <v>1.83166666666667</v>
      </c>
      <c r="H845" s="85" t="s">
        <v>3353</v>
      </c>
      <c r="I845" s="85" t="s">
        <v>3354</v>
      </c>
      <c r="J845" s="29">
        <v>528</v>
      </c>
      <c r="K845" s="36">
        <v>66</v>
      </c>
      <c r="L845" s="40" t="str">
        <f t="shared" si="27"/>
        <v/>
      </c>
    </row>
    <row r="846" spans="1:12">
      <c r="A846" s="32" t="s">
        <v>3355</v>
      </c>
      <c r="B846" s="33">
        <v>946</v>
      </c>
      <c r="C846" s="33">
        <v>6</v>
      </c>
      <c r="D846" s="32" t="s">
        <v>3356</v>
      </c>
      <c r="E846" s="29"/>
      <c r="F846" s="34">
        <v>10.99</v>
      </c>
      <c r="G846" s="34">
        <f t="shared" si="26"/>
        <v>1.83166666666667</v>
      </c>
      <c r="H846" s="85" t="s">
        <v>3357</v>
      </c>
      <c r="I846" s="85" t="s">
        <v>3358</v>
      </c>
      <c r="J846" s="29">
        <v>528</v>
      </c>
      <c r="K846" s="36">
        <v>66</v>
      </c>
      <c r="L846" s="40" t="str">
        <f t="shared" si="27"/>
        <v/>
      </c>
    </row>
    <row r="847" spans="1:12">
      <c r="A847" s="42" t="s">
        <v>3359</v>
      </c>
      <c r="B847" s="33">
        <v>63</v>
      </c>
      <c r="C847" s="33">
        <v>6</v>
      </c>
      <c r="D847" s="32" t="s">
        <v>3360</v>
      </c>
      <c r="E847" s="29"/>
      <c r="F847" s="34">
        <v>9.6</v>
      </c>
      <c r="G847" s="34">
        <f t="shared" si="26"/>
        <v>1.6</v>
      </c>
      <c r="H847" s="35"/>
      <c r="I847" s="35"/>
      <c r="J847" s="29"/>
      <c r="K847" s="36"/>
      <c r="L847" s="40" t="str">
        <f t="shared" si="27"/>
        <v/>
      </c>
    </row>
    <row r="848" spans="1:12">
      <c r="A848" s="32" t="s">
        <v>3361</v>
      </c>
      <c r="B848" s="33">
        <v>281</v>
      </c>
      <c r="C848" s="33">
        <v>12</v>
      </c>
      <c r="D848" s="32" t="s">
        <v>3362</v>
      </c>
      <c r="E848" s="20"/>
      <c r="F848" s="34">
        <v>5.95</v>
      </c>
      <c r="G848" s="34">
        <f t="shared" si="26"/>
        <v>0.495833333333333</v>
      </c>
      <c r="H848" s="85" t="s">
        <v>3363</v>
      </c>
      <c r="I848" s="85" t="s">
        <v>3364</v>
      </c>
      <c r="J848" s="29">
        <v>768</v>
      </c>
      <c r="K848" s="36">
        <v>96</v>
      </c>
      <c r="L848" s="25" t="str">
        <f t="shared" si="27"/>
        <v/>
      </c>
    </row>
    <row r="849" spans="1:12">
      <c r="A849" s="32" t="s">
        <v>3365</v>
      </c>
      <c r="B849" s="33">
        <v>132</v>
      </c>
      <c r="C849" s="33">
        <v>12</v>
      </c>
      <c r="D849" s="32" t="s">
        <v>3366</v>
      </c>
      <c r="E849" s="20"/>
      <c r="F849" s="34">
        <v>21.95</v>
      </c>
      <c r="G849" s="34">
        <f t="shared" si="26"/>
        <v>1.82916666666667</v>
      </c>
      <c r="H849" s="85" t="s">
        <v>3367</v>
      </c>
      <c r="I849" s="85" t="s">
        <v>3367</v>
      </c>
      <c r="J849" s="29">
        <v>350</v>
      </c>
      <c r="K849" s="36">
        <v>70</v>
      </c>
      <c r="L849" s="25" t="str">
        <f t="shared" si="27"/>
        <v/>
      </c>
    </row>
    <row r="850" spans="1:12">
      <c r="A850" s="32" t="s">
        <v>3368</v>
      </c>
      <c r="B850" s="33">
        <v>284</v>
      </c>
      <c r="C850" s="33">
        <v>12</v>
      </c>
      <c r="D850" s="32" t="s">
        <v>3369</v>
      </c>
      <c r="E850" s="20"/>
      <c r="F850" s="34">
        <v>21.95</v>
      </c>
      <c r="G850" s="34">
        <f t="shared" si="26"/>
        <v>1.82916666666667</v>
      </c>
      <c r="H850" s="85" t="s">
        <v>3370</v>
      </c>
      <c r="I850" s="85" t="s">
        <v>3371</v>
      </c>
      <c r="J850" s="29">
        <v>350</v>
      </c>
      <c r="K850" s="36">
        <v>70</v>
      </c>
      <c r="L850" s="25" t="str">
        <f t="shared" si="27"/>
        <v/>
      </c>
    </row>
    <row r="851" spans="1:12">
      <c r="A851" s="32" t="s">
        <v>3372</v>
      </c>
      <c r="B851" s="33">
        <v>326</v>
      </c>
      <c r="C851" s="33">
        <v>12</v>
      </c>
      <c r="D851" s="32" t="s">
        <v>3373</v>
      </c>
      <c r="E851" s="20"/>
      <c r="F851" s="34">
        <v>24.15</v>
      </c>
      <c r="G851" s="22">
        <f t="shared" si="26"/>
        <v>2.0125</v>
      </c>
      <c r="H851" s="85" t="s">
        <v>3374</v>
      </c>
      <c r="I851" s="85" t="s">
        <v>3375</v>
      </c>
      <c r="J851" s="29">
        <v>350</v>
      </c>
      <c r="K851" s="36">
        <v>70</v>
      </c>
      <c r="L851" s="25" t="str">
        <f t="shared" si="27"/>
        <v/>
      </c>
    </row>
    <row r="852" spans="1:12">
      <c r="A852" s="32" t="s">
        <v>3376</v>
      </c>
      <c r="B852" s="33">
        <v>153</v>
      </c>
      <c r="C852" s="33">
        <v>12</v>
      </c>
      <c r="D852" s="32" t="s">
        <v>3377</v>
      </c>
      <c r="E852" s="20"/>
      <c r="F852" s="34">
        <v>24.15</v>
      </c>
      <c r="G852" s="22">
        <f t="shared" si="26"/>
        <v>2.0125</v>
      </c>
      <c r="H852" s="85" t="s">
        <v>3378</v>
      </c>
      <c r="I852" s="85" t="s">
        <v>3379</v>
      </c>
      <c r="J852" s="29">
        <v>350</v>
      </c>
      <c r="K852" s="36">
        <v>70</v>
      </c>
      <c r="L852" s="25" t="str">
        <f t="shared" si="27"/>
        <v/>
      </c>
    </row>
    <row r="853" spans="1:12">
      <c r="A853" s="32" t="s">
        <v>3380</v>
      </c>
      <c r="B853" s="33">
        <v>618</v>
      </c>
      <c r="C853" s="33">
        <v>12</v>
      </c>
      <c r="D853" s="32" t="s">
        <v>3381</v>
      </c>
      <c r="E853" s="20"/>
      <c r="F853" s="34">
        <v>24.15</v>
      </c>
      <c r="G853" s="22">
        <f t="shared" si="26"/>
        <v>2.0125</v>
      </c>
      <c r="H853" s="85" t="s">
        <v>3382</v>
      </c>
      <c r="I853" s="85" t="s">
        <v>3383</v>
      </c>
      <c r="J853" s="29">
        <v>350</v>
      </c>
      <c r="K853" s="36">
        <v>70</v>
      </c>
      <c r="L853" s="25" t="str">
        <f t="shared" si="27"/>
        <v/>
      </c>
    </row>
    <row r="854" spans="1:12">
      <c r="A854" s="32" t="s">
        <v>3384</v>
      </c>
      <c r="B854" s="33">
        <v>157</v>
      </c>
      <c r="C854" s="33">
        <v>12</v>
      </c>
      <c r="D854" s="32" t="s">
        <v>3385</v>
      </c>
      <c r="E854" s="20"/>
      <c r="F854" s="34">
        <v>23.5</v>
      </c>
      <c r="G854" s="22">
        <f t="shared" si="26"/>
        <v>1.95833333333333</v>
      </c>
      <c r="H854" s="85" t="s">
        <v>3386</v>
      </c>
      <c r="I854" s="85" t="s">
        <v>3387</v>
      </c>
      <c r="J854" s="29">
        <v>350</v>
      </c>
      <c r="K854" s="36">
        <v>70</v>
      </c>
      <c r="L854" s="25" t="str">
        <f t="shared" si="27"/>
        <v/>
      </c>
    </row>
    <row r="855" spans="1:12">
      <c r="A855" s="32" t="s">
        <v>3388</v>
      </c>
      <c r="B855" s="33">
        <v>465</v>
      </c>
      <c r="C855" s="33">
        <v>12</v>
      </c>
      <c r="D855" s="32" t="s">
        <v>3389</v>
      </c>
      <c r="E855" s="20"/>
      <c r="F855" s="34">
        <v>23.5</v>
      </c>
      <c r="G855" s="22">
        <f t="shared" si="26"/>
        <v>1.95833333333333</v>
      </c>
      <c r="H855" s="85" t="s">
        <v>3390</v>
      </c>
      <c r="I855" s="85" t="s">
        <v>3391</v>
      </c>
      <c r="J855" s="29">
        <v>350</v>
      </c>
      <c r="K855" s="36">
        <v>70</v>
      </c>
      <c r="L855" s="25" t="str">
        <f t="shared" si="27"/>
        <v/>
      </c>
    </row>
    <row r="856" spans="1:12">
      <c r="A856" s="32" t="s">
        <v>3392</v>
      </c>
      <c r="B856" s="33">
        <v>159</v>
      </c>
      <c r="C856" s="33">
        <v>12</v>
      </c>
      <c r="D856" s="32" t="s">
        <v>3393</v>
      </c>
      <c r="E856" s="20"/>
      <c r="F856" s="37">
        <v>6.9</v>
      </c>
      <c r="G856" s="38">
        <f t="shared" si="26"/>
        <v>0.575</v>
      </c>
      <c r="H856" s="85" t="s">
        <v>3394</v>
      </c>
      <c r="I856" s="85" t="s">
        <v>3395</v>
      </c>
      <c r="J856" s="29">
        <v>360</v>
      </c>
      <c r="K856" s="36">
        <v>72</v>
      </c>
      <c r="L856" s="25" t="str">
        <f t="shared" si="27"/>
        <v/>
      </c>
    </row>
    <row r="857" spans="1:12">
      <c r="A857" s="32" t="s">
        <v>3396</v>
      </c>
      <c r="B857" s="33">
        <v>196</v>
      </c>
      <c r="C857" s="33">
        <v>12</v>
      </c>
      <c r="D857" s="32" t="s">
        <v>3397</v>
      </c>
      <c r="E857" s="20"/>
      <c r="F857" s="37">
        <v>6.9</v>
      </c>
      <c r="G857" s="38">
        <f t="shared" si="26"/>
        <v>0.575</v>
      </c>
      <c r="H857" s="85" t="s">
        <v>3398</v>
      </c>
      <c r="I857" s="85" t="s">
        <v>3399</v>
      </c>
      <c r="J857" s="29">
        <v>360</v>
      </c>
      <c r="K857" s="30">
        <v>72</v>
      </c>
      <c r="L857" s="25" t="str">
        <f t="shared" si="27"/>
        <v/>
      </c>
    </row>
    <row r="858" spans="1:12">
      <c r="A858" s="32" t="s">
        <v>3400</v>
      </c>
      <c r="B858" s="33">
        <v>158</v>
      </c>
      <c r="C858" s="33">
        <v>12</v>
      </c>
      <c r="D858" s="32" t="s">
        <v>3401</v>
      </c>
      <c r="E858" s="20"/>
      <c r="F858" s="37">
        <v>7.2</v>
      </c>
      <c r="G858" s="38">
        <f t="shared" si="26"/>
        <v>0.6</v>
      </c>
      <c r="H858" s="85" t="s">
        <v>3402</v>
      </c>
      <c r="I858" s="85" t="s">
        <v>3403</v>
      </c>
      <c r="J858" s="29">
        <v>360</v>
      </c>
      <c r="K858" s="36">
        <v>72</v>
      </c>
      <c r="L858" s="25" t="str">
        <f t="shared" si="27"/>
        <v/>
      </c>
    </row>
    <row r="859" spans="1:12">
      <c r="A859" s="32" t="s">
        <v>3404</v>
      </c>
      <c r="B859" s="33">
        <v>138</v>
      </c>
      <c r="C859" s="33">
        <v>12</v>
      </c>
      <c r="D859" s="32" t="s">
        <v>3405</v>
      </c>
      <c r="E859" s="20"/>
      <c r="F859" s="34">
        <v>3.6</v>
      </c>
      <c r="G859" s="22">
        <f t="shared" si="26"/>
        <v>0.3</v>
      </c>
      <c r="H859" s="85" t="s">
        <v>3406</v>
      </c>
      <c r="I859" s="85" t="s">
        <v>2304</v>
      </c>
      <c r="J859" s="29"/>
      <c r="K859" s="36"/>
      <c r="L859" s="25" t="str">
        <f t="shared" si="27"/>
        <v/>
      </c>
    </row>
    <row r="860" spans="1:12">
      <c r="A860" s="32" t="s">
        <v>3407</v>
      </c>
      <c r="B860" s="33">
        <v>57</v>
      </c>
      <c r="C860" s="33">
        <v>10</v>
      </c>
      <c r="D860" s="32" t="s">
        <v>3408</v>
      </c>
      <c r="E860" s="20"/>
      <c r="F860" s="34">
        <v>4.08</v>
      </c>
      <c r="G860" s="22">
        <f t="shared" si="26"/>
        <v>0.408</v>
      </c>
      <c r="H860" s="85" t="s">
        <v>3409</v>
      </c>
      <c r="I860" s="85" t="s">
        <v>3410</v>
      </c>
      <c r="J860" s="29"/>
      <c r="K860" s="36"/>
      <c r="L860" s="25" t="str">
        <f t="shared" si="27"/>
        <v/>
      </c>
    </row>
    <row r="861" spans="1:12">
      <c r="A861" s="32" t="s">
        <v>3411</v>
      </c>
      <c r="B861" s="19">
        <v>0</v>
      </c>
      <c r="C861" s="33">
        <v>6</v>
      </c>
      <c r="D861" s="32" t="s">
        <v>3412</v>
      </c>
      <c r="E861" s="20"/>
      <c r="F861" s="34">
        <v>9</v>
      </c>
      <c r="G861" s="22">
        <f t="shared" si="26"/>
        <v>1.5</v>
      </c>
      <c r="H861" s="85" t="s">
        <v>3413</v>
      </c>
      <c r="I861" s="85" t="s">
        <v>3414</v>
      </c>
      <c r="J861" s="19">
        <v>528</v>
      </c>
      <c r="K861" s="36">
        <v>66</v>
      </c>
      <c r="L861" s="25" t="str">
        <f t="shared" si="27"/>
        <v/>
      </c>
    </row>
    <row r="862" spans="1:12">
      <c r="A862" s="32" t="s">
        <v>3415</v>
      </c>
      <c r="B862" s="33">
        <v>312</v>
      </c>
      <c r="C862" s="33">
        <v>6</v>
      </c>
      <c r="D862" s="32" t="s">
        <v>3416</v>
      </c>
      <c r="E862" s="20"/>
      <c r="F862" s="34">
        <v>9</v>
      </c>
      <c r="G862" s="22">
        <f t="shared" si="26"/>
        <v>1.5</v>
      </c>
      <c r="H862" s="85" t="s">
        <v>3417</v>
      </c>
      <c r="I862" s="85" t="s">
        <v>3418</v>
      </c>
      <c r="J862" s="29">
        <v>528</v>
      </c>
      <c r="K862" s="36">
        <v>66</v>
      </c>
      <c r="L862" s="25" t="str">
        <f t="shared" si="27"/>
        <v/>
      </c>
    </row>
    <row r="863" spans="1:12">
      <c r="A863" s="32" t="s">
        <v>3419</v>
      </c>
      <c r="B863" s="19">
        <v>343</v>
      </c>
      <c r="C863" s="33">
        <v>6</v>
      </c>
      <c r="D863" s="32" t="s">
        <v>3420</v>
      </c>
      <c r="E863" s="20"/>
      <c r="F863" s="34">
        <v>9</v>
      </c>
      <c r="G863" s="22">
        <f t="shared" si="26"/>
        <v>1.5</v>
      </c>
      <c r="H863" s="85" t="s">
        <v>3421</v>
      </c>
      <c r="I863" s="85" t="s">
        <v>3422</v>
      </c>
      <c r="J863" s="19">
        <v>528</v>
      </c>
      <c r="K863" s="36">
        <v>66</v>
      </c>
      <c r="L863" s="25" t="str">
        <f t="shared" si="27"/>
        <v/>
      </c>
    </row>
    <row r="864" spans="1:12">
      <c r="A864" s="32" t="s">
        <v>3423</v>
      </c>
      <c r="B864" s="19">
        <v>983</v>
      </c>
      <c r="C864" s="33">
        <v>12</v>
      </c>
      <c r="D864" s="32" t="s">
        <v>3424</v>
      </c>
      <c r="E864" s="29"/>
      <c r="F864" s="34">
        <v>36</v>
      </c>
      <c r="G864" s="22">
        <f t="shared" si="26"/>
        <v>3</v>
      </c>
      <c r="H864" s="85" t="s">
        <v>3425</v>
      </c>
      <c r="I864" s="85" t="s">
        <v>3426</v>
      </c>
      <c r="J864" s="20">
        <v>300</v>
      </c>
      <c r="K864" s="36">
        <v>25</v>
      </c>
      <c r="L864" s="25" t="str">
        <f t="shared" si="27"/>
        <v/>
      </c>
    </row>
    <row r="865" spans="1:12">
      <c r="A865" s="32" t="s">
        <v>3427</v>
      </c>
      <c r="B865" s="19">
        <v>212</v>
      </c>
      <c r="C865" s="33">
        <v>12</v>
      </c>
      <c r="D865" s="32" t="s">
        <v>3428</v>
      </c>
      <c r="E865" s="29"/>
      <c r="F865" s="34">
        <v>61.35</v>
      </c>
      <c r="G865" s="22">
        <f t="shared" si="26"/>
        <v>5.1125</v>
      </c>
      <c r="H865" s="85" t="s">
        <v>3429</v>
      </c>
      <c r="I865" s="85" t="s">
        <v>3430</v>
      </c>
      <c r="J865" s="20">
        <v>240</v>
      </c>
      <c r="K865" s="36">
        <v>40</v>
      </c>
      <c r="L865" s="25" t="str">
        <f t="shared" si="27"/>
        <v/>
      </c>
    </row>
    <row r="866" spans="1:12">
      <c r="A866" s="32" t="s">
        <v>3431</v>
      </c>
      <c r="B866" s="19">
        <v>624</v>
      </c>
      <c r="C866" s="33">
        <v>6</v>
      </c>
      <c r="D866" s="32" t="s">
        <v>3432</v>
      </c>
      <c r="E866" s="29"/>
      <c r="F866" s="34">
        <v>41.5</v>
      </c>
      <c r="G866" s="22">
        <f t="shared" si="26"/>
        <v>6.91666666666667</v>
      </c>
      <c r="H866" s="85" t="s">
        <v>3433</v>
      </c>
      <c r="I866" s="85" t="s">
        <v>3434</v>
      </c>
      <c r="J866" s="20">
        <v>168</v>
      </c>
      <c r="K866" s="36">
        <v>16</v>
      </c>
      <c r="L866" s="25" t="str">
        <f t="shared" si="27"/>
        <v/>
      </c>
    </row>
    <row r="867" spans="1:12">
      <c r="A867" s="32" t="s">
        <v>3435</v>
      </c>
      <c r="B867" s="33">
        <v>573</v>
      </c>
      <c r="C867" s="33">
        <v>6</v>
      </c>
      <c r="D867" s="32" t="s">
        <v>3436</v>
      </c>
      <c r="E867" s="20"/>
      <c r="F867" s="34">
        <v>5.95</v>
      </c>
      <c r="G867" s="22">
        <f t="shared" si="26"/>
        <v>0.991666666666667</v>
      </c>
      <c r="H867" s="85" t="s">
        <v>3437</v>
      </c>
      <c r="I867" s="85" t="s">
        <v>3438</v>
      </c>
      <c r="J867" s="29">
        <v>1089</v>
      </c>
      <c r="K867" s="36">
        <v>99</v>
      </c>
      <c r="L867" s="40" t="str">
        <f t="shared" si="27"/>
        <v/>
      </c>
    </row>
    <row r="868" spans="1:12">
      <c r="A868" s="32" t="s">
        <v>3439</v>
      </c>
      <c r="B868" s="33">
        <v>732</v>
      </c>
      <c r="C868" s="33">
        <v>6</v>
      </c>
      <c r="D868" s="32" t="s">
        <v>3440</v>
      </c>
      <c r="E868" s="20"/>
      <c r="F868" s="34">
        <v>5.95</v>
      </c>
      <c r="G868" s="22">
        <f t="shared" si="26"/>
        <v>0.991666666666667</v>
      </c>
      <c r="H868" s="85" t="s">
        <v>3441</v>
      </c>
      <c r="I868" s="85" t="s">
        <v>3442</v>
      </c>
      <c r="J868" s="29">
        <v>1089</v>
      </c>
      <c r="K868" s="36">
        <v>99</v>
      </c>
      <c r="L868" s="40" t="str">
        <f t="shared" si="27"/>
        <v/>
      </c>
    </row>
    <row r="869" spans="1:12">
      <c r="A869" s="32" t="s">
        <v>3443</v>
      </c>
      <c r="B869" s="33">
        <v>66</v>
      </c>
      <c r="C869" s="33">
        <v>6</v>
      </c>
      <c r="D869" s="32" t="s">
        <v>3444</v>
      </c>
      <c r="E869" s="20"/>
      <c r="F869" s="34">
        <v>5.95</v>
      </c>
      <c r="G869" s="34">
        <f t="shared" si="26"/>
        <v>0.991666666666667</v>
      </c>
      <c r="H869" s="85" t="s">
        <v>3445</v>
      </c>
      <c r="I869" s="85" t="s">
        <v>3446</v>
      </c>
      <c r="J869" s="29">
        <v>1089</v>
      </c>
      <c r="K869" s="36">
        <v>99</v>
      </c>
      <c r="L869" s="25" t="str">
        <f t="shared" si="27"/>
        <v/>
      </c>
    </row>
    <row r="870" spans="1:12">
      <c r="A870" s="32" t="s">
        <v>3447</v>
      </c>
      <c r="B870" s="33">
        <v>484</v>
      </c>
      <c r="C870" s="33">
        <v>6</v>
      </c>
      <c r="D870" s="32" t="s">
        <v>3448</v>
      </c>
      <c r="E870" s="20"/>
      <c r="F870" s="34">
        <v>5.95</v>
      </c>
      <c r="G870" s="34">
        <f t="shared" si="26"/>
        <v>0.991666666666667</v>
      </c>
      <c r="H870" s="85" t="s">
        <v>3449</v>
      </c>
      <c r="I870" s="85" t="s">
        <v>3450</v>
      </c>
      <c r="J870" s="29">
        <v>1089</v>
      </c>
      <c r="K870" s="36">
        <v>99</v>
      </c>
      <c r="L870" s="25" t="str">
        <f t="shared" si="27"/>
        <v/>
      </c>
    </row>
    <row r="871" spans="1:12">
      <c r="A871" s="32" t="s">
        <v>3451</v>
      </c>
      <c r="B871" s="33">
        <v>1440</v>
      </c>
      <c r="C871" s="33">
        <v>6</v>
      </c>
      <c r="D871" s="32" t="s">
        <v>3452</v>
      </c>
      <c r="E871" s="29"/>
      <c r="F871" s="34">
        <v>5.95</v>
      </c>
      <c r="G871" s="34">
        <f t="shared" si="26"/>
        <v>0.991666666666667</v>
      </c>
      <c r="H871" s="85" t="s">
        <v>3453</v>
      </c>
      <c r="I871" s="85" t="s">
        <v>3454</v>
      </c>
      <c r="J871" s="29">
        <v>1089</v>
      </c>
      <c r="K871" s="30">
        <v>99</v>
      </c>
      <c r="L871" s="40" t="str">
        <f t="shared" si="27"/>
        <v/>
      </c>
    </row>
    <row r="872" spans="1:12">
      <c r="A872" s="32" t="s">
        <v>3455</v>
      </c>
      <c r="B872" s="33">
        <v>1546</v>
      </c>
      <c r="C872" s="33">
        <v>6</v>
      </c>
      <c r="D872" s="32" t="s">
        <v>3456</v>
      </c>
      <c r="E872" s="29"/>
      <c r="F872" s="34">
        <v>5.95</v>
      </c>
      <c r="G872" s="34">
        <f t="shared" si="26"/>
        <v>0.991666666666667</v>
      </c>
      <c r="H872" s="85" t="s">
        <v>3457</v>
      </c>
      <c r="I872" s="85" t="s">
        <v>3458</v>
      </c>
      <c r="J872" s="29">
        <v>1089</v>
      </c>
      <c r="K872" s="30">
        <v>99</v>
      </c>
      <c r="L872" s="40" t="str">
        <f t="shared" si="27"/>
        <v/>
      </c>
    </row>
    <row r="873" spans="1:12">
      <c r="A873" s="32" t="s">
        <v>3459</v>
      </c>
      <c r="B873" s="33">
        <v>765</v>
      </c>
      <c r="C873" s="33">
        <v>6</v>
      </c>
      <c r="D873" s="32" t="s">
        <v>3460</v>
      </c>
      <c r="E873" s="20"/>
      <c r="F873" s="34">
        <v>5.95</v>
      </c>
      <c r="G873" s="34">
        <f t="shared" si="26"/>
        <v>0.991666666666667</v>
      </c>
      <c r="H873" s="85" t="s">
        <v>3461</v>
      </c>
      <c r="I873" s="85" t="s">
        <v>3462</v>
      </c>
      <c r="J873" s="29">
        <v>1089</v>
      </c>
      <c r="K873" s="36">
        <v>99</v>
      </c>
      <c r="L873" s="25" t="str">
        <f t="shared" si="27"/>
        <v/>
      </c>
    </row>
    <row r="874" spans="1:12">
      <c r="A874" s="32" t="s">
        <v>3463</v>
      </c>
      <c r="B874" s="33">
        <v>237</v>
      </c>
      <c r="C874" s="33">
        <v>6</v>
      </c>
      <c r="D874" s="32" t="s">
        <v>3464</v>
      </c>
      <c r="E874" s="20"/>
      <c r="F874" s="34">
        <v>5.95</v>
      </c>
      <c r="G874" s="34">
        <f t="shared" si="26"/>
        <v>0.991666666666667</v>
      </c>
      <c r="H874" s="85" t="s">
        <v>3465</v>
      </c>
      <c r="I874" s="85" t="s">
        <v>3466</v>
      </c>
      <c r="J874" s="29">
        <v>1089</v>
      </c>
      <c r="K874" s="36">
        <v>99</v>
      </c>
      <c r="L874" s="25" t="str">
        <f t="shared" si="27"/>
        <v/>
      </c>
    </row>
    <row r="875" spans="1:12">
      <c r="A875" s="32" t="s">
        <v>3467</v>
      </c>
      <c r="B875" s="33">
        <v>88</v>
      </c>
      <c r="C875" s="33">
        <v>6</v>
      </c>
      <c r="D875" s="32" t="s">
        <v>3468</v>
      </c>
      <c r="E875" s="20"/>
      <c r="F875" s="34">
        <v>5.95</v>
      </c>
      <c r="G875" s="34">
        <f t="shared" si="26"/>
        <v>0.991666666666667</v>
      </c>
      <c r="H875" s="85" t="s">
        <v>3469</v>
      </c>
      <c r="I875" s="85" t="s">
        <v>3470</v>
      </c>
      <c r="J875" s="29">
        <v>1089</v>
      </c>
      <c r="K875" s="36">
        <v>99</v>
      </c>
      <c r="L875" s="25" t="str">
        <f t="shared" si="27"/>
        <v/>
      </c>
    </row>
    <row r="876" spans="1:12">
      <c r="A876" s="32" t="s">
        <v>3471</v>
      </c>
      <c r="B876" s="33">
        <v>1125</v>
      </c>
      <c r="C876" s="33">
        <v>6</v>
      </c>
      <c r="D876" s="32" t="s">
        <v>3472</v>
      </c>
      <c r="E876" s="20"/>
      <c r="F876" s="34">
        <v>5.95</v>
      </c>
      <c r="G876" s="34">
        <f t="shared" si="26"/>
        <v>0.991666666666667</v>
      </c>
      <c r="H876" s="85" t="s">
        <v>3473</v>
      </c>
      <c r="I876" s="85" t="s">
        <v>3474</v>
      </c>
      <c r="J876" s="29">
        <v>1089</v>
      </c>
      <c r="K876" s="36">
        <v>99</v>
      </c>
      <c r="L876" s="25" t="str">
        <f t="shared" si="27"/>
        <v/>
      </c>
    </row>
    <row r="877" spans="1:12">
      <c r="A877" s="32" t="s">
        <v>3475</v>
      </c>
      <c r="B877" s="33">
        <v>6</v>
      </c>
      <c r="C877" s="33">
        <v>6</v>
      </c>
      <c r="D877" s="32" t="s">
        <v>3476</v>
      </c>
      <c r="E877" s="29"/>
      <c r="F877" s="34">
        <v>5.95</v>
      </c>
      <c r="G877" s="34">
        <f t="shared" si="26"/>
        <v>0.991666666666667</v>
      </c>
      <c r="H877" s="85" t="s">
        <v>3477</v>
      </c>
      <c r="I877" s="85" t="s">
        <v>3478</v>
      </c>
      <c r="J877" s="29">
        <v>1089</v>
      </c>
      <c r="K877" s="30">
        <v>99</v>
      </c>
      <c r="L877" s="40" t="str">
        <f t="shared" si="27"/>
        <v/>
      </c>
    </row>
    <row r="878" spans="1:12">
      <c r="A878" s="32" t="s">
        <v>3479</v>
      </c>
      <c r="B878" s="33">
        <v>421</v>
      </c>
      <c r="C878" s="33">
        <v>6</v>
      </c>
      <c r="D878" s="32" t="s">
        <v>3480</v>
      </c>
      <c r="E878" s="20"/>
      <c r="F878" s="34">
        <v>5.95</v>
      </c>
      <c r="G878" s="34">
        <f t="shared" si="26"/>
        <v>0.991666666666667</v>
      </c>
      <c r="H878" s="85" t="s">
        <v>3481</v>
      </c>
      <c r="I878" s="85" t="s">
        <v>3482</v>
      </c>
      <c r="J878" s="29">
        <v>1089</v>
      </c>
      <c r="K878" s="36">
        <v>99</v>
      </c>
      <c r="L878" s="25" t="str">
        <f t="shared" si="27"/>
        <v/>
      </c>
    </row>
    <row r="879" spans="1:12">
      <c r="A879" s="32" t="s">
        <v>3483</v>
      </c>
      <c r="B879" s="33">
        <v>543</v>
      </c>
      <c r="C879" s="33">
        <v>6</v>
      </c>
      <c r="D879" s="32" t="s">
        <v>3484</v>
      </c>
      <c r="E879" s="20"/>
      <c r="F879" s="34">
        <v>5.95</v>
      </c>
      <c r="G879" s="34">
        <f t="shared" si="26"/>
        <v>0.991666666666667</v>
      </c>
      <c r="H879" s="85" t="s">
        <v>3485</v>
      </c>
      <c r="I879" s="85" t="s">
        <v>3486</v>
      </c>
      <c r="J879" s="29">
        <v>1089</v>
      </c>
      <c r="K879" s="36">
        <v>99</v>
      </c>
      <c r="L879" s="25" t="str">
        <f t="shared" si="27"/>
        <v/>
      </c>
    </row>
    <row r="880" spans="1:12">
      <c r="A880" s="32" t="s">
        <v>3487</v>
      </c>
      <c r="B880" s="33">
        <v>73</v>
      </c>
      <c r="C880" s="33">
        <v>6</v>
      </c>
      <c r="D880" s="32" t="s">
        <v>3488</v>
      </c>
      <c r="E880" s="20"/>
      <c r="F880" s="34">
        <v>6.9</v>
      </c>
      <c r="G880" s="22">
        <f t="shared" si="26"/>
        <v>1.15</v>
      </c>
      <c r="H880" s="85" t="s">
        <v>3489</v>
      </c>
      <c r="I880" s="85" t="s">
        <v>3490</v>
      </c>
      <c r="J880" s="29">
        <v>560</v>
      </c>
      <c r="K880" s="36">
        <v>80</v>
      </c>
      <c r="L880" s="25" t="str">
        <f t="shared" si="27"/>
        <v/>
      </c>
    </row>
    <row r="881" spans="1:12">
      <c r="A881" s="32" t="s">
        <v>3491</v>
      </c>
      <c r="B881" s="33">
        <v>220</v>
      </c>
      <c r="C881" s="33">
        <v>6</v>
      </c>
      <c r="D881" s="32" t="s">
        <v>3492</v>
      </c>
      <c r="E881" s="20"/>
      <c r="F881" s="34">
        <v>6.9</v>
      </c>
      <c r="G881" s="22">
        <f t="shared" si="26"/>
        <v>1.15</v>
      </c>
      <c r="H881" s="85" t="s">
        <v>3493</v>
      </c>
      <c r="I881" s="85" t="s">
        <v>3494</v>
      </c>
      <c r="J881" s="29">
        <v>560</v>
      </c>
      <c r="K881" s="36">
        <v>80</v>
      </c>
      <c r="L881" s="25" t="str">
        <f t="shared" si="27"/>
        <v/>
      </c>
    </row>
    <row r="882" spans="1:12">
      <c r="A882" s="32" t="s">
        <v>3495</v>
      </c>
      <c r="B882" s="33">
        <v>1707</v>
      </c>
      <c r="C882" s="33">
        <v>6</v>
      </c>
      <c r="D882" s="32" t="s">
        <v>3496</v>
      </c>
      <c r="E882" s="20"/>
      <c r="F882" s="34">
        <v>6.9</v>
      </c>
      <c r="G882" s="22">
        <f t="shared" si="26"/>
        <v>1.15</v>
      </c>
      <c r="H882" s="85" t="s">
        <v>3497</v>
      </c>
      <c r="I882" s="85" t="s">
        <v>3498</v>
      </c>
      <c r="J882" s="29">
        <v>560</v>
      </c>
      <c r="K882" s="30">
        <v>80</v>
      </c>
      <c r="L882" s="40" t="str">
        <f t="shared" si="27"/>
        <v/>
      </c>
    </row>
    <row r="883" spans="1:12">
      <c r="A883" s="32" t="s">
        <v>3499</v>
      </c>
      <c r="B883" s="33">
        <v>1134</v>
      </c>
      <c r="C883" s="33">
        <v>6</v>
      </c>
      <c r="D883" s="32" t="s">
        <v>3500</v>
      </c>
      <c r="E883" s="29"/>
      <c r="F883" s="34">
        <v>6.9</v>
      </c>
      <c r="G883" s="22">
        <f t="shared" si="26"/>
        <v>1.15</v>
      </c>
      <c r="H883" s="85" t="s">
        <v>3501</v>
      </c>
      <c r="I883" s="85" t="s">
        <v>3502</v>
      </c>
      <c r="J883" s="29">
        <v>560</v>
      </c>
      <c r="K883" s="30">
        <v>80</v>
      </c>
      <c r="L883" s="25" t="str">
        <f t="shared" si="27"/>
        <v/>
      </c>
    </row>
    <row r="884" spans="1:12">
      <c r="A884" s="32" t="s">
        <v>3503</v>
      </c>
      <c r="B884" s="33">
        <v>184</v>
      </c>
      <c r="C884" s="33">
        <v>6</v>
      </c>
      <c r="D884" s="32" t="s">
        <v>3504</v>
      </c>
      <c r="E884" s="29"/>
      <c r="F884" s="34">
        <v>6.9</v>
      </c>
      <c r="G884" s="22">
        <f t="shared" si="26"/>
        <v>1.15</v>
      </c>
      <c r="H884" s="85" t="s">
        <v>3505</v>
      </c>
      <c r="I884" s="85" t="s">
        <v>3506</v>
      </c>
      <c r="J884" s="29">
        <v>560</v>
      </c>
      <c r="K884" s="30">
        <v>80</v>
      </c>
      <c r="L884" s="25" t="str">
        <f t="shared" si="27"/>
        <v/>
      </c>
    </row>
    <row r="885" spans="1:12">
      <c r="A885" s="32" t="s">
        <v>3507</v>
      </c>
      <c r="B885" s="33">
        <v>211</v>
      </c>
      <c r="C885" s="33">
        <v>6</v>
      </c>
      <c r="D885" s="32" t="s">
        <v>3508</v>
      </c>
      <c r="E885" s="29"/>
      <c r="F885" s="34">
        <v>9.4</v>
      </c>
      <c r="G885" s="22">
        <f t="shared" si="26"/>
        <v>1.56666666666667</v>
      </c>
      <c r="H885" s="85" t="s">
        <v>3509</v>
      </c>
      <c r="I885" s="85" t="s">
        <v>3510</v>
      </c>
      <c r="J885" s="29">
        <v>400</v>
      </c>
      <c r="K885" s="30">
        <v>80</v>
      </c>
      <c r="L885" s="25" t="str">
        <f t="shared" si="27"/>
        <v/>
      </c>
    </row>
    <row r="886" spans="1:12">
      <c r="A886" s="32" t="s">
        <v>3511</v>
      </c>
      <c r="B886" s="33">
        <v>17</v>
      </c>
      <c r="C886" s="33">
        <v>6</v>
      </c>
      <c r="D886" s="32" t="s">
        <v>3512</v>
      </c>
      <c r="E886" s="29"/>
      <c r="F886" s="34">
        <v>9.4</v>
      </c>
      <c r="G886" s="22">
        <f t="shared" si="26"/>
        <v>1.56666666666667</v>
      </c>
      <c r="H886" s="85" t="s">
        <v>3513</v>
      </c>
      <c r="I886" s="85" t="s">
        <v>3514</v>
      </c>
      <c r="J886" s="29">
        <v>400</v>
      </c>
      <c r="K886" s="30">
        <v>80</v>
      </c>
      <c r="L886" s="25" t="str">
        <f t="shared" si="27"/>
        <v/>
      </c>
    </row>
    <row r="887" spans="1:12">
      <c r="A887" s="32" t="s">
        <v>3515</v>
      </c>
      <c r="B887" s="33">
        <v>184</v>
      </c>
      <c r="C887" s="33">
        <v>6</v>
      </c>
      <c r="D887" s="32" t="s">
        <v>3516</v>
      </c>
      <c r="E887" s="20"/>
      <c r="F887" s="37">
        <v>9.4</v>
      </c>
      <c r="G887" s="38">
        <f t="shared" si="26"/>
        <v>1.56666666666667</v>
      </c>
      <c r="H887" s="85" t="s">
        <v>3517</v>
      </c>
      <c r="I887" s="85" t="s">
        <v>3518</v>
      </c>
      <c r="J887" s="29">
        <v>400</v>
      </c>
      <c r="K887" s="30">
        <v>80</v>
      </c>
      <c r="L887" s="25" t="str">
        <f t="shared" si="27"/>
        <v/>
      </c>
    </row>
    <row r="888" spans="1:12">
      <c r="A888" s="32" t="s">
        <v>3519</v>
      </c>
      <c r="B888" s="33">
        <v>200</v>
      </c>
      <c r="C888" s="33">
        <v>6</v>
      </c>
      <c r="D888" s="32" t="s">
        <v>3520</v>
      </c>
      <c r="E888" s="20"/>
      <c r="F888" s="37">
        <v>9.4</v>
      </c>
      <c r="G888" s="38">
        <f t="shared" si="26"/>
        <v>1.56666666666667</v>
      </c>
      <c r="H888" s="85" t="s">
        <v>3521</v>
      </c>
      <c r="I888" s="85" t="s">
        <v>3522</v>
      </c>
      <c r="J888" s="29">
        <v>400</v>
      </c>
      <c r="K888" s="30">
        <v>80</v>
      </c>
      <c r="L888" s="25" t="str">
        <f t="shared" si="27"/>
        <v/>
      </c>
    </row>
    <row r="889" spans="1:12">
      <c r="A889" s="32" t="s">
        <v>3523</v>
      </c>
      <c r="B889" s="33">
        <v>208</v>
      </c>
      <c r="C889" s="33">
        <v>6</v>
      </c>
      <c r="D889" s="32" t="s">
        <v>3524</v>
      </c>
      <c r="E889" s="20"/>
      <c r="F889" s="37">
        <v>9.4</v>
      </c>
      <c r="G889" s="38">
        <f t="shared" si="26"/>
        <v>1.56666666666667</v>
      </c>
      <c r="H889" s="85" t="s">
        <v>3525</v>
      </c>
      <c r="I889" s="85" t="s">
        <v>3526</v>
      </c>
      <c r="J889" s="29">
        <v>400</v>
      </c>
      <c r="K889" s="30">
        <v>80</v>
      </c>
      <c r="L889" s="25" t="str">
        <f t="shared" si="27"/>
        <v/>
      </c>
    </row>
    <row r="890" spans="1:12">
      <c r="A890" s="32" t="s">
        <v>3527</v>
      </c>
      <c r="B890" s="33">
        <v>201</v>
      </c>
      <c r="C890" s="33">
        <v>6</v>
      </c>
      <c r="D890" s="32" t="s">
        <v>3528</v>
      </c>
      <c r="E890" s="20"/>
      <c r="F890" s="37">
        <v>9.4</v>
      </c>
      <c r="G890" s="38">
        <f t="shared" si="26"/>
        <v>1.56666666666667</v>
      </c>
      <c r="H890" s="85" t="s">
        <v>3529</v>
      </c>
      <c r="I890" s="85" t="s">
        <v>3530</v>
      </c>
      <c r="J890" s="29">
        <v>400</v>
      </c>
      <c r="K890" s="30">
        <v>80</v>
      </c>
      <c r="L890" s="25" t="str">
        <f t="shared" si="27"/>
        <v/>
      </c>
    </row>
    <row r="891" spans="1:12">
      <c r="A891" s="32" t="s">
        <v>3531</v>
      </c>
      <c r="B891" s="33">
        <v>120</v>
      </c>
      <c r="C891" s="33">
        <v>6</v>
      </c>
      <c r="D891" s="32" t="s">
        <v>3532</v>
      </c>
      <c r="E891" s="20"/>
      <c r="F891" s="34">
        <v>9.4</v>
      </c>
      <c r="G891" s="22">
        <f t="shared" si="26"/>
        <v>1.56666666666667</v>
      </c>
      <c r="H891" s="85" t="s">
        <v>3533</v>
      </c>
      <c r="I891" s="85" t="s">
        <v>3534</v>
      </c>
      <c r="J891" s="29">
        <v>400</v>
      </c>
      <c r="K891" s="30">
        <v>80</v>
      </c>
      <c r="L891" s="25" t="str">
        <f t="shared" si="27"/>
        <v/>
      </c>
    </row>
    <row r="892" spans="1:12">
      <c r="A892" s="41" t="s">
        <v>3535</v>
      </c>
      <c r="B892" s="33">
        <v>212</v>
      </c>
      <c r="C892" s="30">
        <v>6</v>
      </c>
      <c r="D892" s="32" t="s">
        <v>3536</v>
      </c>
      <c r="E892" s="36"/>
      <c r="F892" s="48">
        <v>9.4</v>
      </c>
      <c r="G892" s="48">
        <f t="shared" si="26"/>
        <v>1.56666666666667</v>
      </c>
      <c r="H892" s="95" t="s">
        <v>3537</v>
      </c>
      <c r="I892" s="95" t="s">
        <v>3538</v>
      </c>
      <c r="J892" s="36">
        <v>400</v>
      </c>
      <c r="K892" s="36">
        <v>80</v>
      </c>
      <c r="L892" s="25" t="str">
        <f t="shared" si="27"/>
        <v/>
      </c>
    </row>
    <row r="893" spans="1:12">
      <c r="A893" s="32" t="s">
        <v>3539</v>
      </c>
      <c r="B893" s="33">
        <v>216</v>
      </c>
      <c r="C893" s="33">
        <v>6</v>
      </c>
      <c r="D893" s="32" t="s">
        <v>3540</v>
      </c>
      <c r="E893" s="20"/>
      <c r="F893" s="37">
        <v>9.4</v>
      </c>
      <c r="G893" s="38">
        <f t="shared" si="26"/>
        <v>1.56666666666667</v>
      </c>
      <c r="H893" s="85" t="s">
        <v>3541</v>
      </c>
      <c r="I893" s="85" t="s">
        <v>3542</v>
      </c>
      <c r="J893" s="29">
        <v>400</v>
      </c>
      <c r="K893" s="30">
        <v>80</v>
      </c>
      <c r="L893" s="25" t="str">
        <f t="shared" si="27"/>
        <v/>
      </c>
    </row>
    <row r="894" spans="1:12">
      <c r="A894" s="32" t="s">
        <v>3543</v>
      </c>
      <c r="B894" s="33">
        <v>126</v>
      </c>
      <c r="C894" s="33">
        <v>6</v>
      </c>
      <c r="D894" s="32" t="s">
        <v>3544</v>
      </c>
      <c r="E894" s="20"/>
      <c r="F894" s="37">
        <v>9.4</v>
      </c>
      <c r="G894" s="38">
        <f t="shared" si="26"/>
        <v>1.56666666666667</v>
      </c>
      <c r="H894" s="85" t="s">
        <v>3545</v>
      </c>
      <c r="I894" s="85" t="s">
        <v>3546</v>
      </c>
      <c r="J894" s="29">
        <v>400</v>
      </c>
      <c r="K894" s="36">
        <v>80</v>
      </c>
      <c r="L894" s="25" t="str">
        <f t="shared" si="27"/>
        <v/>
      </c>
    </row>
    <row r="895" spans="1:12">
      <c r="A895" s="32" t="s">
        <v>3547</v>
      </c>
      <c r="B895" s="33">
        <v>205</v>
      </c>
      <c r="C895" s="33">
        <v>6</v>
      </c>
      <c r="D895" s="32" t="s">
        <v>3548</v>
      </c>
      <c r="E895" s="20"/>
      <c r="F895" s="37">
        <v>9.4</v>
      </c>
      <c r="G895" s="38">
        <f t="shared" ref="G895:G957" si="28">F895/C895</f>
        <v>1.56666666666667</v>
      </c>
      <c r="H895" s="85" t="s">
        <v>3549</v>
      </c>
      <c r="I895" s="85" t="s">
        <v>3550</v>
      </c>
      <c r="J895" s="29">
        <v>400</v>
      </c>
      <c r="K895" s="36">
        <v>80</v>
      </c>
      <c r="L895" s="25" t="str">
        <f t="shared" ref="L895:L957" si="29">IF(E895,E895*F895,"")</f>
        <v/>
      </c>
    </row>
    <row r="896" spans="1:12">
      <c r="A896" s="32" t="s">
        <v>3551</v>
      </c>
      <c r="B896" s="33">
        <v>263</v>
      </c>
      <c r="C896" s="33">
        <v>6</v>
      </c>
      <c r="D896" s="32" t="s">
        <v>3552</v>
      </c>
      <c r="E896" s="29"/>
      <c r="F896" s="34">
        <v>10.8</v>
      </c>
      <c r="G896" s="22">
        <f t="shared" si="28"/>
        <v>1.8</v>
      </c>
      <c r="H896" s="35"/>
      <c r="I896" s="35"/>
      <c r="J896" s="29">
        <v>276</v>
      </c>
      <c r="K896" s="36">
        <v>46</v>
      </c>
      <c r="L896" s="25" t="str">
        <f t="shared" si="29"/>
        <v/>
      </c>
    </row>
    <row r="897" spans="1:12">
      <c r="A897" s="32" t="s">
        <v>3553</v>
      </c>
      <c r="B897" s="33">
        <v>275</v>
      </c>
      <c r="C897" s="33">
        <v>6</v>
      </c>
      <c r="D897" s="32" t="s">
        <v>3554</v>
      </c>
      <c r="E897" s="29"/>
      <c r="F897" s="34">
        <v>10.8</v>
      </c>
      <c r="G897" s="22">
        <f t="shared" si="28"/>
        <v>1.8</v>
      </c>
      <c r="H897" s="35"/>
      <c r="I897" s="35"/>
      <c r="J897" s="29">
        <v>276</v>
      </c>
      <c r="K897" s="36">
        <v>46</v>
      </c>
      <c r="L897" s="25" t="str">
        <f t="shared" si="29"/>
        <v/>
      </c>
    </row>
    <row r="898" spans="1:12">
      <c r="A898" s="32" t="s">
        <v>3555</v>
      </c>
      <c r="B898" s="33">
        <v>104</v>
      </c>
      <c r="C898" s="33">
        <v>10</v>
      </c>
      <c r="D898" s="32" t="s">
        <v>3556</v>
      </c>
      <c r="E898" s="20"/>
      <c r="F898" s="34">
        <v>3.9</v>
      </c>
      <c r="G898" s="22">
        <f t="shared" si="28"/>
        <v>0.39</v>
      </c>
      <c r="H898" s="85" t="s">
        <v>3557</v>
      </c>
      <c r="I898" s="85" t="s">
        <v>3558</v>
      </c>
      <c r="J898" s="29">
        <v>126</v>
      </c>
      <c r="K898" s="36">
        <v>42</v>
      </c>
      <c r="L898" s="25" t="str">
        <f t="shared" si="29"/>
        <v/>
      </c>
    </row>
    <row r="899" spans="1:12">
      <c r="A899" s="32" t="s">
        <v>3559</v>
      </c>
      <c r="B899" s="33">
        <v>31</v>
      </c>
      <c r="C899" s="33">
        <v>10</v>
      </c>
      <c r="D899" s="32" t="s">
        <v>3560</v>
      </c>
      <c r="E899" s="20"/>
      <c r="F899" s="34">
        <v>6.6</v>
      </c>
      <c r="G899" s="22">
        <f t="shared" si="28"/>
        <v>0.66</v>
      </c>
      <c r="H899" s="85" t="s">
        <v>3561</v>
      </c>
      <c r="I899" s="85" t="s">
        <v>3562</v>
      </c>
      <c r="J899" s="29"/>
      <c r="K899" s="36"/>
      <c r="L899" s="25" t="str">
        <f t="shared" si="29"/>
        <v/>
      </c>
    </row>
    <row r="900" spans="1:12">
      <c r="A900" s="32" t="s">
        <v>3563</v>
      </c>
      <c r="B900" s="33">
        <v>22</v>
      </c>
      <c r="C900" s="33">
        <v>10</v>
      </c>
      <c r="D900" s="32" t="s">
        <v>3564</v>
      </c>
      <c r="E900" s="20"/>
      <c r="F900" s="34">
        <v>6.6</v>
      </c>
      <c r="G900" s="22">
        <f t="shared" si="28"/>
        <v>0.66</v>
      </c>
      <c r="H900" s="85" t="s">
        <v>3565</v>
      </c>
      <c r="I900" s="85" t="s">
        <v>3566</v>
      </c>
      <c r="J900" s="29"/>
      <c r="K900" s="36"/>
      <c r="L900" s="25" t="str">
        <f t="shared" si="29"/>
        <v/>
      </c>
    </row>
    <row r="901" spans="1:12">
      <c r="A901" s="32" t="s">
        <v>3567</v>
      </c>
      <c r="B901" s="33">
        <v>16</v>
      </c>
      <c r="C901" s="33">
        <v>10</v>
      </c>
      <c r="D901" s="32" t="s">
        <v>3568</v>
      </c>
      <c r="E901" s="20"/>
      <c r="F901" s="34">
        <v>5.4</v>
      </c>
      <c r="G901" s="22">
        <f t="shared" si="28"/>
        <v>0.54</v>
      </c>
      <c r="H901" s="85" t="s">
        <v>3569</v>
      </c>
      <c r="I901" s="85" t="s">
        <v>3570</v>
      </c>
      <c r="J901" s="29"/>
      <c r="K901" s="36"/>
      <c r="L901" s="25" t="str">
        <f t="shared" si="29"/>
        <v/>
      </c>
    </row>
    <row r="902" spans="1:12">
      <c r="A902" s="32" t="s">
        <v>3571</v>
      </c>
      <c r="B902" s="33">
        <v>36</v>
      </c>
      <c r="C902" s="33">
        <v>10</v>
      </c>
      <c r="D902" s="32" t="s">
        <v>3572</v>
      </c>
      <c r="E902" s="20"/>
      <c r="F902" s="34">
        <v>4.4</v>
      </c>
      <c r="G902" s="22">
        <f t="shared" si="28"/>
        <v>0.44</v>
      </c>
      <c r="H902" s="85" t="s">
        <v>3573</v>
      </c>
      <c r="I902" s="85" t="s">
        <v>3574</v>
      </c>
      <c r="J902" s="29"/>
      <c r="K902" s="36"/>
      <c r="L902" s="25" t="str">
        <f t="shared" si="29"/>
        <v/>
      </c>
    </row>
    <row r="903" spans="1:12">
      <c r="A903" s="32" t="s">
        <v>3575</v>
      </c>
      <c r="B903" s="33">
        <v>226</v>
      </c>
      <c r="C903" s="33">
        <v>6</v>
      </c>
      <c r="D903" s="32" t="s">
        <v>3576</v>
      </c>
      <c r="E903" s="29"/>
      <c r="F903" s="37">
        <v>11.4</v>
      </c>
      <c r="G903" s="37">
        <f t="shared" si="28"/>
        <v>1.9</v>
      </c>
      <c r="H903" s="85" t="s">
        <v>3577</v>
      </c>
      <c r="I903" s="85" t="s">
        <v>3578</v>
      </c>
      <c r="J903" s="29">
        <v>336</v>
      </c>
      <c r="K903" s="30">
        <v>56</v>
      </c>
      <c r="L903" s="40" t="str">
        <f t="shared" si="29"/>
        <v/>
      </c>
    </row>
    <row r="904" spans="1:12">
      <c r="A904" s="32" t="s">
        <v>3579</v>
      </c>
      <c r="B904" s="33">
        <v>124</v>
      </c>
      <c r="C904" s="33">
        <v>12</v>
      </c>
      <c r="D904" s="32" t="s">
        <v>3580</v>
      </c>
      <c r="E904" s="20"/>
      <c r="F904" s="37">
        <v>20.4</v>
      </c>
      <c r="G904" s="38">
        <f t="shared" si="28"/>
        <v>1.7</v>
      </c>
      <c r="H904" s="85" t="s">
        <v>3581</v>
      </c>
      <c r="I904" s="85" t="s">
        <v>3582</v>
      </c>
      <c r="J904" s="29">
        <v>144</v>
      </c>
      <c r="K904" s="36">
        <v>16</v>
      </c>
      <c r="L904" s="25" t="str">
        <f t="shared" si="29"/>
        <v/>
      </c>
    </row>
    <row r="905" spans="1:12">
      <c r="A905" s="41" t="s">
        <v>3583</v>
      </c>
      <c r="B905" s="31">
        <v>536</v>
      </c>
      <c r="C905" s="30">
        <v>8</v>
      </c>
      <c r="D905" s="41" t="s">
        <v>3584</v>
      </c>
      <c r="E905" s="20"/>
      <c r="F905" s="37">
        <v>13.6</v>
      </c>
      <c r="G905" s="38">
        <f t="shared" si="28"/>
        <v>1.7</v>
      </c>
      <c r="H905" s="87" t="s">
        <v>3585</v>
      </c>
      <c r="I905" s="87" t="s">
        <v>3586</v>
      </c>
      <c r="J905" s="31">
        <v>128</v>
      </c>
      <c r="K905" s="36">
        <v>16</v>
      </c>
      <c r="L905" s="25" t="str">
        <f t="shared" si="29"/>
        <v/>
      </c>
    </row>
    <row r="906" spans="1:12">
      <c r="A906" s="32" t="s">
        <v>3587</v>
      </c>
      <c r="B906" s="33">
        <v>154</v>
      </c>
      <c r="C906" s="33">
        <v>12</v>
      </c>
      <c r="D906" s="32" t="s">
        <v>3588</v>
      </c>
      <c r="E906" s="20"/>
      <c r="F906" s="37">
        <v>20.4</v>
      </c>
      <c r="G906" s="38">
        <f t="shared" si="28"/>
        <v>1.7</v>
      </c>
      <c r="H906" s="85" t="s">
        <v>3589</v>
      </c>
      <c r="I906" s="85" t="s">
        <v>3590</v>
      </c>
      <c r="J906" s="29"/>
      <c r="K906" s="36"/>
      <c r="L906" s="25" t="str">
        <f t="shared" si="29"/>
        <v/>
      </c>
    </row>
    <row r="907" spans="1:12">
      <c r="A907" s="32" t="s">
        <v>3591</v>
      </c>
      <c r="B907" s="33">
        <v>327</v>
      </c>
      <c r="C907" s="33">
        <v>6</v>
      </c>
      <c r="D907" s="32" t="s">
        <v>3592</v>
      </c>
      <c r="E907" s="20"/>
      <c r="F907" s="34">
        <v>16.8</v>
      </c>
      <c r="G907" s="22">
        <f t="shared" si="28"/>
        <v>2.8</v>
      </c>
      <c r="H907" s="85" t="s">
        <v>3593</v>
      </c>
      <c r="I907" s="85" t="s">
        <v>3594</v>
      </c>
      <c r="J907" s="29">
        <v>672</v>
      </c>
      <c r="K907" s="36">
        <v>168</v>
      </c>
      <c r="L907" s="25" t="str">
        <f t="shared" si="29"/>
        <v/>
      </c>
    </row>
    <row r="908" spans="1:12">
      <c r="A908" s="32" t="s">
        <v>3595</v>
      </c>
      <c r="B908" s="33">
        <v>165</v>
      </c>
      <c r="C908" s="33">
        <v>6</v>
      </c>
      <c r="D908" s="32" t="s">
        <v>3596</v>
      </c>
      <c r="E908" s="20"/>
      <c r="F908" s="34">
        <v>16.8</v>
      </c>
      <c r="G908" s="22">
        <f t="shared" si="28"/>
        <v>2.8</v>
      </c>
      <c r="H908" s="85" t="s">
        <v>3597</v>
      </c>
      <c r="I908" s="85" t="s">
        <v>3598</v>
      </c>
      <c r="J908" s="29">
        <v>672</v>
      </c>
      <c r="K908" s="36">
        <v>168</v>
      </c>
      <c r="L908" s="25" t="str">
        <f t="shared" si="29"/>
        <v/>
      </c>
    </row>
    <row r="909" spans="1:12">
      <c r="A909" s="32" t="s">
        <v>3599</v>
      </c>
      <c r="B909" s="33">
        <v>2</v>
      </c>
      <c r="C909" s="33">
        <v>6</v>
      </c>
      <c r="D909" s="32" t="s">
        <v>3600</v>
      </c>
      <c r="E909" s="20"/>
      <c r="F909" s="34">
        <v>7.2</v>
      </c>
      <c r="G909" s="22">
        <f t="shared" si="28"/>
        <v>1.2</v>
      </c>
      <c r="H909" s="85" t="s">
        <v>3601</v>
      </c>
      <c r="I909" s="85" t="s">
        <v>3602</v>
      </c>
      <c r="J909" s="29"/>
      <c r="K909" s="51"/>
      <c r="L909" s="25" t="str">
        <f t="shared" si="29"/>
        <v/>
      </c>
    </row>
    <row r="910" spans="1:12">
      <c r="A910" s="41" t="s">
        <v>3603</v>
      </c>
      <c r="B910" s="31">
        <v>150</v>
      </c>
      <c r="C910" s="30">
        <v>6</v>
      </c>
      <c r="D910" s="41" t="s">
        <v>3604</v>
      </c>
      <c r="E910" s="20"/>
      <c r="F910" s="34">
        <v>7.2</v>
      </c>
      <c r="G910" s="22">
        <f t="shared" si="28"/>
        <v>1.2</v>
      </c>
      <c r="H910" s="85" t="s">
        <v>3605</v>
      </c>
      <c r="I910" s="87" t="s">
        <v>3606</v>
      </c>
      <c r="J910" s="31"/>
      <c r="K910" s="51"/>
      <c r="L910" s="25" t="str">
        <f t="shared" si="29"/>
        <v/>
      </c>
    </row>
    <row r="911" spans="1:12">
      <c r="A911" s="32" t="s">
        <v>3607</v>
      </c>
      <c r="B911" s="33">
        <v>0</v>
      </c>
      <c r="C911" s="33">
        <v>6</v>
      </c>
      <c r="D911" s="32" t="s">
        <v>3608</v>
      </c>
      <c r="E911" s="29"/>
      <c r="F911" s="34">
        <v>9.95</v>
      </c>
      <c r="G911" s="34">
        <f t="shared" si="28"/>
        <v>1.65833333333333</v>
      </c>
      <c r="H911" s="85" t="s">
        <v>3609</v>
      </c>
      <c r="I911" s="85" t="s">
        <v>3610</v>
      </c>
      <c r="J911" s="29">
        <v>410</v>
      </c>
      <c r="K911" s="30">
        <v>82</v>
      </c>
      <c r="L911" s="40" t="str">
        <f t="shared" si="29"/>
        <v/>
      </c>
    </row>
    <row r="912" spans="1:12">
      <c r="A912" s="32" t="s">
        <v>3611</v>
      </c>
      <c r="B912" s="33">
        <v>183</v>
      </c>
      <c r="C912" s="33">
        <v>6</v>
      </c>
      <c r="D912" s="32" t="s">
        <v>3612</v>
      </c>
      <c r="E912" s="20"/>
      <c r="F912" s="34">
        <v>9.95</v>
      </c>
      <c r="G912" s="22">
        <f t="shared" si="28"/>
        <v>1.65833333333333</v>
      </c>
      <c r="H912" s="85" t="s">
        <v>3613</v>
      </c>
      <c r="I912" s="85" t="s">
        <v>3614</v>
      </c>
      <c r="J912" s="29">
        <v>410</v>
      </c>
      <c r="K912" s="30">
        <v>82</v>
      </c>
      <c r="L912" s="25" t="str">
        <f t="shared" si="29"/>
        <v/>
      </c>
    </row>
    <row r="913" spans="1:12">
      <c r="A913" s="32" t="s">
        <v>3615</v>
      </c>
      <c r="B913" s="33">
        <v>16</v>
      </c>
      <c r="C913" s="33">
        <v>6</v>
      </c>
      <c r="D913" s="32" t="s">
        <v>3616</v>
      </c>
      <c r="E913" s="20"/>
      <c r="F913" s="34">
        <v>14</v>
      </c>
      <c r="G913" s="22">
        <f t="shared" si="28"/>
        <v>2.33333333333333</v>
      </c>
      <c r="H913" s="85" t="s">
        <v>3617</v>
      </c>
      <c r="I913" s="85" t="s">
        <v>3618</v>
      </c>
      <c r="J913" s="29">
        <v>410</v>
      </c>
      <c r="K913" s="30">
        <v>82</v>
      </c>
      <c r="L913" s="25" t="str">
        <f t="shared" si="29"/>
        <v/>
      </c>
    </row>
    <row r="914" spans="1:12">
      <c r="A914" s="32" t="s">
        <v>3619</v>
      </c>
      <c r="B914" s="33">
        <v>74</v>
      </c>
      <c r="C914" s="33">
        <v>6</v>
      </c>
      <c r="D914" s="32" t="s">
        <v>3620</v>
      </c>
      <c r="E914" s="20"/>
      <c r="F914" s="34">
        <v>13.2</v>
      </c>
      <c r="G914" s="22">
        <f t="shared" si="28"/>
        <v>2.2</v>
      </c>
      <c r="H914" s="85" t="s">
        <v>3621</v>
      </c>
      <c r="I914" s="85" t="s">
        <v>3622</v>
      </c>
      <c r="J914" s="29"/>
      <c r="K914" s="30"/>
      <c r="L914" s="25" t="str">
        <f t="shared" si="29"/>
        <v/>
      </c>
    </row>
    <row r="915" spans="1:12">
      <c r="A915" s="32" t="s">
        <v>3623</v>
      </c>
      <c r="B915" s="33">
        <v>624</v>
      </c>
      <c r="C915" s="33">
        <v>6</v>
      </c>
      <c r="D915" s="32" t="s">
        <v>3624</v>
      </c>
      <c r="E915" s="20"/>
      <c r="F915" s="34">
        <v>7.2</v>
      </c>
      <c r="G915" s="22">
        <f t="shared" si="28"/>
        <v>1.2</v>
      </c>
      <c r="H915" s="85" t="s">
        <v>3625</v>
      </c>
      <c r="I915" s="85" t="s">
        <v>3626</v>
      </c>
      <c r="J915" s="29">
        <v>528</v>
      </c>
      <c r="K915" s="30">
        <v>66</v>
      </c>
      <c r="L915" s="25" t="str">
        <f t="shared" si="29"/>
        <v/>
      </c>
    </row>
    <row r="916" spans="1:12">
      <c r="A916" s="32" t="s">
        <v>3627</v>
      </c>
      <c r="B916" s="33">
        <v>67</v>
      </c>
      <c r="C916" s="33">
        <v>6</v>
      </c>
      <c r="D916" s="32" t="s">
        <v>3628</v>
      </c>
      <c r="E916" s="20"/>
      <c r="F916" s="34">
        <v>7.2</v>
      </c>
      <c r="G916" s="22">
        <f t="shared" si="28"/>
        <v>1.2</v>
      </c>
      <c r="H916" s="85" t="s">
        <v>3629</v>
      </c>
      <c r="I916" s="85" t="s">
        <v>3630</v>
      </c>
      <c r="J916" s="29">
        <v>528</v>
      </c>
      <c r="K916" s="30">
        <v>66</v>
      </c>
      <c r="L916" s="25" t="str">
        <f t="shared" si="29"/>
        <v/>
      </c>
    </row>
    <row r="917" spans="1:12">
      <c r="A917" s="32" t="s">
        <v>3631</v>
      </c>
      <c r="B917" s="33">
        <v>59</v>
      </c>
      <c r="C917" s="33">
        <v>12</v>
      </c>
      <c r="D917" s="32" t="s">
        <v>3632</v>
      </c>
      <c r="E917" s="20"/>
      <c r="F917" s="34">
        <v>4.8</v>
      </c>
      <c r="G917" s="22">
        <f t="shared" si="28"/>
        <v>0.4</v>
      </c>
      <c r="H917" s="85" t="s">
        <v>3633</v>
      </c>
      <c r="I917" s="85" t="s">
        <v>3634</v>
      </c>
      <c r="J917" s="29"/>
      <c r="K917" s="30"/>
      <c r="L917" s="25" t="str">
        <f t="shared" si="29"/>
        <v/>
      </c>
    </row>
    <row r="918" spans="1:12">
      <c r="A918" s="32" t="s">
        <v>3635</v>
      </c>
      <c r="B918" s="33">
        <v>74</v>
      </c>
      <c r="C918" s="33">
        <v>6</v>
      </c>
      <c r="D918" s="32" t="s">
        <v>3636</v>
      </c>
      <c r="E918" s="20"/>
      <c r="F918" s="37">
        <v>9</v>
      </c>
      <c r="G918" s="38">
        <f t="shared" si="28"/>
        <v>1.5</v>
      </c>
      <c r="H918" s="85" t="s">
        <v>3637</v>
      </c>
      <c r="I918" s="85" t="s">
        <v>3638</v>
      </c>
      <c r="J918" s="29">
        <v>504</v>
      </c>
      <c r="K918" s="30">
        <v>72</v>
      </c>
      <c r="L918" s="25" t="str">
        <f t="shared" si="29"/>
        <v/>
      </c>
    </row>
    <row r="919" spans="1:12">
      <c r="A919" s="32" t="s">
        <v>3639</v>
      </c>
      <c r="B919" s="33">
        <v>115</v>
      </c>
      <c r="C919" s="33">
        <v>6</v>
      </c>
      <c r="D919" s="32" t="s">
        <v>3640</v>
      </c>
      <c r="E919" s="20"/>
      <c r="F919" s="37">
        <v>9</v>
      </c>
      <c r="G919" s="38">
        <f t="shared" si="28"/>
        <v>1.5</v>
      </c>
      <c r="H919" s="85" t="s">
        <v>3641</v>
      </c>
      <c r="I919" s="85" t="s">
        <v>3642</v>
      </c>
      <c r="J919" s="29">
        <v>504</v>
      </c>
      <c r="K919" s="30">
        <v>72</v>
      </c>
      <c r="L919" s="25" t="str">
        <f t="shared" si="29"/>
        <v/>
      </c>
    </row>
    <row r="920" spans="1:12">
      <c r="A920" s="32" t="s">
        <v>3643</v>
      </c>
      <c r="B920" s="33">
        <v>57</v>
      </c>
      <c r="C920" s="33">
        <v>6</v>
      </c>
      <c r="D920" s="32" t="s">
        <v>3644</v>
      </c>
      <c r="E920" s="20"/>
      <c r="F920" s="37">
        <v>11.8</v>
      </c>
      <c r="G920" s="38">
        <f t="shared" si="28"/>
        <v>1.96666666666667</v>
      </c>
      <c r="H920" s="85" t="s">
        <v>3645</v>
      </c>
      <c r="I920" s="85" t="s">
        <v>3646</v>
      </c>
      <c r="J920" s="29">
        <v>340</v>
      </c>
      <c r="K920" s="30">
        <v>68</v>
      </c>
      <c r="L920" s="25" t="str">
        <f t="shared" si="29"/>
        <v/>
      </c>
    </row>
    <row r="921" spans="1:12">
      <c r="A921" s="32" t="s">
        <v>3647</v>
      </c>
      <c r="B921" s="33">
        <v>43</v>
      </c>
      <c r="C921" s="33">
        <v>6</v>
      </c>
      <c r="D921" s="32" t="s">
        <v>3648</v>
      </c>
      <c r="E921" s="20"/>
      <c r="F921" s="37">
        <v>11.8</v>
      </c>
      <c r="G921" s="38">
        <f t="shared" si="28"/>
        <v>1.96666666666667</v>
      </c>
      <c r="H921" s="85" t="s">
        <v>3649</v>
      </c>
      <c r="I921" s="85" t="s">
        <v>3650</v>
      </c>
      <c r="J921" s="29">
        <v>340</v>
      </c>
      <c r="K921" s="30">
        <v>68</v>
      </c>
      <c r="L921" s="25" t="str">
        <f t="shared" si="29"/>
        <v/>
      </c>
    </row>
    <row r="922" spans="1:12">
      <c r="A922" s="32" t="s">
        <v>3651</v>
      </c>
      <c r="B922" s="33">
        <v>59</v>
      </c>
      <c r="C922" s="33">
        <v>6</v>
      </c>
      <c r="D922" s="32" t="s">
        <v>3652</v>
      </c>
      <c r="E922" s="20"/>
      <c r="F922" s="37">
        <v>12.95</v>
      </c>
      <c r="G922" s="38">
        <f t="shared" si="28"/>
        <v>2.15833333333333</v>
      </c>
      <c r="H922" s="85" t="s">
        <v>3653</v>
      </c>
      <c r="I922" s="85" t="s">
        <v>3654</v>
      </c>
      <c r="J922" s="29">
        <v>378</v>
      </c>
      <c r="K922" s="30">
        <v>63</v>
      </c>
      <c r="L922" s="25" t="str">
        <f t="shared" si="29"/>
        <v/>
      </c>
    </row>
    <row r="923" spans="1:12">
      <c r="A923" s="32" t="s">
        <v>3655</v>
      </c>
      <c r="B923" s="33">
        <v>353</v>
      </c>
      <c r="C923" s="33">
        <v>6</v>
      </c>
      <c r="D923" s="32" t="s">
        <v>3656</v>
      </c>
      <c r="E923" s="20"/>
      <c r="F923" s="37">
        <v>14.8</v>
      </c>
      <c r="G923" s="38">
        <f t="shared" si="28"/>
        <v>2.46666666666667</v>
      </c>
      <c r="H923" s="85" t="s">
        <v>3657</v>
      </c>
      <c r="I923" s="85" t="s">
        <v>3658</v>
      </c>
      <c r="J923" s="29">
        <v>265</v>
      </c>
      <c r="K923" s="30">
        <v>53</v>
      </c>
      <c r="L923" s="25" t="str">
        <f t="shared" si="29"/>
        <v/>
      </c>
    </row>
    <row r="924" spans="1:12">
      <c r="A924" s="32" t="s">
        <v>3659</v>
      </c>
      <c r="B924" s="33">
        <v>351</v>
      </c>
      <c r="C924" s="33">
        <v>6</v>
      </c>
      <c r="D924" s="32" t="s">
        <v>3660</v>
      </c>
      <c r="E924" s="20"/>
      <c r="F924" s="37">
        <v>13.2</v>
      </c>
      <c r="G924" s="38">
        <f t="shared" si="28"/>
        <v>2.2</v>
      </c>
      <c r="H924" s="85" t="s">
        <v>3661</v>
      </c>
      <c r="I924" s="85" t="s">
        <v>3662</v>
      </c>
      <c r="J924" s="29"/>
      <c r="K924" s="30"/>
      <c r="L924" s="25" t="str">
        <f t="shared" si="29"/>
        <v/>
      </c>
    </row>
    <row r="925" spans="1:12">
      <c r="A925" s="32" t="s">
        <v>3663</v>
      </c>
      <c r="B925" s="33">
        <v>375</v>
      </c>
      <c r="C925" s="33">
        <v>6</v>
      </c>
      <c r="D925" s="32" t="s">
        <v>3664</v>
      </c>
      <c r="E925" s="20"/>
      <c r="F925" s="37">
        <v>13.2</v>
      </c>
      <c r="G925" s="38">
        <f t="shared" si="28"/>
        <v>2.2</v>
      </c>
      <c r="H925" s="85" t="s">
        <v>3665</v>
      </c>
      <c r="I925" s="85" t="s">
        <v>3666</v>
      </c>
      <c r="J925" s="29">
        <v>504</v>
      </c>
      <c r="K925" s="30">
        <v>72</v>
      </c>
      <c r="L925" s="25" t="str">
        <f t="shared" si="29"/>
        <v/>
      </c>
    </row>
    <row r="926" spans="1:12">
      <c r="A926" s="32" t="s">
        <v>3667</v>
      </c>
      <c r="B926" s="33">
        <v>199</v>
      </c>
      <c r="C926" s="33">
        <v>6</v>
      </c>
      <c r="D926" s="32" t="s">
        <v>3668</v>
      </c>
      <c r="E926" s="20"/>
      <c r="F926" s="37">
        <v>13.2</v>
      </c>
      <c r="G926" s="38">
        <f t="shared" si="28"/>
        <v>2.2</v>
      </c>
      <c r="H926" s="85" t="s">
        <v>3669</v>
      </c>
      <c r="I926" s="85" t="s">
        <v>3670</v>
      </c>
      <c r="J926" s="29">
        <v>504</v>
      </c>
      <c r="K926" s="30">
        <v>72</v>
      </c>
      <c r="L926" s="25" t="str">
        <f t="shared" si="29"/>
        <v/>
      </c>
    </row>
    <row r="927" spans="1:12">
      <c r="A927" s="32" t="s">
        <v>3671</v>
      </c>
      <c r="B927" s="33">
        <v>1</v>
      </c>
      <c r="C927" s="33">
        <v>6</v>
      </c>
      <c r="D927" s="32" t="s">
        <v>3672</v>
      </c>
      <c r="E927" s="20"/>
      <c r="F927" s="37">
        <v>13.2</v>
      </c>
      <c r="G927" s="38">
        <f t="shared" si="28"/>
        <v>2.2</v>
      </c>
      <c r="H927" s="85" t="s">
        <v>3673</v>
      </c>
      <c r="I927" s="85" t="s">
        <v>3674</v>
      </c>
      <c r="J927" s="29">
        <v>224</v>
      </c>
      <c r="K927" s="30">
        <v>16</v>
      </c>
      <c r="L927" s="25" t="str">
        <f t="shared" si="29"/>
        <v/>
      </c>
    </row>
    <row r="928" spans="1:12">
      <c r="A928" s="32" t="s">
        <v>3675</v>
      </c>
      <c r="B928" s="33">
        <v>617</v>
      </c>
      <c r="C928" s="33">
        <v>6</v>
      </c>
      <c r="D928" s="32" t="s">
        <v>3676</v>
      </c>
      <c r="E928" s="20"/>
      <c r="F928" s="34">
        <v>14.4</v>
      </c>
      <c r="G928" s="22">
        <f t="shared" si="28"/>
        <v>2.4</v>
      </c>
      <c r="H928" s="85" t="s">
        <v>3677</v>
      </c>
      <c r="I928" s="85" t="s">
        <v>3678</v>
      </c>
      <c r="J928" s="29">
        <v>224</v>
      </c>
      <c r="K928" s="36">
        <v>16</v>
      </c>
      <c r="L928" s="25" t="str">
        <f t="shared" si="29"/>
        <v/>
      </c>
    </row>
    <row r="929" spans="1:12">
      <c r="A929" s="32" t="s">
        <v>3679</v>
      </c>
      <c r="B929" s="33">
        <v>301</v>
      </c>
      <c r="C929" s="33">
        <v>6</v>
      </c>
      <c r="D929" s="32" t="s">
        <v>3680</v>
      </c>
      <c r="E929" s="20"/>
      <c r="F929" s="34">
        <v>14.4</v>
      </c>
      <c r="G929" s="22">
        <f t="shared" si="28"/>
        <v>2.4</v>
      </c>
      <c r="H929" s="85" t="s">
        <v>3681</v>
      </c>
      <c r="I929" s="85" t="s">
        <v>3682</v>
      </c>
      <c r="J929" s="29">
        <v>224</v>
      </c>
      <c r="K929" s="36">
        <v>16</v>
      </c>
      <c r="L929" s="25" t="str">
        <f t="shared" si="29"/>
        <v/>
      </c>
    </row>
    <row r="930" spans="1:12">
      <c r="A930" s="32" t="s">
        <v>3683</v>
      </c>
      <c r="B930" s="33">
        <v>216</v>
      </c>
      <c r="C930" s="33">
        <v>6</v>
      </c>
      <c r="D930" s="32" t="s">
        <v>3684</v>
      </c>
      <c r="E930" s="20"/>
      <c r="F930" s="34">
        <v>14.4</v>
      </c>
      <c r="G930" s="22">
        <f t="shared" si="28"/>
        <v>2.4</v>
      </c>
      <c r="H930" s="85" t="s">
        <v>3685</v>
      </c>
      <c r="I930" s="85" t="s">
        <v>3686</v>
      </c>
      <c r="J930" s="29">
        <v>224</v>
      </c>
      <c r="K930" s="36">
        <v>16</v>
      </c>
      <c r="L930" s="25" t="str">
        <f t="shared" si="29"/>
        <v/>
      </c>
    </row>
    <row r="931" spans="1:12">
      <c r="A931" s="32" t="s">
        <v>3687</v>
      </c>
      <c r="B931" s="33">
        <v>44</v>
      </c>
      <c r="C931" s="33">
        <v>6</v>
      </c>
      <c r="D931" s="32" t="s">
        <v>3688</v>
      </c>
      <c r="E931" s="20"/>
      <c r="F931" s="34">
        <v>7.65</v>
      </c>
      <c r="G931" s="22">
        <f t="shared" si="28"/>
        <v>1.275</v>
      </c>
      <c r="H931" s="85" t="s">
        <v>3689</v>
      </c>
      <c r="I931" s="85" t="s">
        <v>3690</v>
      </c>
      <c r="J931" s="29">
        <v>462</v>
      </c>
      <c r="K931" s="36">
        <v>66</v>
      </c>
      <c r="L931" s="25" t="str">
        <f t="shared" si="29"/>
        <v/>
      </c>
    </row>
    <row r="932" spans="1:12">
      <c r="A932" s="32" t="s">
        <v>3691</v>
      </c>
      <c r="B932" s="33">
        <v>110</v>
      </c>
      <c r="C932" s="33">
        <v>6</v>
      </c>
      <c r="D932" s="32" t="s">
        <v>3692</v>
      </c>
      <c r="E932" s="20"/>
      <c r="F932" s="34">
        <v>7.65</v>
      </c>
      <c r="G932" s="22">
        <f t="shared" si="28"/>
        <v>1.275</v>
      </c>
      <c r="H932" s="85" t="s">
        <v>3693</v>
      </c>
      <c r="I932" s="85" t="s">
        <v>3694</v>
      </c>
      <c r="J932" s="29">
        <v>462</v>
      </c>
      <c r="K932" s="36">
        <v>66</v>
      </c>
      <c r="L932" s="25" t="str">
        <f t="shared" si="29"/>
        <v/>
      </c>
    </row>
    <row r="933" spans="1:12">
      <c r="A933" s="32" t="s">
        <v>3695</v>
      </c>
      <c r="B933" s="33">
        <v>45</v>
      </c>
      <c r="C933" s="33">
        <v>6</v>
      </c>
      <c r="D933" s="32" t="s">
        <v>3696</v>
      </c>
      <c r="E933" s="20"/>
      <c r="F933" s="34">
        <v>7.2</v>
      </c>
      <c r="G933" s="22">
        <f t="shared" si="28"/>
        <v>1.2</v>
      </c>
      <c r="H933" s="85" t="s">
        <v>3697</v>
      </c>
      <c r="I933" s="85" t="s">
        <v>3698</v>
      </c>
      <c r="J933" s="29">
        <v>462</v>
      </c>
      <c r="K933" s="36">
        <v>66</v>
      </c>
      <c r="L933" s="25" t="str">
        <f t="shared" si="29"/>
        <v/>
      </c>
    </row>
    <row r="934" spans="1:12">
      <c r="A934" s="32" t="s">
        <v>3699</v>
      </c>
      <c r="B934" s="33">
        <v>45</v>
      </c>
      <c r="C934" s="33">
        <v>6</v>
      </c>
      <c r="D934" s="32" t="s">
        <v>3700</v>
      </c>
      <c r="E934" s="20"/>
      <c r="F934" s="34">
        <v>7.65</v>
      </c>
      <c r="G934" s="22">
        <f t="shared" si="28"/>
        <v>1.275</v>
      </c>
      <c r="H934" s="44">
        <v>8720181474002</v>
      </c>
      <c r="I934" s="85" t="s">
        <v>3701</v>
      </c>
      <c r="J934" s="29">
        <v>462</v>
      </c>
      <c r="K934" s="36">
        <v>66</v>
      </c>
      <c r="L934" s="25" t="str">
        <f t="shared" si="29"/>
        <v/>
      </c>
    </row>
    <row r="935" spans="1:12">
      <c r="A935" s="32" t="s">
        <v>3702</v>
      </c>
      <c r="B935" s="33">
        <v>29</v>
      </c>
      <c r="C935" s="33">
        <v>6</v>
      </c>
      <c r="D935" s="32" t="s">
        <v>3703</v>
      </c>
      <c r="E935" s="20"/>
      <c r="F935" s="34">
        <v>7.2</v>
      </c>
      <c r="G935" s="22">
        <f t="shared" si="28"/>
        <v>1.2</v>
      </c>
      <c r="H935" s="95" t="s">
        <v>3704</v>
      </c>
      <c r="I935" s="85" t="s">
        <v>3705</v>
      </c>
      <c r="J935" s="29">
        <v>462</v>
      </c>
      <c r="K935" s="36">
        <v>66</v>
      </c>
      <c r="L935" s="25" t="str">
        <f t="shared" si="29"/>
        <v/>
      </c>
    </row>
    <row r="936" spans="1:12">
      <c r="A936" s="32" t="s">
        <v>3706</v>
      </c>
      <c r="B936" s="33">
        <v>31</v>
      </c>
      <c r="C936" s="33">
        <v>6</v>
      </c>
      <c r="D936" s="32" t="s">
        <v>3707</v>
      </c>
      <c r="E936" s="20"/>
      <c r="F936" s="34"/>
      <c r="G936" s="22">
        <f t="shared" si="28"/>
        <v>0</v>
      </c>
      <c r="H936" s="44">
        <v>8720181699863</v>
      </c>
      <c r="I936" s="85" t="s">
        <v>3708</v>
      </c>
      <c r="J936" s="29">
        <v>252</v>
      </c>
      <c r="K936" s="36">
        <v>42</v>
      </c>
      <c r="L936" s="25" t="str">
        <f t="shared" si="29"/>
        <v/>
      </c>
    </row>
    <row r="937" spans="1:12">
      <c r="A937" s="32" t="s">
        <v>3709</v>
      </c>
      <c r="B937" s="33">
        <v>7</v>
      </c>
      <c r="C937" s="33">
        <v>6</v>
      </c>
      <c r="D937" s="32" t="s">
        <v>3710</v>
      </c>
      <c r="E937" s="20"/>
      <c r="F937" s="34"/>
      <c r="G937" s="22">
        <f t="shared" si="28"/>
        <v>0</v>
      </c>
      <c r="H937" s="44">
        <v>8720181699832</v>
      </c>
      <c r="I937" s="85" t="s">
        <v>3711</v>
      </c>
      <c r="J937" s="29">
        <v>252</v>
      </c>
      <c r="K937" s="36">
        <v>42</v>
      </c>
      <c r="L937" s="25" t="str">
        <f t="shared" si="29"/>
        <v/>
      </c>
    </row>
    <row r="938" spans="1:12">
      <c r="A938" s="32" t="s">
        <v>3712</v>
      </c>
      <c r="B938" s="33">
        <v>194</v>
      </c>
      <c r="C938" s="33">
        <v>6</v>
      </c>
      <c r="D938" s="32" t="s">
        <v>3713</v>
      </c>
      <c r="E938" s="20"/>
      <c r="F938" s="34">
        <v>8.65</v>
      </c>
      <c r="G938" s="22">
        <f t="shared" si="28"/>
        <v>1.44166666666667</v>
      </c>
      <c r="H938" s="95" t="s">
        <v>3714</v>
      </c>
      <c r="I938" s="85" t="s">
        <v>3715</v>
      </c>
      <c r="J938" s="29">
        <v>252</v>
      </c>
      <c r="K938" s="36">
        <v>42</v>
      </c>
      <c r="L938" s="25" t="str">
        <f t="shared" si="29"/>
        <v/>
      </c>
    </row>
    <row r="939" spans="1:12">
      <c r="A939" s="32" t="s">
        <v>3716</v>
      </c>
      <c r="B939" s="33">
        <v>49</v>
      </c>
      <c r="C939" s="33">
        <v>6</v>
      </c>
      <c r="D939" s="32" t="s">
        <v>3717</v>
      </c>
      <c r="E939" s="20"/>
      <c r="F939" s="34">
        <v>8.4</v>
      </c>
      <c r="G939" s="22">
        <f t="shared" si="28"/>
        <v>1.4</v>
      </c>
      <c r="H939" s="95" t="s">
        <v>3718</v>
      </c>
      <c r="I939" s="85" t="s">
        <v>3719</v>
      </c>
      <c r="J939" s="29">
        <v>252</v>
      </c>
      <c r="K939" s="36">
        <v>42</v>
      </c>
      <c r="L939" s="25" t="str">
        <f t="shared" si="29"/>
        <v/>
      </c>
    </row>
    <row r="940" spans="1:12">
      <c r="A940" s="32" t="s">
        <v>3720</v>
      </c>
      <c r="B940" s="33">
        <v>0</v>
      </c>
      <c r="C940" s="33">
        <v>12</v>
      </c>
      <c r="D940" s="32" t="s">
        <v>3721</v>
      </c>
      <c r="E940" s="20"/>
      <c r="F940" s="34">
        <v>6.3</v>
      </c>
      <c r="G940" s="22">
        <f t="shared" si="28"/>
        <v>0.525</v>
      </c>
      <c r="H940" s="85" t="s">
        <v>3722</v>
      </c>
      <c r="I940" s="85" t="s">
        <v>3723</v>
      </c>
      <c r="J940" s="29">
        <v>320</v>
      </c>
      <c r="K940" s="36">
        <v>64</v>
      </c>
      <c r="L940" s="25" t="str">
        <f t="shared" si="29"/>
        <v/>
      </c>
    </row>
    <row r="941" spans="1:12">
      <c r="A941" s="32" t="s">
        <v>3724</v>
      </c>
      <c r="B941" s="33">
        <v>4</v>
      </c>
      <c r="C941" s="33">
        <v>12</v>
      </c>
      <c r="D941" s="32" t="s">
        <v>3725</v>
      </c>
      <c r="E941" s="20"/>
      <c r="F941" s="34">
        <v>6.3</v>
      </c>
      <c r="G941" s="22">
        <f t="shared" si="28"/>
        <v>0.525</v>
      </c>
      <c r="H941" s="85" t="s">
        <v>3726</v>
      </c>
      <c r="I941" s="85" t="s">
        <v>3727</v>
      </c>
      <c r="J941" s="29">
        <v>320</v>
      </c>
      <c r="K941" s="36">
        <v>64</v>
      </c>
      <c r="L941" s="25" t="str">
        <f t="shared" si="29"/>
        <v/>
      </c>
    </row>
    <row r="942" spans="1:12">
      <c r="A942" s="32" t="s">
        <v>3728</v>
      </c>
      <c r="B942" s="33">
        <v>6</v>
      </c>
      <c r="C942" s="33">
        <v>12</v>
      </c>
      <c r="D942" s="32" t="s">
        <v>3729</v>
      </c>
      <c r="E942" s="20"/>
      <c r="F942" s="34">
        <v>6.3</v>
      </c>
      <c r="G942" s="22">
        <f t="shared" si="28"/>
        <v>0.525</v>
      </c>
      <c r="H942" s="85" t="s">
        <v>3730</v>
      </c>
      <c r="I942" s="85" t="s">
        <v>3731</v>
      </c>
      <c r="J942" s="29">
        <v>320</v>
      </c>
      <c r="K942" s="36">
        <v>64</v>
      </c>
      <c r="L942" s="25" t="str">
        <f t="shared" si="29"/>
        <v/>
      </c>
    </row>
    <row r="943" spans="1:12">
      <c r="A943" s="32" t="s">
        <v>3732</v>
      </c>
      <c r="B943" s="33">
        <v>0</v>
      </c>
      <c r="C943" s="33">
        <v>12</v>
      </c>
      <c r="D943" s="32" t="s">
        <v>3733</v>
      </c>
      <c r="E943" s="20"/>
      <c r="F943" s="34">
        <v>6.3</v>
      </c>
      <c r="G943" s="34">
        <f t="shared" si="28"/>
        <v>0.525</v>
      </c>
      <c r="H943" s="85" t="s">
        <v>3734</v>
      </c>
      <c r="I943" s="85" t="s">
        <v>3735</v>
      </c>
      <c r="J943" s="29">
        <v>320</v>
      </c>
      <c r="K943" s="36">
        <v>64</v>
      </c>
      <c r="L943" s="25" t="str">
        <f t="shared" si="29"/>
        <v/>
      </c>
    </row>
    <row r="944" spans="1:12">
      <c r="A944" s="32" t="s">
        <v>3736</v>
      </c>
      <c r="B944" s="33">
        <v>31</v>
      </c>
      <c r="C944" s="33">
        <v>12</v>
      </c>
      <c r="D944" s="32" t="s">
        <v>3737</v>
      </c>
      <c r="E944" s="20"/>
      <c r="F944" s="34">
        <v>6.3</v>
      </c>
      <c r="G944" s="34">
        <f t="shared" si="28"/>
        <v>0.525</v>
      </c>
      <c r="H944" s="85" t="s">
        <v>3738</v>
      </c>
      <c r="I944" s="85" t="s">
        <v>3739</v>
      </c>
      <c r="J944" s="29">
        <v>320</v>
      </c>
      <c r="K944" s="36">
        <v>64</v>
      </c>
      <c r="L944" s="25" t="str">
        <f t="shared" si="29"/>
        <v/>
      </c>
    </row>
    <row r="945" spans="1:12">
      <c r="A945" s="32" t="s">
        <v>3740</v>
      </c>
      <c r="B945" s="33">
        <v>31</v>
      </c>
      <c r="C945" s="33">
        <v>12</v>
      </c>
      <c r="D945" s="32" t="s">
        <v>3741</v>
      </c>
      <c r="E945" s="20"/>
      <c r="F945" s="34">
        <v>6.96</v>
      </c>
      <c r="G945" s="22">
        <f t="shared" si="28"/>
        <v>0.58</v>
      </c>
      <c r="H945" s="85" t="s">
        <v>3742</v>
      </c>
      <c r="I945" s="85" t="s">
        <v>3743</v>
      </c>
      <c r="J945" s="29">
        <v>112</v>
      </c>
      <c r="K945" s="30">
        <v>14</v>
      </c>
      <c r="L945" s="25" t="str">
        <f t="shared" si="29"/>
        <v/>
      </c>
    </row>
    <row r="946" spans="1:12">
      <c r="A946" s="32" t="s">
        <v>3744</v>
      </c>
      <c r="B946" s="33">
        <v>1</v>
      </c>
      <c r="C946" s="33">
        <v>12</v>
      </c>
      <c r="D946" s="32" t="s">
        <v>3745</v>
      </c>
      <c r="E946" s="20"/>
      <c r="F946" s="34">
        <v>6.96</v>
      </c>
      <c r="G946" s="22">
        <f t="shared" si="28"/>
        <v>0.58</v>
      </c>
      <c r="H946" s="85" t="s">
        <v>3746</v>
      </c>
      <c r="I946" s="85" t="s">
        <v>3747</v>
      </c>
      <c r="J946" s="29">
        <v>112</v>
      </c>
      <c r="K946" s="30">
        <v>14</v>
      </c>
      <c r="L946" s="25" t="str">
        <f t="shared" si="29"/>
        <v/>
      </c>
    </row>
    <row r="947" spans="1:12">
      <c r="A947" s="32" t="s">
        <v>3748</v>
      </c>
      <c r="B947" s="33">
        <v>46</v>
      </c>
      <c r="C947" s="33">
        <v>12</v>
      </c>
      <c r="D947" s="32" t="s">
        <v>3749</v>
      </c>
      <c r="E947" s="20"/>
      <c r="F947" s="34">
        <v>6.96</v>
      </c>
      <c r="G947" s="22">
        <f t="shared" si="28"/>
        <v>0.58</v>
      </c>
      <c r="H947" s="85" t="s">
        <v>3750</v>
      </c>
      <c r="I947" s="85" t="s">
        <v>3751</v>
      </c>
      <c r="J947" s="29">
        <v>112</v>
      </c>
      <c r="K947" s="30">
        <v>14</v>
      </c>
      <c r="L947" s="25" t="str">
        <f t="shared" si="29"/>
        <v/>
      </c>
    </row>
    <row r="948" spans="1:12">
      <c r="A948" s="32" t="s">
        <v>3752</v>
      </c>
      <c r="B948" s="33">
        <v>44</v>
      </c>
      <c r="C948" s="33">
        <v>12</v>
      </c>
      <c r="D948" s="32" t="s">
        <v>3753</v>
      </c>
      <c r="E948" s="20"/>
      <c r="F948" s="34">
        <v>6.96</v>
      </c>
      <c r="G948" s="22">
        <f t="shared" si="28"/>
        <v>0.58</v>
      </c>
      <c r="H948" s="85" t="s">
        <v>3754</v>
      </c>
      <c r="I948" s="85" t="s">
        <v>3755</v>
      </c>
      <c r="J948" s="29">
        <v>112</v>
      </c>
      <c r="K948" s="30">
        <v>14</v>
      </c>
      <c r="L948" s="25" t="str">
        <f t="shared" si="29"/>
        <v/>
      </c>
    </row>
    <row r="949" spans="1:12">
      <c r="A949" s="32" t="s">
        <v>3756</v>
      </c>
      <c r="B949" s="33">
        <v>35</v>
      </c>
      <c r="C949" s="33">
        <v>12</v>
      </c>
      <c r="D949" s="32" t="s">
        <v>3757</v>
      </c>
      <c r="E949" s="20"/>
      <c r="F949" s="34">
        <v>6.96</v>
      </c>
      <c r="G949" s="22">
        <f t="shared" si="28"/>
        <v>0.58</v>
      </c>
      <c r="H949" s="85" t="s">
        <v>3758</v>
      </c>
      <c r="I949" s="85" t="s">
        <v>3759</v>
      </c>
      <c r="J949" s="29">
        <v>112</v>
      </c>
      <c r="K949" s="30">
        <v>14</v>
      </c>
      <c r="L949" s="25" t="str">
        <f t="shared" si="29"/>
        <v/>
      </c>
    </row>
    <row r="950" spans="1:12">
      <c r="A950" s="32" t="s">
        <v>3760</v>
      </c>
      <c r="B950" s="33">
        <v>1</v>
      </c>
      <c r="C950" s="33">
        <v>12</v>
      </c>
      <c r="D950" s="32" t="s">
        <v>3761</v>
      </c>
      <c r="E950" s="20"/>
      <c r="F950" s="34">
        <v>6.96</v>
      </c>
      <c r="G950" s="22">
        <f t="shared" si="28"/>
        <v>0.58</v>
      </c>
      <c r="H950" s="85" t="s">
        <v>3762</v>
      </c>
      <c r="I950" s="85" t="s">
        <v>3763</v>
      </c>
      <c r="J950" s="29">
        <v>112</v>
      </c>
      <c r="K950" s="30">
        <v>14</v>
      </c>
      <c r="L950" s="25" t="str">
        <f t="shared" si="29"/>
        <v/>
      </c>
    </row>
    <row r="951" spans="1:12">
      <c r="A951" s="32" t="s">
        <v>3764</v>
      </c>
      <c r="B951" s="33">
        <v>51</v>
      </c>
      <c r="C951" s="33">
        <v>48</v>
      </c>
      <c r="D951" s="32" t="s">
        <v>3765</v>
      </c>
      <c r="E951" s="20"/>
      <c r="F951" s="34">
        <v>34.56</v>
      </c>
      <c r="G951" s="22">
        <f t="shared" si="28"/>
        <v>0.72</v>
      </c>
      <c r="H951" s="85" t="s">
        <v>3766</v>
      </c>
      <c r="I951" s="85" t="s">
        <v>3767</v>
      </c>
      <c r="J951" s="29">
        <v>66</v>
      </c>
      <c r="K951" s="36">
        <v>11</v>
      </c>
      <c r="L951" s="25" t="str">
        <f t="shared" si="29"/>
        <v/>
      </c>
    </row>
    <row r="952" spans="1:12">
      <c r="A952" s="32" t="s">
        <v>3768</v>
      </c>
      <c r="B952" s="33">
        <v>31</v>
      </c>
      <c r="C952" s="33">
        <v>48</v>
      </c>
      <c r="D952" s="32" t="s">
        <v>3769</v>
      </c>
      <c r="E952" s="20"/>
      <c r="F952" s="34">
        <v>34.56</v>
      </c>
      <c r="G952" s="22">
        <f t="shared" si="28"/>
        <v>0.72</v>
      </c>
      <c r="H952" s="85" t="s">
        <v>3770</v>
      </c>
      <c r="I952" s="85" t="s">
        <v>3771</v>
      </c>
      <c r="J952" s="29">
        <v>66</v>
      </c>
      <c r="K952" s="36">
        <v>11</v>
      </c>
      <c r="L952" s="25" t="str">
        <f t="shared" si="29"/>
        <v/>
      </c>
    </row>
    <row r="953" spans="1:12">
      <c r="A953" s="32" t="s">
        <v>3772</v>
      </c>
      <c r="B953" s="33">
        <v>94</v>
      </c>
      <c r="C953" s="33">
        <v>6</v>
      </c>
      <c r="D953" s="32" t="s">
        <v>3773</v>
      </c>
      <c r="E953" s="20"/>
      <c r="F953" s="34">
        <v>6.6</v>
      </c>
      <c r="G953" s="22">
        <f t="shared" si="28"/>
        <v>1.1</v>
      </c>
      <c r="H953" s="85" t="s">
        <v>3774</v>
      </c>
      <c r="I953" s="85" t="s">
        <v>3775</v>
      </c>
      <c r="J953" s="29"/>
      <c r="K953" s="36"/>
      <c r="L953" s="25" t="str">
        <f t="shared" si="29"/>
        <v/>
      </c>
    </row>
    <row r="954" spans="1:12">
      <c r="A954" s="32" t="s">
        <v>3776</v>
      </c>
      <c r="B954" s="33">
        <v>433</v>
      </c>
      <c r="C954" s="33">
        <v>6</v>
      </c>
      <c r="D954" s="32" t="s">
        <v>3777</v>
      </c>
      <c r="E954" s="20"/>
      <c r="F954" s="34">
        <v>7.2</v>
      </c>
      <c r="G954" s="22">
        <f t="shared" si="28"/>
        <v>1.2</v>
      </c>
      <c r="H954" s="85" t="s">
        <v>3778</v>
      </c>
      <c r="I954" s="85" t="s">
        <v>3779</v>
      </c>
      <c r="J954" s="29">
        <v>792</v>
      </c>
      <c r="K954" s="36">
        <v>72</v>
      </c>
      <c r="L954" s="25" t="str">
        <f t="shared" si="29"/>
        <v/>
      </c>
    </row>
    <row r="955" spans="1:12">
      <c r="A955" s="32" t="s">
        <v>3780</v>
      </c>
      <c r="B955" s="33">
        <v>1018</v>
      </c>
      <c r="C955" s="33">
        <v>6</v>
      </c>
      <c r="D955" s="32" t="s">
        <v>3781</v>
      </c>
      <c r="E955" s="29"/>
      <c r="F955" s="34">
        <v>6.18</v>
      </c>
      <c r="G955" s="22">
        <f t="shared" si="28"/>
        <v>1.03</v>
      </c>
      <c r="H955" s="85" t="s">
        <v>3782</v>
      </c>
      <c r="I955" s="85" t="s">
        <v>3783</v>
      </c>
      <c r="J955" s="29">
        <v>440</v>
      </c>
      <c r="K955" s="36">
        <v>55</v>
      </c>
      <c r="L955" s="25" t="str">
        <f t="shared" si="29"/>
        <v/>
      </c>
    </row>
    <row r="956" spans="1:12">
      <c r="A956" s="32" t="s">
        <v>3784</v>
      </c>
      <c r="B956" s="33">
        <v>1227</v>
      </c>
      <c r="C956" s="33">
        <v>6</v>
      </c>
      <c r="D956" s="32" t="s">
        <v>3785</v>
      </c>
      <c r="E956" s="29"/>
      <c r="F956" s="34">
        <v>7.2</v>
      </c>
      <c r="G956" s="22">
        <f t="shared" si="28"/>
        <v>1.2</v>
      </c>
      <c r="H956" s="85" t="s">
        <v>3786</v>
      </c>
      <c r="I956" s="85" t="s">
        <v>3787</v>
      </c>
      <c r="J956" s="29">
        <v>525</v>
      </c>
      <c r="K956" s="36">
        <v>75</v>
      </c>
      <c r="L956" s="25" t="str">
        <f t="shared" si="29"/>
        <v/>
      </c>
    </row>
    <row r="957" spans="1:12">
      <c r="A957" s="32" t="s">
        <v>3788</v>
      </c>
      <c r="B957" s="33">
        <v>0</v>
      </c>
      <c r="C957" s="33">
        <v>12</v>
      </c>
      <c r="D957" s="32" t="s">
        <v>3789</v>
      </c>
      <c r="E957" s="29"/>
      <c r="F957" s="34">
        <v>34.95</v>
      </c>
      <c r="G957" s="22">
        <f t="shared" si="28"/>
        <v>2.9125</v>
      </c>
      <c r="H957" s="85" t="s">
        <v>3790</v>
      </c>
      <c r="I957" s="85" t="s">
        <v>3791</v>
      </c>
      <c r="J957" s="29">
        <v>102</v>
      </c>
      <c r="K957" s="30">
        <v>17</v>
      </c>
      <c r="L957" s="25" t="str">
        <f t="shared" si="29"/>
        <v/>
      </c>
    </row>
    <row r="958" spans="1:12">
      <c r="A958" s="32" t="s">
        <v>3792</v>
      </c>
      <c r="B958" s="33">
        <v>1150</v>
      </c>
      <c r="C958" s="33">
        <v>6</v>
      </c>
      <c r="D958" s="32" t="s">
        <v>3793</v>
      </c>
      <c r="E958" s="20"/>
      <c r="F958" s="34">
        <v>7.2</v>
      </c>
      <c r="G958" s="22">
        <f t="shared" ref="G958:G1021" si="30">F958/C958</f>
        <v>1.2</v>
      </c>
      <c r="H958" s="85" t="s">
        <v>3794</v>
      </c>
      <c r="I958" s="85" t="s">
        <v>3795</v>
      </c>
      <c r="J958" s="29">
        <v>525</v>
      </c>
      <c r="K958" s="36">
        <v>75</v>
      </c>
      <c r="L958" s="25" t="str">
        <f t="shared" ref="L958:L1021" si="31">IF(E958,E958*F958,"")</f>
        <v/>
      </c>
    </row>
    <row r="959" spans="1:12">
      <c r="A959" s="32" t="s">
        <v>3796</v>
      </c>
      <c r="B959" s="33">
        <v>894</v>
      </c>
      <c r="C959" s="33">
        <v>6</v>
      </c>
      <c r="D959" s="32" t="s">
        <v>3797</v>
      </c>
      <c r="E959" s="29"/>
      <c r="F959" s="34">
        <v>12.95</v>
      </c>
      <c r="G959" s="22">
        <f t="shared" si="30"/>
        <v>2.15833333333333</v>
      </c>
      <c r="H959" s="85" t="s">
        <v>3798</v>
      </c>
      <c r="I959" s="85" t="s">
        <v>3799</v>
      </c>
      <c r="J959" s="29">
        <v>282</v>
      </c>
      <c r="K959" s="36">
        <v>47</v>
      </c>
      <c r="L959" s="25" t="str">
        <f t="shared" si="31"/>
        <v/>
      </c>
    </row>
    <row r="960" spans="1:12">
      <c r="A960" s="32" t="s">
        <v>3800</v>
      </c>
      <c r="B960" s="33">
        <v>111</v>
      </c>
      <c r="C960" s="33">
        <v>12</v>
      </c>
      <c r="D960" s="32" t="s">
        <v>3801</v>
      </c>
      <c r="E960" s="29"/>
      <c r="F960" s="34">
        <v>34.95</v>
      </c>
      <c r="G960" s="22">
        <f t="shared" si="30"/>
        <v>2.9125</v>
      </c>
      <c r="H960" s="85" t="s">
        <v>3802</v>
      </c>
      <c r="I960" s="85" t="s">
        <v>3803</v>
      </c>
      <c r="J960" s="29">
        <v>102</v>
      </c>
      <c r="K960" s="36">
        <v>17</v>
      </c>
      <c r="L960" s="25" t="str">
        <f t="shared" si="31"/>
        <v/>
      </c>
    </row>
    <row r="961" spans="1:12">
      <c r="A961" s="32" t="s">
        <v>3804</v>
      </c>
      <c r="B961" s="33">
        <v>812</v>
      </c>
      <c r="C961" s="33">
        <v>6</v>
      </c>
      <c r="D961" s="32" t="s">
        <v>3805</v>
      </c>
      <c r="E961" s="29"/>
      <c r="F961" s="34">
        <v>7.2</v>
      </c>
      <c r="G961" s="34">
        <f t="shared" si="30"/>
        <v>1.2</v>
      </c>
      <c r="H961" s="85" t="s">
        <v>3806</v>
      </c>
      <c r="I961" s="85" t="s">
        <v>3807</v>
      </c>
      <c r="J961" s="29">
        <v>525</v>
      </c>
      <c r="K961" s="36">
        <v>75</v>
      </c>
      <c r="L961" s="25" t="str">
        <f t="shared" si="31"/>
        <v/>
      </c>
    </row>
    <row r="962" spans="1:12">
      <c r="A962" s="32" t="s">
        <v>3808</v>
      </c>
      <c r="B962" s="33">
        <v>842</v>
      </c>
      <c r="C962" s="33">
        <v>6</v>
      </c>
      <c r="D962" s="32" t="s">
        <v>3809</v>
      </c>
      <c r="E962" s="20"/>
      <c r="F962" s="34">
        <v>12.95</v>
      </c>
      <c r="G962" s="22">
        <f t="shared" si="30"/>
        <v>2.15833333333333</v>
      </c>
      <c r="H962" s="85" t="s">
        <v>3810</v>
      </c>
      <c r="I962" s="85" t="s">
        <v>3811</v>
      </c>
      <c r="J962" s="29">
        <v>282</v>
      </c>
      <c r="K962" s="36">
        <v>47</v>
      </c>
      <c r="L962" s="40" t="str">
        <f t="shared" si="31"/>
        <v/>
      </c>
    </row>
    <row r="963" spans="1:12">
      <c r="A963" s="32" t="s">
        <v>3812</v>
      </c>
      <c r="B963" s="33">
        <v>125</v>
      </c>
      <c r="C963" s="33">
        <v>12</v>
      </c>
      <c r="D963" s="32" t="s">
        <v>3813</v>
      </c>
      <c r="E963" s="20"/>
      <c r="F963" s="34">
        <v>34.95</v>
      </c>
      <c r="G963" s="22">
        <f t="shared" si="30"/>
        <v>2.9125</v>
      </c>
      <c r="H963" s="85" t="s">
        <v>3814</v>
      </c>
      <c r="I963" s="85" t="s">
        <v>3815</v>
      </c>
      <c r="J963" s="29">
        <v>102</v>
      </c>
      <c r="K963" s="36">
        <v>17</v>
      </c>
      <c r="L963" s="40" t="str">
        <f t="shared" si="31"/>
        <v/>
      </c>
    </row>
    <row r="964" spans="1:12">
      <c r="A964" s="32" t="s">
        <v>3816</v>
      </c>
      <c r="B964" s="33">
        <v>190</v>
      </c>
      <c r="C964" s="33">
        <v>12</v>
      </c>
      <c r="D964" s="32" t="s">
        <v>3817</v>
      </c>
      <c r="E964" s="20"/>
      <c r="F964" s="34">
        <v>37.95</v>
      </c>
      <c r="G964" s="22">
        <f t="shared" si="30"/>
        <v>3.1625</v>
      </c>
      <c r="H964" s="85" t="s">
        <v>3818</v>
      </c>
      <c r="I964" s="85" t="s">
        <v>3819</v>
      </c>
      <c r="J964" s="29">
        <v>60</v>
      </c>
      <c r="K964" s="36">
        <v>15</v>
      </c>
      <c r="L964" s="40" t="str">
        <f t="shared" si="31"/>
        <v/>
      </c>
    </row>
    <row r="965" spans="1:12">
      <c r="A965" s="32" t="s">
        <v>3820</v>
      </c>
      <c r="B965" s="33">
        <v>2714</v>
      </c>
      <c r="C965" s="33">
        <v>6</v>
      </c>
      <c r="D965" s="32" t="s">
        <v>3821</v>
      </c>
      <c r="E965" s="20"/>
      <c r="F965" s="34">
        <v>7.2</v>
      </c>
      <c r="G965" s="22">
        <f t="shared" si="30"/>
        <v>1.2</v>
      </c>
      <c r="H965" s="85" t="s">
        <v>3822</v>
      </c>
      <c r="I965" s="85" t="s">
        <v>3823</v>
      </c>
      <c r="J965" s="29">
        <v>525</v>
      </c>
      <c r="K965" s="36">
        <v>75</v>
      </c>
      <c r="L965" s="25" t="str">
        <f t="shared" si="31"/>
        <v/>
      </c>
    </row>
    <row r="966" spans="1:12">
      <c r="A966" s="32" t="s">
        <v>3824</v>
      </c>
      <c r="B966" s="33">
        <v>1372</v>
      </c>
      <c r="C966" s="33">
        <v>6</v>
      </c>
      <c r="D966" s="32" t="s">
        <v>3825</v>
      </c>
      <c r="E966" s="29"/>
      <c r="F966" s="34">
        <v>12.95</v>
      </c>
      <c r="G966" s="22">
        <f t="shared" si="30"/>
        <v>2.15833333333333</v>
      </c>
      <c r="H966" s="85" t="s">
        <v>3826</v>
      </c>
      <c r="I966" s="85" t="s">
        <v>3827</v>
      </c>
      <c r="J966" s="29">
        <v>282</v>
      </c>
      <c r="K966" s="36">
        <v>47</v>
      </c>
      <c r="L966" s="40" t="str">
        <f t="shared" si="31"/>
        <v/>
      </c>
    </row>
    <row r="967" spans="1:12">
      <c r="A967" s="32" t="s">
        <v>3828</v>
      </c>
      <c r="B967" s="33">
        <v>302</v>
      </c>
      <c r="C967" s="33">
        <v>12</v>
      </c>
      <c r="D967" s="32" t="s">
        <v>3829</v>
      </c>
      <c r="E967" s="29"/>
      <c r="F967" s="34">
        <v>34.95</v>
      </c>
      <c r="G967" s="22">
        <f t="shared" si="30"/>
        <v>2.9125</v>
      </c>
      <c r="H967" s="85" t="s">
        <v>3830</v>
      </c>
      <c r="I967" s="85" t="s">
        <v>3831</v>
      </c>
      <c r="J967" s="29">
        <v>102</v>
      </c>
      <c r="K967" s="36">
        <v>17</v>
      </c>
      <c r="L967" s="25" t="str">
        <f t="shared" si="31"/>
        <v/>
      </c>
    </row>
    <row r="968" spans="1:12">
      <c r="A968" s="32" t="s">
        <v>3832</v>
      </c>
      <c r="B968" s="33">
        <v>1022</v>
      </c>
      <c r="C968" s="33">
        <v>6</v>
      </c>
      <c r="D968" s="32" t="s">
        <v>3833</v>
      </c>
      <c r="E968" s="29"/>
      <c r="F968" s="37">
        <v>6.6</v>
      </c>
      <c r="G968" s="38">
        <f t="shared" si="30"/>
        <v>1.1</v>
      </c>
      <c r="H968" s="85" t="s">
        <v>3834</v>
      </c>
      <c r="I968" s="85" t="s">
        <v>3835</v>
      </c>
      <c r="J968" s="29">
        <v>768</v>
      </c>
      <c r="K968" s="36">
        <v>96</v>
      </c>
      <c r="L968" s="25" t="str">
        <f t="shared" si="31"/>
        <v/>
      </c>
    </row>
    <row r="969" spans="1:12">
      <c r="A969" s="32" t="s">
        <v>3836</v>
      </c>
      <c r="B969" s="33">
        <v>736</v>
      </c>
      <c r="C969" s="33">
        <v>6</v>
      </c>
      <c r="D969" s="32" t="s">
        <v>3837</v>
      </c>
      <c r="E969" s="29"/>
      <c r="F969" s="34">
        <v>7.2</v>
      </c>
      <c r="G969" s="34">
        <f t="shared" si="30"/>
        <v>1.2</v>
      </c>
      <c r="H969" s="85" t="s">
        <v>3838</v>
      </c>
      <c r="I969" s="85" t="s">
        <v>3839</v>
      </c>
      <c r="J969" s="29">
        <v>525</v>
      </c>
      <c r="K969" s="36">
        <v>75</v>
      </c>
      <c r="L969" s="25" t="str">
        <f t="shared" si="31"/>
        <v/>
      </c>
    </row>
    <row r="970" spans="1:12">
      <c r="A970" s="32" t="s">
        <v>3840</v>
      </c>
      <c r="B970" s="33">
        <v>351</v>
      </c>
      <c r="C970" s="33">
        <v>6</v>
      </c>
      <c r="D970" s="32" t="s">
        <v>3841</v>
      </c>
      <c r="E970" s="20"/>
      <c r="F970" s="34">
        <v>12.95</v>
      </c>
      <c r="G970" s="22">
        <f t="shared" si="30"/>
        <v>2.15833333333333</v>
      </c>
      <c r="H970" s="85" t="s">
        <v>3842</v>
      </c>
      <c r="I970" s="85" t="s">
        <v>3843</v>
      </c>
      <c r="J970" s="29">
        <v>282</v>
      </c>
      <c r="K970" s="36">
        <v>47</v>
      </c>
      <c r="L970" s="25" t="str">
        <f t="shared" si="31"/>
        <v/>
      </c>
    </row>
    <row r="971" spans="1:12">
      <c r="A971" s="32" t="s">
        <v>3844</v>
      </c>
      <c r="B971" s="33">
        <v>324</v>
      </c>
      <c r="C971" s="33">
        <v>12</v>
      </c>
      <c r="D971" s="32" t="s">
        <v>3845</v>
      </c>
      <c r="E971" s="29"/>
      <c r="F971" s="34">
        <v>34.95</v>
      </c>
      <c r="G971" s="22">
        <f t="shared" si="30"/>
        <v>2.9125</v>
      </c>
      <c r="H971" s="85" t="s">
        <v>3846</v>
      </c>
      <c r="I971" s="85" t="s">
        <v>3847</v>
      </c>
      <c r="J971" s="29">
        <v>102</v>
      </c>
      <c r="K971" s="36">
        <v>17</v>
      </c>
      <c r="L971" s="25" t="str">
        <f t="shared" si="31"/>
        <v/>
      </c>
    </row>
    <row r="972" spans="1:12">
      <c r="A972" s="32" t="s">
        <v>3848</v>
      </c>
      <c r="B972" s="33">
        <v>41</v>
      </c>
      <c r="C972" s="33">
        <v>12</v>
      </c>
      <c r="D972" s="32" t="s">
        <v>3849</v>
      </c>
      <c r="E972" s="29"/>
      <c r="F972" s="34">
        <v>37.95</v>
      </c>
      <c r="G972" s="22">
        <f t="shared" si="30"/>
        <v>3.1625</v>
      </c>
      <c r="H972" s="85" t="s">
        <v>3850</v>
      </c>
      <c r="I972" s="85" t="s">
        <v>3851</v>
      </c>
      <c r="J972" s="29">
        <v>60</v>
      </c>
      <c r="K972" s="36">
        <v>15</v>
      </c>
      <c r="L972" s="25" t="str">
        <f t="shared" si="31"/>
        <v/>
      </c>
    </row>
    <row r="973" spans="1:12">
      <c r="A973" s="32" t="s">
        <v>3852</v>
      </c>
      <c r="B973" s="33">
        <v>73</v>
      </c>
      <c r="C973" s="33">
        <v>12</v>
      </c>
      <c r="D973" s="32" t="s">
        <v>3853</v>
      </c>
      <c r="E973" s="29"/>
      <c r="F973" s="34">
        <v>34.95</v>
      </c>
      <c r="G973" s="22">
        <f t="shared" si="30"/>
        <v>2.9125</v>
      </c>
      <c r="H973" s="85" t="s">
        <v>3854</v>
      </c>
      <c r="I973" s="85" t="s">
        <v>3855</v>
      </c>
      <c r="J973" s="29">
        <v>102</v>
      </c>
      <c r="K973" s="36">
        <v>17</v>
      </c>
      <c r="L973" s="25" t="str">
        <f t="shared" si="31"/>
        <v/>
      </c>
    </row>
    <row r="974" spans="1:12">
      <c r="A974" s="32" t="s">
        <v>3856</v>
      </c>
      <c r="B974" s="33">
        <v>345</v>
      </c>
      <c r="C974" s="33">
        <v>6</v>
      </c>
      <c r="D974" s="32" t="s">
        <v>3857</v>
      </c>
      <c r="E974" s="20"/>
      <c r="F974" s="34">
        <v>12.95</v>
      </c>
      <c r="G974" s="22">
        <f t="shared" si="30"/>
        <v>2.15833333333333</v>
      </c>
      <c r="H974" s="85" t="s">
        <v>3858</v>
      </c>
      <c r="I974" s="85" t="s">
        <v>3859</v>
      </c>
      <c r="J974" s="29">
        <v>282</v>
      </c>
      <c r="K974" s="36">
        <v>47</v>
      </c>
      <c r="L974" s="25" t="str">
        <f t="shared" si="31"/>
        <v/>
      </c>
    </row>
    <row r="975" spans="1:12">
      <c r="A975" s="32" t="s">
        <v>3860</v>
      </c>
      <c r="B975" s="33">
        <v>886</v>
      </c>
      <c r="C975" s="33">
        <v>6</v>
      </c>
      <c r="D975" s="32" t="s">
        <v>3861</v>
      </c>
      <c r="E975" s="20"/>
      <c r="F975" s="34">
        <v>21.75</v>
      </c>
      <c r="G975" s="22">
        <f t="shared" si="30"/>
        <v>3.625</v>
      </c>
      <c r="H975" s="85" t="s">
        <v>3862</v>
      </c>
      <c r="I975" s="85" t="s">
        <v>3863</v>
      </c>
      <c r="J975" s="29">
        <v>540</v>
      </c>
      <c r="K975" s="36">
        <v>90</v>
      </c>
      <c r="L975" s="25" t="str">
        <f t="shared" si="31"/>
        <v/>
      </c>
    </row>
    <row r="976" spans="1:12">
      <c r="A976" s="32" t="s">
        <v>3864</v>
      </c>
      <c r="B976" s="33">
        <v>931</v>
      </c>
      <c r="C976" s="33">
        <v>6</v>
      </c>
      <c r="D976" s="32" t="s">
        <v>3865</v>
      </c>
      <c r="E976" s="20"/>
      <c r="F976" s="34">
        <v>21.75</v>
      </c>
      <c r="G976" s="22">
        <f t="shared" si="30"/>
        <v>3.625</v>
      </c>
      <c r="H976" s="85" t="s">
        <v>3866</v>
      </c>
      <c r="I976" s="85" t="s">
        <v>3867</v>
      </c>
      <c r="J976" s="29">
        <v>540</v>
      </c>
      <c r="K976" s="36">
        <v>90</v>
      </c>
      <c r="L976" s="25" t="str">
        <f t="shared" si="31"/>
        <v/>
      </c>
    </row>
    <row r="977" spans="1:12">
      <c r="A977" s="32" t="s">
        <v>3868</v>
      </c>
      <c r="B977" s="33">
        <v>485</v>
      </c>
      <c r="C977" s="33">
        <v>6</v>
      </c>
      <c r="D977" s="32" t="s">
        <v>3869</v>
      </c>
      <c r="E977" s="20"/>
      <c r="F977" s="34">
        <v>21.75</v>
      </c>
      <c r="G977" s="22">
        <f t="shared" si="30"/>
        <v>3.625</v>
      </c>
      <c r="H977" s="85" t="s">
        <v>3870</v>
      </c>
      <c r="I977" s="85" t="s">
        <v>3871</v>
      </c>
      <c r="J977" s="29">
        <v>540</v>
      </c>
      <c r="K977" s="36">
        <v>90</v>
      </c>
      <c r="L977" s="25" t="str">
        <f t="shared" si="31"/>
        <v/>
      </c>
    </row>
    <row r="978" spans="1:12">
      <c r="A978" s="32" t="s">
        <v>3872</v>
      </c>
      <c r="B978" s="33">
        <v>416</v>
      </c>
      <c r="C978" s="33">
        <v>6</v>
      </c>
      <c r="D978" s="32" t="s">
        <v>3873</v>
      </c>
      <c r="E978" s="20"/>
      <c r="F978" s="34">
        <v>21.75</v>
      </c>
      <c r="G978" s="22">
        <f t="shared" si="30"/>
        <v>3.625</v>
      </c>
      <c r="H978" s="85" t="s">
        <v>3874</v>
      </c>
      <c r="I978" s="85" t="s">
        <v>3875</v>
      </c>
      <c r="J978" s="29">
        <v>540</v>
      </c>
      <c r="K978" s="36">
        <v>90</v>
      </c>
      <c r="L978" s="25" t="str">
        <f t="shared" si="31"/>
        <v/>
      </c>
    </row>
    <row r="979" spans="1:12">
      <c r="A979" s="32" t="s">
        <v>3876</v>
      </c>
      <c r="B979" s="33">
        <v>108</v>
      </c>
      <c r="C979" s="33">
        <v>6</v>
      </c>
      <c r="D979" s="32" t="s">
        <v>3877</v>
      </c>
      <c r="E979" s="20"/>
      <c r="F979" s="34">
        <v>4.2</v>
      </c>
      <c r="G979" s="22">
        <f t="shared" si="30"/>
        <v>0.7</v>
      </c>
      <c r="H979" s="85" t="s">
        <v>3878</v>
      </c>
      <c r="I979" s="85" t="s">
        <v>3879</v>
      </c>
      <c r="J979" s="29">
        <v>504</v>
      </c>
      <c r="K979" s="36">
        <v>84</v>
      </c>
      <c r="L979" s="25" t="str">
        <f t="shared" si="31"/>
        <v/>
      </c>
    </row>
    <row r="980" spans="1:12">
      <c r="A980" s="32" t="s">
        <v>3880</v>
      </c>
      <c r="B980" s="33">
        <v>257</v>
      </c>
      <c r="C980" s="33">
        <v>6</v>
      </c>
      <c r="D980" s="32" t="s">
        <v>3881</v>
      </c>
      <c r="E980" s="20"/>
      <c r="F980" s="37">
        <v>14.8</v>
      </c>
      <c r="G980" s="38">
        <f t="shared" si="30"/>
        <v>2.46666666666667</v>
      </c>
      <c r="H980" s="85" t="s">
        <v>3882</v>
      </c>
      <c r="I980" s="85" t="s">
        <v>3883</v>
      </c>
      <c r="J980" s="29">
        <v>434</v>
      </c>
      <c r="K980" s="36">
        <v>62</v>
      </c>
      <c r="L980" s="25" t="str">
        <f t="shared" si="31"/>
        <v/>
      </c>
    </row>
    <row r="981" spans="1:12">
      <c r="A981" s="32" t="s">
        <v>3884</v>
      </c>
      <c r="B981" s="33">
        <v>2476</v>
      </c>
      <c r="C981" s="33">
        <v>12</v>
      </c>
      <c r="D981" s="32" t="s">
        <v>3885</v>
      </c>
      <c r="E981" s="20"/>
      <c r="F981" s="37">
        <v>9.6</v>
      </c>
      <c r="G981" s="38">
        <f t="shared" si="30"/>
        <v>0.8</v>
      </c>
      <c r="H981" s="85" t="s">
        <v>3886</v>
      </c>
      <c r="I981" s="85" t="s">
        <v>3887</v>
      </c>
      <c r="J981" s="29"/>
      <c r="K981" s="36"/>
      <c r="L981" s="25" t="str">
        <f t="shared" si="31"/>
        <v/>
      </c>
    </row>
    <row r="982" spans="1:12">
      <c r="A982" s="32" t="s">
        <v>3888</v>
      </c>
      <c r="B982" s="33">
        <v>29</v>
      </c>
      <c r="C982" s="33">
        <v>8</v>
      </c>
      <c r="D982" s="32" t="s">
        <v>3889</v>
      </c>
      <c r="E982" s="20"/>
      <c r="F982" s="37">
        <v>5.7</v>
      </c>
      <c r="G982" s="38">
        <f t="shared" si="30"/>
        <v>0.7125</v>
      </c>
      <c r="H982" s="85" t="s">
        <v>3890</v>
      </c>
      <c r="I982" s="85" t="s">
        <v>3891</v>
      </c>
      <c r="J982" s="29">
        <v>612</v>
      </c>
      <c r="K982" s="36">
        <v>68</v>
      </c>
      <c r="L982" s="25" t="str">
        <f t="shared" si="31"/>
        <v/>
      </c>
    </row>
    <row r="983" spans="1:12">
      <c r="A983" s="32" t="s">
        <v>3892</v>
      </c>
      <c r="B983" s="33">
        <v>822</v>
      </c>
      <c r="C983" s="33">
        <v>12</v>
      </c>
      <c r="D983" s="32" t="s">
        <v>3893</v>
      </c>
      <c r="E983" s="20"/>
      <c r="F983" s="34">
        <v>7.99</v>
      </c>
      <c r="G983" s="22">
        <f t="shared" si="30"/>
        <v>0.665833333333333</v>
      </c>
      <c r="H983" s="85" t="s">
        <v>3894</v>
      </c>
      <c r="I983" s="85" t="s">
        <v>3895</v>
      </c>
      <c r="J983" s="29">
        <v>1485</v>
      </c>
      <c r="K983" s="36">
        <v>45</v>
      </c>
      <c r="L983" s="25" t="str">
        <f t="shared" si="31"/>
        <v/>
      </c>
    </row>
    <row r="984" spans="1:12">
      <c r="A984" s="32" t="s">
        <v>3896</v>
      </c>
      <c r="B984" s="33">
        <v>2943</v>
      </c>
      <c r="C984" s="33">
        <v>12</v>
      </c>
      <c r="D984" s="32" t="s">
        <v>3897</v>
      </c>
      <c r="E984" s="20"/>
      <c r="F984" s="34">
        <v>8.6</v>
      </c>
      <c r="G984" s="22">
        <f t="shared" si="30"/>
        <v>0.716666666666667</v>
      </c>
      <c r="H984" s="85" t="s">
        <v>3898</v>
      </c>
      <c r="I984" s="85" t="s">
        <v>3899</v>
      </c>
      <c r="J984" s="29">
        <v>1485</v>
      </c>
      <c r="K984" s="36">
        <v>45</v>
      </c>
      <c r="L984" s="25" t="str">
        <f t="shared" si="31"/>
        <v/>
      </c>
    </row>
    <row r="985" spans="1:12">
      <c r="A985" s="32" t="s">
        <v>3900</v>
      </c>
      <c r="B985" s="33">
        <v>2765</v>
      </c>
      <c r="C985" s="33">
        <v>12</v>
      </c>
      <c r="D985" s="32" t="s">
        <v>3901</v>
      </c>
      <c r="E985" s="20"/>
      <c r="F985" s="34">
        <v>8.6</v>
      </c>
      <c r="G985" s="22">
        <f t="shared" si="30"/>
        <v>0.716666666666667</v>
      </c>
      <c r="H985" s="85" t="s">
        <v>3902</v>
      </c>
      <c r="I985" s="85" t="s">
        <v>3903</v>
      </c>
      <c r="J985" s="29">
        <v>1485</v>
      </c>
      <c r="K985" s="36">
        <v>45</v>
      </c>
      <c r="L985" s="25" t="str">
        <f t="shared" si="31"/>
        <v/>
      </c>
    </row>
    <row r="986" spans="1:12">
      <c r="A986" s="32" t="s">
        <v>3904</v>
      </c>
      <c r="B986" s="33">
        <v>2180</v>
      </c>
      <c r="C986" s="33">
        <v>12</v>
      </c>
      <c r="D986" s="32" t="s">
        <v>3905</v>
      </c>
      <c r="E986" s="29"/>
      <c r="F986" s="34">
        <v>9</v>
      </c>
      <c r="G986" s="22">
        <f t="shared" si="30"/>
        <v>0.75</v>
      </c>
      <c r="H986" s="85" t="s">
        <v>3906</v>
      </c>
      <c r="I986" s="85" t="s">
        <v>3907</v>
      </c>
      <c r="J986" s="29">
        <v>1485</v>
      </c>
      <c r="K986" s="36">
        <v>45</v>
      </c>
      <c r="L986" s="25" t="str">
        <f t="shared" si="31"/>
        <v/>
      </c>
    </row>
    <row r="987" spans="1:12">
      <c r="A987" s="32" t="s">
        <v>3908</v>
      </c>
      <c r="B987" s="33">
        <v>2278</v>
      </c>
      <c r="C987" s="33">
        <v>12</v>
      </c>
      <c r="D987" s="32" t="s">
        <v>3909</v>
      </c>
      <c r="E987" s="29"/>
      <c r="F987" s="34">
        <v>9.6</v>
      </c>
      <c r="G987" s="22">
        <f t="shared" si="30"/>
        <v>0.8</v>
      </c>
      <c r="H987" s="85" t="s">
        <v>3910</v>
      </c>
      <c r="I987" s="85" t="s">
        <v>3911</v>
      </c>
      <c r="J987" s="29">
        <v>1694</v>
      </c>
      <c r="K987" s="36">
        <v>77</v>
      </c>
      <c r="L987" s="25" t="str">
        <f t="shared" si="31"/>
        <v/>
      </c>
    </row>
    <row r="988" spans="1:12">
      <c r="A988" s="32" t="s">
        <v>3912</v>
      </c>
      <c r="B988" s="33">
        <v>1711</v>
      </c>
      <c r="C988" s="33">
        <v>12</v>
      </c>
      <c r="D988" s="32" t="s">
        <v>3913</v>
      </c>
      <c r="E988" s="20"/>
      <c r="F988" s="34">
        <v>7.4</v>
      </c>
      <c r="G988" s="22">
        <f t="shared" si="30"/>
        <v>0.616666666666667</v>
      </c>
      <c r="H988" s="85" t="s">
        <v>3914</v>
      </c>
      <c r="I988" s="85" t="s">
        <v>3915</v>
      </c>
      <c r="J988" s="29">
        <v>720</v>
      </c>
      <c r="K988" s="36">
        <v>72</v>
      </c>
      <c r="L988" s="25" t="str">
        <f t="shared" si="31"/>
        <v/>
      </c>
    </row>
    <row r="989" spans="1:12">
      <c r="A989" s="32" t="s">
        <v>3916</v>
      </c>
      <c r="B989" s="33">
        <v>424</v>
      </c>
      <c r="C989" s="33">
        <v>12</v>
      </c>
      <c r="D989" s="32" t="s">
        <v>3917</v>
      </c>
      <c r="E989" s="29"/>
      <c r="F989" s="34">
        <v>7.4</v>
      </c>
      <c r="G989" s="22">
        <f t="shared" si="30"/>
        <v>0.616666666666667</v>
      </c>
      <c r="H989" s="85" t="s">
        <v>3918</v>
      </c>
      <c r="I989" s="85" t="s">
        <v>3919</v>
      </c>
      <c r="J989" s="29">
        <v>720</v>
      </c>
      <c r="K989" s="30">
        <v>72</v>
      </c>
      <c r="L989" s="25" t="str">
        <f t="shared" si="31"/>
        <v/>
      </c>
    </row>
    <row r="990" spans="1:12">
      <c r="A990" s="32" t="s">
        <v>3920</v>
      </c>
      <c r="B990" s="33">
        <v>386</v>
      </c>
      <c r="C990" s="33">
        <v>12</v>
      </c>
      <c r="D990" s="32" t="s">
        <v>3921</v>
      </c>
      <c r="E990" s="29"/>
      <c r="F990" s="34">
        <v>7.4</v>
      </c>
      <c r="G990" s="34">
        <f t="shared" si="30"/>
        <v>0.616666666666667</v>
      </c>
      <c r="H990" s="85" t="s">
        <v>3922</v>
      </c>
      <c r="I990" s="85" t="s">
        <v>3923</v>
      </c>
      <c r="J990" s="29">
        <v>720</v>
      </c>
      <c r="K990" s="30">
        <v>72</v>
      </c>
      <c r="L990" s="40" t="str">
        <f t="shared" si="31"/>
        <v/>
      </c>
    </row>
    <row r="991" spans="1:12">
      <c r="A991" s="32" t="s">
        <v>3924</v>
      </c>
      <c r="B991" s="33">
        <v>915</v>
      </c>
      <c r="C991" s="33">
        <v>12</v>
      </c>
      <c r="D991" s="32" t="s">
        <v>3925</v>
      </c>
      <c r="E991" s="29"/>
      <c r="F991" s="34">
        <v>7.4</v>
      </c>
      <c r="G991" s="22">
        <f t="shared" si="30"/>
        <v>0.616666666666667</v>
      </c>
      <c r="H991" s="85" t="s">
        <v>3926</v>
      </c>
      <c r="I991" s="85" t="s">
        <v>3927</v>
      </c>
      <c r="J991" s="29">
        <v>720</v>
      </c>
      <c r="K991" s="30">
        <v>72</v>
      </c>
      <c r="L991" s="25" t="str">
        <f t="shared" si="31"/>
        <v/>
      </c>
    </row>
    <row r="992" spans="1:12">
      <c r="A992" s="32" t="s">
        <v>3928</v>
      </c>
      <c r="B992" s="33">
        <v>4323</v>
      </c>
      <c r="C992" s="33">
        <v>12</v>
      </c>
      <c r="D992" s="32" t="s">
        <v>3929</v>
      </c>
      <c r="E992" s="20"/>
      <c r="F992" s="34">
        <v>10.4</v>
      </c>
      <c r="G992" s="22">
        <f t="shared" si="30"/>
        <v>0.866666666666667</v>
      </c>
      <c r="H992" s="85" t="s">
        <v>3930</v>
      </c>
      <c r="I992" s="85" t="s">
        <v>3931</v>
      </c>
      <c r="J992" s="29">
        <v>384</v>
      </c>
      <c r="K992" s="36">
        <v>48</v>
      </c>
      <c r="L992" s="25" t="str">
        <f t="shared" si="31"/>
        <v/>
      </c>
    </row>
    <row r="993" spans="1:12">
      <c r="A993" s="32" t="s">
        <v>3932</v>
      </c>
      <c r="B993" s="33">
        <v>372</v>
      </c>
      <c r="C993" s="33">
        <v>12</v>
      </c>
      <c r="D993" s="32" t="s">
        <v>3933</v>
      </c>
      <c r="E993" s="29"/>
      <c r="F993" s="34">
        <v>10.8</v>
      </c>
      <c r="G993" s="22">
        <f t="shared" si="30"/>
        <v>0.9</v>
      </c>
      <c r="H993" s="85" t="s">
        <v>3934</v>
      </c>
      <c r="I993" s="85" t="s">
        <v>3935</v>
      </c>
      <c r="J993" s="29">
        <v>384</v>
      </c>
      <c r="K993" s="30">
        <v>48</v>
      </c>
      <c r="L993" s="25" t="str">
        <f t="shared" si="31"/>
        <v/>
      </c>
    </row>
    <row r="994" spans="1:12">
      <c r="A994" s="32" t="s">
        <v>3936</v>
      </c>
      <c r="B994" s="33">
        <v>686</v>
      </c>
      <c r="C994" s="33">
        <v>12</v>
      </c>
      <c r="D994" s="32" t="s">
        <v>3937</v>
      </c>
      <c r="E994" s="29"/>
      <c r="F994" s="34">
        <v>10.8</v>
      </c>
      <c r="G994" s="22">
        <f t="shared" si="30"/>
        <v>0.9</v>
      </c>
      <c r="H994" s="85" t="s">
        <v>3938</v>
      </c>
      <c r="I994" s="85" t="s">
        <v>3939</v>
      </c>
      <c r="J994" s="29">
        <v>384</v>
      </c>
      <c r="K994" s="30">
        <v>48</v>
      </c>
      <c r="L994" s="25" t="str">
        <f t="shared" si="31"/>
        <v/>
      </c>
    </row>
    <row r="995" spans="1:12">
      <c r="A995" s="32" t="s">
        <v>3940</v>
      </c>
      <c r="B995" s="33">
        <v>5387</v>
      </c>
      <c r="C995" s="33">
        <v>6</v>
      </c>
      <c r="D995" s="32" t="s">
        <v>3941</v>
      </c>
      <c r="E995" s="20"/>
      <c r="F995" s="34">
        <v>13.2</v>
      </c>
      <c r="G995" s="22">
        <f t="shared" si="30"/>
        <v>2.2</v>
      </c>
      <c r="H995" s="85" t="s">
        <v>3942</v>
      </c>
      <c r="I995" s="85" t="s">
        <v>3943</v>
      </c>
      <c r="J995" s="29">
        <v>336</v>
      </c>
      <c r="K995" s="36">
        <v>48</v>
      </c>
      <c r="L995" s="25" t="str">
        <f t="shared" si="31"/>
        <v/>
      </c>
    </row>
    <row r="996" spans="1:12">
      <c r="A996" s="32" t="s">
        <v>3944</v>
      </c>
      <c r="B996" s="33">
        <v>713</v>
      </c>
      <c r="C996" s="33">
        <v>6</v>
      </c>
      <c r="D996" s="32" t="s">
        <v>3945</v>
      </c>
      <c r="E996" s="29"/>
      <c r="F996" s="34">
        <v>13.2</v>
      </c>
      <c r="G996" s="22">
        <f t="shared" si="30"/>
        <v>2.2</v>
      </c>
      <c r="H996" s="85" t="s">
        <v>3946</v>
      </c>
      <c r="I996" s="85" t="s">
        <v>3947</v>
      </c>
      <c r="J996" s="29">
        <v>336</v>
      </c>
      <c r="K996" s="30">
        <v>48</v>
      </c>
      <c r="L996" s="25" t="str">
        <f t="shared" si="31"/>
        <v/>
      </c>
    </row>
    <row r="997" spans="1:12">
      <c r="A997" s="32" t="s">
        <v>3948</v>
      </c>
      <c r="B997" s="33">
        <v>745</v>
      </c>
      <c r="C997" s="33">
        <v>6</v>
      </c>
      <c r="D997" s="32" t="s">
        <v>3949</v>
      </c>
      <c r="E997" s="29"/>
      <c r="F997" s="34">
        <v>13.2</v>
      </c>
      <c r="G997" s="34">
        <f t="shared" si="30"/>
        <v>2.2</v>
      </c>
      <c r="H997" s="85" t="s">
        <v>3950</v>
      </c>
      <c r="I997" s="85" t="s">
        <v>3951</v>
      </c>
      <c r="J997" s="29">
        <v>336</v>
      </c>
      <c r="K997" s="30">
        <v>48</v>
      </c>
      <c r="L997" s="40" t="str">
        <f t="shared" si="31"/>
        <v/>
      </c>
    </row>
    <row r="998" spans="1:12">
      <c r="A998" s="32" t="s">
        <v>3952</v>
      </c>
      <c r="B998" s="33">
        <v>483</v>
      </c>
      <c r="C998" s="33">
        <v>6</v>
      </c>
      <c r="D998" s="32" t="s">
        <v>3953</v>
      </c>
      <c r="E998" s="20"/>
      <c r="F998" s="37">
        <v>13.2</v>
      </c>
      <c r="G998" s="38">
        <f t="shared" si="30"/>
        <v>2.2</v>
      </c>
      <c r="H998" s="85" t="s">
        <v>3954</v>
      </c>
      <c r="I998" s="85" t="s">
        <v>3955</v>
      </c>
      <c r="J998" s="29">
        <v>336</v>
      </c>
      <c r="K998" s="30">
        <v>48</v>
      </c>
      <c r="L998" s="25" t="str">
        <f t="shared" si="31"/>
        <v/>
      </c>
    </row>
    <row r="999" spans="1:12">
      <c r="A999" s="41" t="s">
        <v>3956</v>
      </c>
      <c r="B999" s="30">
        <v>23</v>
      </c>
      <c r="C999" s="30">
        <v>10</v>
      </c>
      <c r="D999" s="41" t="s">
        <v>3957</v>
      </c>
      <c r="E999" s="20"/>
      <c r="F999" s="34">
        <v>14.5</v>
      </c>
      <c r="G999" s="22">
        <f t="shared" si="30"/>
        <v>1.45</v>
      </c>
      <c r="H999" s="87" t="s">
        <v>3958</v>
      </c>
      <c r="I999" s="87" t="s">
        <v>3959</v>
      </c>
      <c r="J999" s="36">
        <v>76</v>
      </c>
      <c r="K999" s="36">
        <v>19</v>
      </c>
      <c r="L999" s="25" t="str">
        <f t="shared" si="31"/>
        <v/>
      </c>
    </row>
    <row r="1000" spans="1:12">
      <c r="A1000" s="41" t="s">
        <v>3960</v>
      </c>
      <c r="B1000" s="30">
        <v>216</v>
      </c>
      <c r="C1000" s="30">
        <v>6</v>
      </c>
      <c r="D1000" s="41" t="s">
        <v>3961</v>
      </c>
      <c r="E1000" s="20"/>
      <c r="F1000" s="34">
        <v>17.4</v>
      </c>
      <c r="G1000" s="22">
        <f t="shared" si="30"/>
        <v>2.9</v>
      </c>
      <c r="H1000" s="87" t="s">
        <v>3962</v>
      </c>
      <c r="I1000" s="87" t="s">
        <v>3963</v>
      </c>
      <c r="J1000" s="36"/>
      <c r="K1000" s="36"/>
      <c r="L1000" s="25" t="str">
        <f t="shared" si="31"/>
        <v/>
      </c>
    </row>
    <row r="1001" spans="1:12">
      <c r="A1001" s="41" t="s">
        <v>3964</v>
      </c>
      <c r="B1001" s="30">
        <v>46</v>
      </c>
      <c r="C1001" s="30">
        <v>6</v>
      </c>
      <c r="D1001" s="41" t="s">
        <v>3965</v>
      </c>
      <c r="E1001" s="20"/>
      <c r="F1001" s="34">
        <v>16.8</v>
      </c>
      <c r="G1001" s="22">
        <f t="shared" si="30"/>
        <v>2.8</v>
      </c>
      <c r="H1001" s="87" t="s">
        <v>3966</v>
      </c>
      <c r="I1001" s="87" t="s">
        <v>3967</v>
      </c>
      <c r="J1001" s="36"/>
      <c r="K1001" s="36"/>
      <c r="L1001" s="25" t="str">
        <f t="shared" si="31"/>
        <v/>
      </c>
    </row>
    <row r="1002" spans="1:12">
      <c r="A1002" s="41" t="s">
        <v>3968</v>
      </c>
      <c r="B1002" s="30">
        <v>68</v>
      </c>
      <c r="C1002" s="30">
        <v>6</v>
      </c>
      <c r="D1002" s="41" t="s">
        <v>3969</v>
      </c>
      <c r="E1002" s="20"/>
      <c r="F1002" s="34">
        <v>18.95</v>
      </c>
      <c r="G1002" s="22">
        <f t="shared" si="30"/>
        <v>3.15833333333333</v>
      </c>
      <c r="H1002" s="87" t="s">
        <v>3970</v>
      </c>
      <c r="I1002" s="87" t="s">
        <v>3971</v>
      </c>
      <c r="J1002" s="36"/>
      <c r="K1002" s="36"/>
      <c r="L1002" s="25" t="str">
        <f t="shared" si="31"/>
        <v/>
      </c>
    </row>
    <row r="1003" spans="1:12">
      <c r="A1003" s="41" t="s">
        <v>3972</v>
      </c>
      <c r="B1003" s="30">
        <v>638</v>
      </c>
      <c r="C1003" s="30">
        <v>6</v>
      </c>
      <c r="D1003" s="41" t="s">
        <v>3973</v>
      </c>
      <c r="E1003" s="20"/>
      <c r="F1003" s="34">
        <v>12.95</v>
      </c>
      <c r="G1003" s="22">
        <f t="shared" si="30"/>
        <v>2.15833333333333</v>
      </c>
      <c r="H1003" s="55">
        <v>8001090507747</v>
      </c>
      <c r="I1003" s="95" t="s">
        <v>3974</v>
      </c>
      <c r="J1003" s="36">
        <v>1152</v>
      </c>
      <c r="K1003" s="36">
        <v>288</v>
      </c>
      <c r="L1003" s="25" t="str">
        <f t="shared" si="31"/>
        <v/>
      </c>
    </row>
    <row r="1004" spans="1:12">
      <c r="A1004" s="41" t="s">
        <v>3975</v>
      </c>
      <c r="B1004" s="30">
        <v>596</v>
      </c>
      <c r="C1004" s="30">
        <v>6</v>
      </c>
      <c r="D1004" s="41" t="s">
        <v>3976</v>
      </c>
      <c r="E1004" s="20"/>
      <c r="F1004" s="34">
        <v>13.44</v>
      </c>
      <c r="G1004" s="22">
        <f t="shared" si="30"/>
        <v>2.24</v>
      </c>
      <c r="H1004" s="87" t="s">
        <v>3977</v>
      </c>
      <c r="I1004" s="87" t="s">
        <v>3978</v>
      </c>
      <c r="J1004" s="36">
        <v>1152</v>
      </c>
      <c r="K1004" s="36">
        <v>288</v>
      </c>
      <c r="L1004" s="25" t="str">
        <f t="shared" si="31"/>
        <v/>
      </c>
    </row>
    <row r="1005" spans="1:12">
      <c r="A1005" s="41" t="s">
        <v>3979</v>
      </c>
      <c r="B1005" s="30">
        <v>196</v>
      </c>
      <c r="C1005" s="30">
        <v>6</v>
      </c>
      <c r="D1005" s="41" t="s">
        <v>3980</v>
      </c>
      <c r="E1005" s="20"/>
      <c r="F1005" s="34">
        <v>22.4</v>
      </c>
      <c r="G1005" s="22">
        <f t="shared" si="30"/>
        <v>3.73333333333333</v>
      </c>
      <c r="H1005" s="87" t="s">
        <v>3981</v>
      </c>
      <c r="I1005" s="87" t="s">
        <v>3982</v>
      </c>
      <c r="J1005" s="36">
        <v>768</v>
      </c>
      <c r="K1005" s="30">
        <v>96</v>
      </c>
      <c r="L1005" s="25" t="str">
        <f t="shared" si="31"/>
        <v/>
      </c>
    </row>
    <row r="1006" spans="1:12">
      <c r="A1006" s="41" t="s">
        <v>3983</v>
      </c>
      <c r="B1006" s="30">
        <v>192</v>
      </c>
      <c r="C1006" s="30">
        <v>8</v>
      </c>
      <c r="D1006" s="41" t="s">
        <v>3984</v>
      </c>
      <c r="E1006" s="71"/>
      <c r="F1006" s="34">
        <v>18.2</v>
      </c>
      <c r="G1006" s="22">
        <f t="shared" si="30"/>
        <v>2.275</v>
      </c>
      <c r="H1006" s="87" t="s">
        <v>3985</v>
      </c>
      <c r="I1006" s="87" t="s">
        <v>3986</v>
      </c>
      <c r="J1006" s="36">
        <v>960</v>
      </c>
      <c r="K1006" s="30">
        <v>120</v>
      </c>
      <c r="L1006" s="25" t="str">
        <f t="shared" si="31"/>
        <v/>
      </c>
    </row>
    <row r="1007" spans="1:12">
      <c r="A1007" s="41" t="s">
        <v>3987</v>
      </c>
      <c r="B1007" s="30">
        <v>919</v>
      </c>
      <c r="C1007" s="30">
        <v>12</v>
      </c>
      <c r="D1007" s="41" t="s">
        <v>3988</v>
      </c>
      <c r="E1007" s="71"/>
      <c r="F1007" s="34">
        <v>14</v>
      </c>
      <c r="G1007" s="22">
        <f t="shared" si="30"/>
        <v>1.16666666666667</v>
      </c>
      <c r="H1007" s="87" t="s">
        <v>3989</v>
      </c>
      <c r="I1007" s="87" t="s">
        <v>3990</v>
      </c>
      <c r="J1007" s="36">
        <v>693</v>
      </c>
      <c r="K1007" s="36">
        <v>48</v>
      </c>
      <c r="L1007" s="25" t="str">
        <f t="shared" si="31"/>
        <v/>
      </c>
    </row>
    <row r="1008" spans="1:12">
      <c r="A1008" s="32" t="s">
        <v>3991</v>
      </c>
      <c r="B1008" s="33">
        <v>2785</v>
      </c>
      <c r="C1008" s="33">
        <v>20</v>
      </c>
      <c r="D1008" s="32" t="s">
        <v>3992</v>
      </c>
      <c r="E1008" s="20"/>
      <c r="F1008" s="34">
        <v>9.4</v>
      </c>
      <c r="G1008" s="22">
        <f t="shared" si="30"/>
        <v>0.47</v>
      </c>
      <c r="H1008" s="85" t="s">
        <v>3993</v>
      </c>
      <c r="I1008" s="85" t="s">
        <v>3994</v>
      </c>
      <c r="J1008" s="29">
        <v>2400</v>
      </c>
      <c r="K1008" s="36">
        <v>600</v>
      </c>
      <c r="L1008" s="25" t="str">
        <f t="shared" si="31"/>
        <v/>
      </c>
    </row>
    <row r="1009" spans="1:12">
      <c r="A1009" s="32" t="s">
        <v>3995</v>
      </c>
      <c r="B1009" s="33">
        <v>0</v>
      </c>
      <c r="C1009" s="33">
        <v>6</v>
      </c>
      <c r="D1009" s="32" t="s">
        <v>3996</v>
      </c>
      <c r="E1009" s="29"/>
      <c r="F1009" s="37">
        <v>3.42</v>
      </c>
      <c r="G1009" s="38">
        <f t="shared" si="30"/>
        <v>0.57</v>
      </c>
      <c r="H1009" s="85" t="s">
        <v>3997</v>
      </c>
      <c r="I1009" s="85" t="s">
        <v>3998</v>
      </c>
      <c r="J1009" s="29">
        <v>1250</v>
      </c>
      <c r="K1009" s="30">
        <v>125</v>
      </c>
      <c r="L1009" s="25" t="str">
        <f t="shared" si="31"/>
        <v/>
      </c>
    </row>
    <row r="1010" spans="1:12">
      <c r="A1010" s="32" t="s">
        <v>3999</v>
      </c>
      <c r="B1010" s="33">
        <v>0</v>
      </c>
      <c r="C1010" s="33">
        <v>10</v>
      </c>
      <c r="D1010" s="32" t="s">
        <v>4000</v>
      </c>
      <c r="E1010" s="29"/>
      <c r="F1010" s="37">
        <v>6.84</v>
      </c>
      <c r="G1010" s="38">
        <f t="shared" si="30"/>
        <v>0.684</v>
      </c>
      <c r="H1010" s="85" t="s">
        <v>4001</v>
      </c>
      <c r="I1010" s="85" t="s">
        <v>4002</v>
      </c>
      <c r="J1010" s="29">
        <v>768</v>
      </c>
      <c r="K1010" s="30">
        <v>96</v>
      </c>
      <c r="L1010" s="25" t="str">
        <f t="shared" si="31"/>
        <v/>
      </c>
    </row>
    <row r="1011" spans="1:12">
      <c r="A1011" s="32" t="s">
        <v>4003</v>
      </c>
      <c r="B1011" s="33">
        <v>4</v>
      </c>
      <c r="C1011" s="33">
        <v>12</v>
      </c>
      <c r="D1011" s="32" t="s">
        <v>4004</v>
      </c>
      <c r="E1011" s="20"/>
      <c r="F1011" s="34">
        <v>8.04</v>
      </c>
      <c r="G1011" s="22">
        <f t="shared" si="30"/>
        <v>0.67</v>
      </c>
      <c r="H1011" s="85" t="s">
        <v>4005</v>
      </c>
      <c r="I1011" s="85" t="s">
        <v>4006</v>
      </c>
      <c r="J1011" s="29">
        <v>768</v>
      </c>
      <c r="K1011" s="30">
        <v>96</v>
      </c>
      <c r="L1011" s="25" t="str">
        <f t="shared" si="31"/>
        <v/>
      </c>
    </row>
    <row r="1012" spans="1:12">
      <c r="A1012" s="32" t="s">
        <v>4007</v>
      </c>
      <c r="B1012" s="33">
        <v>79</v>
      </c>
      <c r="C1012" s="33">
        <v>12</v>
      </c>
      <c r="D1012" s="32" t="s">
        <v>4008</v>
      </c>
      <c r="E1012" s="20"/>
      <c r="F1012" s="34">
        <v>4.5</v>
      </c>
      <c r="G1012" s="22">
        <f t="shared" si="30"/>
        <v>0.375</v>
      </c>
      <c r="H1012" s="85" t="s">
        <v>4009</v>
      </c>
      <c r="I1012" s="85" t="s">
        <v>4010</v>
      </c>
      <c r="J1012" s="29">
        <v>768</v>
      </c>
      <c r="K1012" s="36">
        <v>96</v>
      </c>
      <c r="L1012" s="25" t="str">
        <f t="shared" si="31"/>
        <v/>
      </c>
    </row>
    <row r="1013" spans="1:12">
      <c r="A1013" s="32" t="s">
        <v>4011</v>
      </c>
      <c r="B1013" s="33">
        <v>110</v>
      </c>
      <c r="C1013" s="33">
        <v>6</v>
      </c>
      <c r="D1013" s="32" t="s">
        <v>4012</v>
      </c>
      <c r="E1013" s="20"/>
      <c r="F1013" s="34">
        <v>13.2</v>
      </c>
      <c r="G1013" s="22">
        <f t="shared" si="30"/>
        <v>2.2</v>
      </c>
      <c r="H1013" s="85" t="s">
        <v>4013</v>
      </c>
      <c r="I1013" s="85" t="s">
        <v>4014</v>
      </c>
      <c r="J1013" s="29">
        <v>310</v>
      </c>
      <c r="K1013" s="36">
        <v>31</v>
      </c>
      <c r="L1013" s="25" t="str">
        <f t="shared" si="31"/>
        <v/>
      </c>
    </row>
    <row r="1014" spans="1:12">
      <c r="A1014" s="32" t="s">
        <v>4015</v>
      </c>
      <c r="B1014" s="33">
        <v>155</v>
      </c>
      <c r="C1014" s="33">
        <v>6</v>
      </c>
      <c r="D1014" s="32" t="s">
        <v>4016</v>
      </c>
      <c r="E1014" s="20"/>
      <c r="F1014" s="34">
        <v>4.4</v>
      </c>
      <c r="G1014" s="22">
        <f t="shared" si="30"/>
        <v>0.733333333333333</v>
      </c>
      <c r="H1014" s="85" t="s">
        <v>4017</v>
      </c>
      <c r="I1014" s="85" t="s">
        <v>4018</v>
      </c>
      <c r="J1014" s="29">
        <v>720</v>
      </c>
      <c r="K1014" s="36">
        <v>120</v>
      </c>
      <c r="L1014" s="25" t="str">
        <f t="shared" si="31"/>
        <v/>
      </c>
    </row>
    <row r="1015" spans="1:12">
      <c r="A1015" s="32" t="s">
        <v>4019</v>
      </c>
      <c r="B1015" s="33">
        <v>93</v>
      </c>
      <c r="C1015" s="33">
        <v>6</v>
      </c>
      <c r="D1015" s="32" t="s">
        <v>4020</v>
      </c>
      <c r="E1015" s="20"/>
      <c r="F1015" s="34">
        <v>4.4</v>
      </c>
      <c r="G1015" s="22">
        <f t="shared" si="30"/>
        <v>0.733333333333333</v>
      </c>
      <c r="H1015" s="85" t="s">
        <v>4021</v>
      </c>
      <c r="I1015" s="85" t="s">
        <v>4022</v>
      </c>
      <c r="J1015" s="29">
        <v>720</v>
      </c>
      <c r="K1015" s="36">
        <v>120</v>
      </c>
      <c r="L1015" s="25" t="str">
        <f t="shared" si="31"/>
        <v/>
      </c>
    </row>
    <row r="1016" spans="1:12">
      <c r="A1016" s="32" t="s">
        <v>4023</v>
      </c>
      <c r="B1016" s="33">
        <v>83</v>
      </c>
      <c r="C1016" s="33">
        <v>6</v>
      </c>
      <c r="D1016" s="32" t="s">
        <v>4024</v>
      </c>
      <c r="E1016" s="20"/>
      <c r="F1016" s="34">
        <v>4.4</v>
      </c>
      <c r="G1016" s="22">
        <f t="shared" si="30"/>
        <v>0.733333333333333</v>
      </c>
      <c r="H1016" s="85" t="s">
        <v>4025</v>
      </c>
      <c r="I1016" s="85" t="s">
        <v>4026</v>
      </c>
      <c r="J1016" s="29">
        <v>720</v>
      </c>
      <c r="K1016" s="36">
        <v>120</v>
      </c>
      <c r="L1016" s="25" t="str">
        <f t="shared" si="31"/>
        <v/>
      </c>
    </row>
    <row r="1017" spans="1:12">
      <c r="A1017" s="32" t="s">
        <v>4027</v>
      </c>
      <c r="B1017" s="33">
        <v>106</v>
      </c>
      <c r="C1017" s="33">
        <v>6</v>
      </c>
      <c r="D1017" s="32" t="s">
        <v>4028</v>
      </c>
      <c r="E1017" s="20"/>
      <c r="F1017" s="34">
        <v>4.4</v>
      </c>
      <c r="G1017" s="22">
        <f t="shared" si="30"/>
        <v>0.733333333333333</v>
      </c>
      <c r="H1017" s="85" t="s">
        <v>4029</v>
      </c>
      <c r="I1017" s="85" t="s">
        <v>4030</v>
      </c>
      <c r="J1017" s="29">
        <v>720</v>
      </c>
      <c r="K1017" s="36">
        <v>120</v>
      </c>
      <c r="L1017" s="25" t="str">
        <f t="shared" si="31"/>
        <v/>
      </c>
    </row>
    <row r="1018" spans="1:12">
      <c r="A1018" s="32" t="s">
        <v>4031</v>
      </c>
      <c r="B1018" s="33">
        <v>114</v>
      </c>
      <c r="C1018" s="33">
        <v>6</v>
      </c>
      <c r="D1018" s="32" t="s">
        <v>4032</v>
      </c>
      <c r="E1018" s="20"/>
      <c r="F1018" s="37">
        <v>4.4</v>
      </c>
      <c r="G1018" s="38">
        <f t="shared" si="30"/>
        <v>0.733333333333333</v>
      </c>
      <c r="H1018" s="85" t="s">
        <v>4033</v>
      </c>
      <c r="I1018" s="85" t="s">
        <v>4034</v>
      </c>
      <c r="J1018" s="29">
        <v>720</v>
      </c>
      <c r="K1018" s="36">
        <v>120</v>
      </c>
      <c r="L1018" s="25" t="str">
        <f t="shared" si="31"/>
        <v/>
      </c>
    </row>
    <row r="1019" spans="1:12">
      <c r="A1019" s="32" t="s">
        <v>4035</v>
      </c>
      <c r="B1019" s="33">
        <v>120</v>
      </c>
      <c r="C1019" s="33">
        <v>6</v>
      </c>
      <c r="D1019" s="32" t="s">
        <v>4036</v>
      </c>
      <c r="E1019" s="20"/>
      <c r="F1019" s="37">
        <v>4.4</v>
      </c>
      <c r="G1019" s="38">
        <f t="shared" si="30"/>
        <v>0.733333333333333</v>
      </c>
      <c r="H1019" s="85" t="s">
        <v>4037</v>
      </c>
      <c r="I1019" s="85" t="s">
        <v>4038</v>
      </c>
      <c r="J1019" s="29">
        <v>720</v>
      </c>
      <c r="K1019" s="30">
        <v>120</v>
      </c>
      <c r="L1019" s="25" t="str">
        <f t="shared" si="31"/>
        <v/>
      </c>
    </row>
    <row r="1020" spans="1:12">
      <c r="A1020" s="32" t="s">
        <v>4039</v>
      </c>
      <c r="B1020" s="33">
        <v>2011</v>
      </c>
      <c r="C1020" s="33">
        <v>6</v>
      </c>
      <c r="D1020" s="32" t="s">
        <v>4040</v>
      </c>
      <c r="E1020" s="20"/>
      <c r="F1020" s="34">
        <v>0.6</v>
      </c>
      <c r="G1020" s="22">
        <f t="shared" si="30"/>
        <v>0.1</v>
      </c>
      <c r="H1020" s="90" t="s">
        <v>1646</v>
      </c>
      <c r="I1020" s="90" t="s">
        <v>2304</v>
      </c>
      <c r="J1020" s="29"/>
      <c r="K1020" s="36"/>
      <c r="L1020" s="25" t="str">
        <f t="shared" si="31"/>
        <v/>
      </c>
    </row>
    <row r="1021" spans="1:12">
      <c r="A1021" s="32" t="s">
        <v>4041</v>
      </c>
      <c r="B1021" s="33">
        <v>1040</v>
      </c>
      <c r="C1021" s="33">
        <v>6</v>
      </c>
      <c r="D1021" s="32" t="s">
        <v>4042</v>
      </c>
      <c r="E1021" s="20"/>
      <c r="F1021" s="34">
        <v>6</v>
      </c>
      <c r="G1021" s="22">
        <f t="shared" si="30"/>
        <v>1</v>
      </c>
      <c r="H1021" s="85" t="s">
        <v>4043</v>
      </c>
      <c r="I1021" s="85" t="s">
        <v>2304</v>
      </c>
      <c r="J1021" s="29"/>
      <c r="K1021" s="36"/>
      <c r="L1021" s="40" t="str">
        <f t="shared" si="31"/>
        <v/>
      </c>
    </row>
    <row r="1022" spans="1:12">
      <c r="A1022" s="32" t="s">
        <v>4044</v>
      </c>
      <c r="B1022" s="33">
        <v>868</v>
      </c>
      <c r="C1022" s="33">
        <v>6</v>
      </c>
      <c r="D1022" s="32" t="s">
        <v>4045</v>
      </c>
      <c r="E1022" s="20"/>
      <c r="F1022" s="34">
        <v>6</v>
      </c>
      <c r="G1022" s="22">
        <f t="shared" ref="G1022:G1029" si="32">F1022/C1022</f>
        <v>1</v>
      </c>
      <c r="H1022" s="85" t="s">
        <v>4046</v>
      </c>
      <c r="I1022" s="85" t="s">
        <v>2304</v>
      </c>
      <c r="J1022" s="29"/>
      <c r="K1022" s="36"/>
      <c r="L1022" s="40" t="str">
        <f t="shared" ref="L1022:L1029" si="33">IF(E1022,E1022*F1022,"")</f>
        <v/>
      </c>
    </row>
    <row r="1023" spans="1:12">
      <c r="A1023" s="32" t="s">
        <v>4047</v>
      </c>
      <c r="B1023" s="33">
        <v>1312</v>
      </c>
      <c r="C1023" s="33">
        <v>2</v>
      </c>
      <c r="D1023" s="32" t="s">
        <v>4048</v>
      </c>
      <c r="E1023" s="29"/>
      <c r="F1023" s="34">
        <v>0.8</v>
      </c>
      <c r="G1023" s="34">
        <f t="shared" si="32"/>
        <v>0.4</v>
      </c>
      <c r="H1023" s="85" t="s">
        <v>4049</v>
      </c>
      <c r="I1023" s="85" t="s">
        <v>2304</v>
      </c>
      <c r="J1023" s="29"/>
      <c r="K1023" s="36"/>
      <c r="L1023" s="40" t="str">
        <f t="shared" si="33"/>
        <v/>
      </c>
    </row>
    <row r="1024" spans="1:12">
      <c r="A1024" s="32" t="s">
        <v>4050</v>
      </c>
      <c r="B1024" s="33">
        <v>1620</v>
      </c>
      <c r="C1024" s="33">
        <v>2</v>
      </c>
      <c r="D1024" s="32" t="s">
        <v>4051</v>
      </c>
      <c r="E1024" s="29"/>
      <c r="F1024" s="34">
        <v>0.8</v>
      </c>
      <c r="G1024" s="34">
        <f t="shared" si="32"/>
        <v>0.4</v>
      </c>
      <c r="H1024" s="85" t="s">
        <v>4052</v>
      </c>
      <c r="I1024" s="85" t="s">
        <v>2304</v>
      </c>
      <c r="J1024" s="29"/>
      <c r="K1024" s="36"/>
      <c r="L1024" s="25" t="str">
        <f t="shared" si="33"/>
        <v/>
      </c>
    </row>
    <row r="1025" spans="1:12">
      <c r="A1025" s="32" t="s">
        <v>4053</v>
      </c>
      <c r="B1025" s="33">
        <v>1525</v>
      </c>
      <c r="C1025" s="33">
        <v>2</v>
      </c>
      <c r="D1025" s="32" t="s">
        <v>4054</v>
      </c>
      <c r="E1025" s="29"/>
      <c r="F1025" s="34">
        <v>1</v>
      </c>
      <c r="G1025" s="34">
        <f t="shared" si="32"/>
        <v>0.5</v>
      </c>
      <c r="H1025" s="85" t="s">
        <v>4055</v>
      </c>
      <c r="I1025" s="85" t="s">
        <v>2304</v>
      </c>
      <c r="J1025" s="29"/>
      <c r="K1025" s="36"/>
      <c r="L1025" s="25" t="str">
        <f t="shared" si="33"/>
        <v/>
      </c>
    </row>
    <row r="1026" spans="1:12">
      <c r="A1026" s="32" t="s">
        <v>4056</v>
      </c>
      <c r="B1026" s="33">
        <v>1659</v>
      </c>
      <c r="C1026" s="33">
        <v>6</v>
      </c>
      <c r="D1026" s="32" t="s">
        <v>4057</v>
      </c>
      <c r="E1026" s="20"/>
      <c r="F1026" s="34">
        <v>6</v>
      </c>
      <c r="G1026" s="22">
        <f t="shared" si="32"/>
        <v>1</v>
      </c>
      <c r="H1026" s="85" t="s">
        <v>4058</v>
      </c>
      <c r="I1026" s="85" t="s">
        <v>2304</v>
      </c>
      <c r="J1026" s="29"/>
      <c r="K1026" s="36"/>
      <c r="L1026" s="25" t="str">
        <f t="shared" si="33"/>
        <v/>
      </c>
    </row>
    <row r="1027" spans="1:12">
      <c r="A1027" s="32" t="s">
        <v>4059</v>
      </c>
      <c r="B1027" s="33">
        <v>584</v>
      </c>
      <c r="C1027" s="33">
        <v>6</v>
      </c>
      <c r="D1027" s="32" t="s">
        <v>4060</v>
      </c>
      <c r="E1027" s="20"/>
      <c r="F1027" s="34">
        <v>4.8</v>
      </c>
      <c r="G1027" s="22">
        <f t="shared" si="32"/>
        <v>0.8</v>
      </c>
      <c r="H1027" s="90" t="s">
        <v>4061</v>
      </c>
      <c r="I1027" s="90" t="s">
        <v>2304</v>
      </c>
      <c r="J1027" s="29"/>
      <c r="K1027" s="36"/>
      <c r="L1027" s="25" t="str">
        <f t="shared" si="33"/>
        <v/>
      </c>
    </row>
    <row r="1028" spans="1:12">
      <c r="A1028" s="32" t="s">
        <v>4062</v>
      </c>
      <c r="B1028" s="33">
        <v>1554</v>
      </c>
      <c r="C1028" s="33">
        <v>6</v>
      </c>
      <c r="D1028" s="32" t="s">
        <v>4063</v>
      </c>
      <c r="E1028" s="20"/>
      <c r="F1028" s="34">
        <v>6</v>
      </c>
      <c r="G1028" s="22">
        <f t="shared" si="32"/>
        <v>1</v>
      </c>
      <c r="H1028" s="90" t="s">
        <v>4064</v>
      </c>
      <c r="I1028" s="90" t="s">
        <v>2304</v>
      </c>
      <c r="J1028" s="29"/>
      <c r="K1028" s="36"/>
      <c r="L1028" s="25" t="str">
        <f t="shared" si="33"/>
        <v/>
      </c>
    </row>
    <row r="1029" spans="1:12">
      <c r="A1029" s="32" t="s">
        <v>4065</v>
      </c>
      <c r="B1029" s="33">
        <v>3678</v>
      </c>
      <c r="C1029" s="33">
        <v>12</v>
      </c>
      <c r="D1029" s="32" t="s">
        <v>4066</v>
      </c>
      <c r="E1029" s="20"/>
      <c r="F1029" s="34">
        <v>7.2</v>
      </c>
      <c r="G1029" s="22">
        <f t="shared" si="32"/>
        <v>0.6</v>
      </c>
      <c r="H1029" s="85" t="s">
        <v>4067</v>
      </c>
      <c r="I1029" s="85" t="s">
        <v>2304</v>
      </c>
      <c r="J1029" s="29"/>
      <c r="K1029" s="36"/>
      <c r="L1029" s="25" t="str">
        <f t="shared" si="33"/>
        <v/>
      </c>
    </row>
    <row r="1030" spans="1:12">
      <c r="A1030" s="72"/>
      <c r="B1030" s="73"/>
      <c r="C1030" s="74"/>
      <c r="D1030" s="72"/>
      <c r="E1030" s="75"/>
      <c r="F1030" s="76"/>
      <c r="G1030" s="76"/>
      <c r="H1030" s="77"/>
      <c r="I1030" s="77"/>
      <c r="J1030" s="78"/>
      <c r="L1030" s="72"/>
    </row>
    <row r="1031" spans="1:12">
      <c r="A1031" s="72"/>
      <c r="B1031" s="73"/>
      <c r="C1031" s="74"/>
      <c r="D1031" s="72"/>
      <c r="E1031" s="75"/>
      <c r="F1031" s="79"/>
      <c r="G1031" s="79"/>
      <c r="H1031" s="80"/>
      <c r="I1031" s="77"/>
      <c r="J1031" s="78"/>
      <c r="L1031" s="72"/>
    </row>
    <row r="1032" spans="1:12">
      <c r="A1032" s="72"/>
      <c r="B1032" s="73"/>
      <c r="C1032" s="74"/>
      <c r="D1032" s="72"/>
      <c r="E1032" s="75"/>
      <c r="F1032" s="79"/>
      <c r="G1032" s="79"/>
      <c r="H1032" s="77"/>
      <c r="I1032" s="77"/>
      <c r="J1032" s="78"/>
      <c r="L1032" s="72"/>
    </row>
    <row r="1033" spans="1:12">
      <c r="A1033" s="72"/>
      <c r="B1033" s="73"/>
      <c r="C1033" s="74"/>
      <c r="D1033" s="72"/>
      <c r="E1033" s="75"/>
      <c r="F1033" s="76"/>
      <c r="G1033" s="76"/>
      <c r="H1033" s="77"/>
      <c r="I1033" s="77"/>
      <c r="J1033" s="78"/>
      <c r="L1033" s="72"/>
    </row>
    <row r="1034" spans="1:12">
      <c r="A1034" s="72"/>
      <c r="B1034" s="73"/>
      <c r="C1034" s="74"/>
      <c r="D1034" s="72"/>
      <c r="E1034" s="75"/>
      <c r="F1034" s="76"/>
      <c r="G1034" s="76"/>
      <c r="H1034" s="77"/>
      <c r="I1034" s="77"/>
      <c r="J1034" s="78"/>
      <c r="L1034" s="72"/>
    </row>
    <row r="1035" spans="1:12">
      <c r="A1035" s="72"/>
      <c r="B1035" s="73"/>
      <c r="C1035" s="74"/>
      <c r="D1035" s="72"/>
      <c r="E1035" s="75"/>
      <c r="F1035" s="76"/>
      <c r="G1035" s="76"/>
      <c r="H1035" s="77"/>
      <c r="I1035" s="77"/>
      <c r="J1035" s="78"/>
      <c r="L1035" s="72"/>
    </row>
    <row r="1036" spans="1:12">
      <c r="A1036" s="72"/>
      <c r="B1036" s="73"/>
      <c r="C1036" s="74"/>
      <c r="D1036" s="72"/>
      <c r="E1036" s="75"/>
      <c r="F1036" s="76"/>
      <c r="G1036" s="76"/>
      <c r="H1036" s="77"/>
      <c r="I1036" s="77"/>
      <c r="J1036" s="78"/>
      <c r="L1036" s="72"/>
    </row>
    <row r="1037" spans="1:12">
      <c r="A1037" s="72"/>
      <c r="B1037" s="73"/>
      <c r="C1037" s="74"/>
      <c r="D1037" s="72"/>
      <c r="E1037" s="75"/>
      <c r="F1037" s="76"/>
      <c r="G1037" s="76"/>
      <c r="H1037" s="77"/>
      <c r="I1037" s="77"/>
      <c r="J1037" s="78"/>
      <c r="L1037" s="72"/>
    </row>
    <row r="1038" spans="1:12">
      <c r="A1038" s="72"/>
      <c r="B1038" s="73"/>
      <c r="C1038" s="74"/>
      <c r="D1038" s="72"/>
      <c r="E1038" s="75"/>
      <c r="F1038" s="76"/>
      <c r="G1038" s="76"/>
      <c r="H1038" s="77"/>
      <c r="I1038" s="77"/>
      <c r="J1038" s="78"/>
      <c r="L1038" s="72"/>
    </row>
    <row r="1039" spans="1:12">
      <c r="A1039" s="72"/>
      <c r="B1039" s="73"/>
      <c r="C1039" s="74"/>
      <c r="D1039" s="72"/>
      <c r="E1039" s="75"/>
      <c r="F1039" s="76"/>
      <c r="G1039" s="76"/>
      <c r="H1039" s="77"/>
      <c r="I1039" s="77"/>
      <c r="J1039" s="78"/>
      <c r="L1039" s="72"/>
    </row>
    <row r="1040" spans="1:12">
      <c r="A1040" s="72"/>
      <c r="B1040" s="73"/>
      <c r="C1040" s="74"/>
      <c r="D1040" s="72"/>
      <c r="E1040" s="75"/>
      <c r="F1040" s="76"/>
      <c r="G1040" s="76"/>
      <c r="H1040" s="77"/>
      <c r="I1040" s="77"/>
      <c r="J1040" s="78"/>
      <c r="L1040" s="72"/>
    </row>
    <row r="1041" spans="1:12">
      <c r="A1041" s="72"/>
      <c r="B1041" s="73"/>
      <c r="C1041" s="74"/>
      <c r="D1041" s="72"/>
      <c r="E1041" s="75"/>
      <c r="F1041" s="76"/>
      <c r="G1041" s="76"/>
      <c r="H1041" s="77"/>
      <c r="I1041" s="77"/>
      <c r="J1041" s="78"/>
      <c r="L1041" s="72"/>
    </row>
    <row r="1042" spans="1:12">
      <c r="A1042" s="72"/>
      <c r="B1042" s="73"/>
      <c r="C1042" s="74"/>
      <c r="D1042" s="72"/>
      <c r="E1042" s="75"/>
      <c r="F1042" s="76"/>
      <c r="G1042" s="76"/>
      <c r="H1042" s="77"/>
      <c r="I1042" s="77"/>
      <c r="J1042" s="78"/>
      <c r="L1042" s="72"/>
    </row>
    <row r="1043" spans="1:12">
      <c r="A1043" s="72"/>
      <c r="B1043" s="73"/>
      <c r="C1043" s="74"/>
      <c r="D1043" s="72"/>
      <c r="E1043" s="75"/>
      <c r="F1043" s="76"/>
      <c r="G1043" s="76"/>
      <c r="H1043" s="77"/>
      <c r="I1043" s="77"/>
      <c r="J1043" s="78"/>
      <c r="L1043" s="72"/>
    </row>
    <row r="1044" spans="1:12">
      <c r="A1044" s="72"/>
      <c r="B1044" s="73"/>
      <c r="C1044" s="74"/>
      <c r="D1044" s="72"/>
      <c r="E1044" s="75"/>
      <c r="F1044" s="76"/>
      <c r="G1044" s="76"/>
      <c r="H1044" s="77"/>
      <c r="I1044" s="77"/>
      <c r="J1044" s="78"/>
      <c r="L1044" s="72"/>
    </row>
    <row r="1045" spans="1:12">
      <c r="A1045" s="72"/>
      <c r="B1045" s="73"/>
      <c r="C1045" s="74"/>
      <c r="D1045" s="72"/>
      <c r="E1045" s="75"/>
      <c r="F1045" s="76"/>
      <c r="G1045" s="76"/>
      <c r="H1045" s="77"/>
      <c r="I1045" s="77"/>
      <c r="J1045" s="78"/>
      <c r="L1045" s="72"/>
    </row>
    <row r="1046" spans="1:12">
      <c r="A1046" s="72"/>
      <c r="B1046" s="73"/>
      <c r="C1046" s="74"/>
      <c r="D1046" s="72"/>
      <c r="E1046" s="75"/>
      <c r="F1046" s="76"/>
      <c r="G1046" s="76"/>
      <c r="H1046" s="77"/>
      <c r="I1046" s="77"/>
      <c r="J1046" s="78"/>
      <c r="L1046" s="72"/>
    </row>
    <row r="1047" spans="1:12">
      <c r="A1047" s="72"/>
      <c r="B1047" s="73"/>
      <c r="C1047" s="74"/>
      <c r="D1047" s="72"/>
      <c r="E1047" s="75"/>
      <c r="F1047" s="76"/>
      <c r="G1047" s="76"/>
      <c r="H1047" s="77"/>
      <c r="I1047" s="77"/>
      <c r="J1047" s="78"/>
      <c r="L1047" s="72"/>
    </row>
    <row r="1048" spans="1:12">
      <c r="A1048" s="72"/>
      <c r="B1048" s="73"/>
      <c r="C1048" s="74"/>
      <c r="D1048" s="72"/>
      <c r="E1048" s="75"/>
      <c r="F1048" s="76"/>
      <c r="G1048" s="76"/>
      <c r="H1048" s="77"/>
      <c r="I1048" s="77"/>
      <c r="J1048" s="78"/>
      <c r="L1048" s="72"/>
    </row>
    <row r="1049" spans="1:12">
      <c r="A1049" s="72"/>
      <c r="B1049" s="73"/>
      <c r="C1049" s="74"/>
      <c r="D1049" s="72"/>
      <c r="E1049" s="75"/>
      <c r="F1049" s="76"/>
      <c r="G1049" s="76"/>
      <c r="H1049" s="77"/>
      <c r="I1049" s="77"/>
      <c r="J1049" s="78"/>
      <c r="L1049" s="72"/>
    </row>
    <row r="1050" spans="1:12">
      <c r="A1050" s="72"/>
      <c r="B1050" s="73"/>
      <c r="C1050" s="74"/>
      <c r="D1050" s="72"/>
      <c r="E1050" s="75"/>
      <c r="F1050" s="76"/>
      <c r="G1050" s="76"/>
      <c r="H1050" s="77"/>
      <c r="I1050" s="77"/>
      <c r="J1050" s="78"/>
      <c r="L1050" s="72"/>
    </row>
    <row r="1051" spans="1:12">
      <c r="A1051" s="72"/>
      <c r="B1051" s="73"/>
      <c r="C1051" s="74"/>
      <c r="D1051" s="72"/>
      <c r="E1051" s="75"/>
      <c r="F1051" s="76"/>
      <c r="G1051" s="76"/>
      <c r="H1051" s="77"/>
      <c r="I1051" s="77"/>
      <c r="J1051" s="78"/>
      <c r="L1051" s="72"/>
    </row>
    <row r="1052" spans="1:12">
      <c r="A1052" s="72"/>
      <c r="B1052" s="73"/>
      <c r="C1052" s="74"/>
      <c r="D1052" s="72"/>
      <c r="E1052" s="75"/>
      <c r="F1052" s="76"/>
      <c r="G1052" s="76"/>
      <c r="H1052" s="77"/>
      <c r="I1052" s="77"/>
      <c r="J1052" s="78"/>
      <c r="L1052" s="72"/>
    </row>
    <row r="1053" spans="1:12">
      <c r="A1053" s="72"/>
      <c r="B1053" s="73"/>
      <c r="C1053" s="74"/>
      <c r="D1053" s="72"/>
      <c r="E1053" s="75"/>
      <c r="F1053" s="76"/>
      <c r="G1053" s="76"/>
      <c r="H1053" s="77"/>
      <c r="I1053" s="77"/>
      <c r="J1053" s="78"/>
      <c r="L1053" s="72"/>
    </row>
    <row r="1054" spans="1:12">
      <c r="A1054" s="72"/>
      <c r="B1054" s="73"/>
      <c r="C1054" s="74"/>
      <c r="D1054" s="72"/>
      <c r="E1054" s="75"/>
      <c r="F1054" s="76"/>
      <c r="G1054" s="76"/>
      <c r="H1054" s="77"/>
      <c r="I1054" s="77"/>
      <c r="J1054" s="78"/>
      <c r="L1054" s="72"/>
    </row>
    <row r="1055" spans="1:12">
      <c r="A1055" s="72"/>
      <c r="B1055" s="73"/>
      <c r="C1055" s="74"/>
      <c r="D1055" s="72"/>
      <c r="E1055" s="75"/>
      <c r="F1055" s="76"/>
      <c r="G1055" s="76"/>
      <c r="H1055" s="77"/>
      <c r="I1055" s="77"/>
      <c r="J1055" s="78"/>
      <c r="L1055" s="72"/>
    </row>
    <row r="1056" spans="1:12">
      <c r="A1056" s="72"/>
      <c r="B1056" s="73"/>
      <c r="C1056" s="74"/>
      <c r="D1056" s="72"/>
      <c r="E1056" s="75"/>
      <c r="F1056" s="76"/>
      <c r="G1056" s="76"/>
      <c r="H1056" s="77"/>
      <c r="I1056" s="77"/>
      <c r="J1056" s="78"/>
      <c r="L1056" s="72"/>
    </row>
    <row r="1057" spans="1:12">
      <c r="A1057" s="72"/>
      <c r="B1057" s="73"/>
      <c r="C1057" s="74"/>
      <c r="D1057" s="72"/>
      <c r="E1057" s="75"/>
      <c r="F1057" s="76"/>
      <c r="G1057" s="76"/>
      <c r="H1057" s="77"/>
      <c r="I1057" s="77"/>
      <c r="J1057" s="78"/>
      <c r="L1057" s="72"/>
    </row>
    <row r="1058" spans="1:12">
      <c r="A1058" s="72"/>
      <c r="B1058" s="73"/>
      <c r="C1058" s="74"/>
      <c r="D1058" s="72"/>
      <c r="E1058" s="75"/>
      <c r="F1058" s="76"/>
      <c r="G1058" s="76"/>
      <c r="H1058" s="77"/>
      <c r="I1058" s="77"/>
      <c r="J1058" s="78"/>
      <c r="L1058" s="72"/>
    </row>
    <row r="1059" spans="1:12">
      <c r="A1059" s="72"/>
      <c r="B1059" s="73"/>
      <c r="C1059" s="74"/>
      <c r="D1059" s="72"/>
      <c r="E1059" s="75"/>
      <c r="F1059" s="76"/>
      <c r="G1059" s="76"/>
      <c r="H1059" s="77"/>
      <c r="I1059" s="77"/>
      <c r="J1059" s="78"/>
      <c r="L1059" s="72"/>
    </row>
    <row r="1060" spans="1:12">
      <c r="A1060" s="72"/>
      <c r="B1060" s="73"/>
      <c r="C1060" s="74"/>
      <c r="D1060" s="72"/>
      <c r="E1060" s="75"/>
      <c r="F1060" s="76"/>
      <c r="G1060" s="76"/>
      <c r="H1060" s="77"/>
      <c r="I1060" s="77"/>
      <c r="J1060" s="78"/>
      <c r="L1060" s="72"/>
    </row>
    <row r="1061" spans="1:12">
      <c r="A1061" s="72"/>
      <c r="B1061" s="73"/>
      <c r="C1061" s="74"/>
      <c r="D1061" s="72"/>
      <c r="E1061" s="75"/>
      <c r="F1061" s="76"/>
      <c r="G1061" s="76"/>
      <c r="H1061" s="77"/>
      <c r="I1061" s="77"/>
      <c r="J1061" s="78"/>
      <c r="L1061" s="72"/>
    </row>
    <row r="1062" spans="1:12">
      <c r="A1062" s="72"/>
      <c r="B1062" s="73"/>
      <c r="C1062" s="74"/>
      <c r="D1062" s="72"/>
      <c r="E1062" s="75"/>
      <c r="F1062" s="76"/>
      <c r="G1062" s="76"/>
      <c r="H1062" s="77"/>
      <c r="I1062" s="77"/>
      <c r="J1062" s="78"/>
      <c r="L1062" s="72"/>
    </row>
    <row r="1063" spans="1:12">
      <c r="A1063" s="72"/>
      <c r="B1063" s="73"/>
      <c r="C1063" s="74"/>
      <c r="D1063" s="72"/>
      <c r="E1063" s="75"/>
      <c r="F1063" s="76"/>
      <c r="G1063" s="76"/>
      <c r="H1063" s="77"/>
      <c r="I1063" s="77"/>
      <c r="J1063" s="78"/>
      <c r="L1063" s="72"/>
    </row>
    <row r="1064" spans="1:12">
      <c r="A1064" s="72"/>
      <c r="B1064" s="73"/>
      <c r="C1064" s="74"/>
      <c r="D1064" s="72"/>
      <c r="E1064" s="75"/>
      <c r="F1064" s="76"/>
      <c r="G1064" s="76"/>
      <c r="H1064" s="77"/>
      <c r="I1064" s="77"/>
      <c r="J1064" s="78"/>
      <c r="L1064" s="72"/>
    </row>
    <row r="1065" spans="1:12">
      <c r="A1065" s="72"/>
      <c r="B1065" s="73"/>
      <c r="C1065" s="74"/>
      <c r="D1065" s="72"/>
      <c r="E1065" s="75"/>
      <c r="F1065" s="76"/>
      <c r="G1065" s="76"/>
      <c r="H1065" s="77"/>
      <c r="I1065" s="77"/>
      <c r="J1065" s="78"/>
      <c r="L1065" s="72"/>
    </row>
    <row r="1066" spans="1:12">
      <c r="A1066" s="72"/>
      <c r="B1066" s="73"/>
      <c r="C1066" s="74"/>
      <c r="D1066" s="72"/>
      <c r="E1066" s="75"/>
      <c r="F1066" s="76"/>
      <c r="G1066" s="76"/>
      <c r="H1066" s="77"/>
      <c r="I1066" s="77"/>
      <c r="J1066" s="78"/>
      <c r="L1066" s="72"/>
    </row>
    <row r="1067" spans="1:12">
      <c r="A1067" s="72"/>
      <c r="B1067" s="73"/>
      <c r="C1067" s="74"/>
      <c r="D1067" s="72"/>
      <c r="E1067" s="75"/>
      <c r="F1067" s="76"/>
      <c r="G1067" s="76"/>
      <c r="H1067" s="77"/>
      <c r="I1067" s="77"/>
      <c r="J1067" s="78"/>
      <c r="L1067" s="72"/>
    </row>
    <row r="1068" spans="1:12">
      <c r="A1068" s="72"/>
      <c r="B1068" s="73"/>
      <c r="C1068" s="74"/>
      <c r="D1068" s="72"/>
      <c r="E1068" s="75"/>
      <c r="F1068" s="76"/>
      <c r="G1068" s="76"/>
      <c r="H1068" s="77"/>
      <c r="I1068" s="77"/>
      <c r="J1068" s="78"/>
      <c r="L1068" s="72"/>
    </row>
    <row r="1069" spans="1:12">
      <c r="A1069" s="72"/>
      <c r="B1069" s="73"/>
      <c r="C1069" s="74"/>
      <c r="D1069" s="72"/>
      <c r="E1069" s="75"/>
      <c r="F1069" s="76"/>
      <c r="G1069" s="76"/>
      <c r="H1069" s="77"/>
      <c r="I1069" s="77"/>
      <c r="J1069" s="78"/>
      <c r="L1069" s="72"/>
    </row>
    <row r="1070" spans="1:12">
      <c r="A1070" s="72"/>
      <c r="B1070" s="73"/>
      <c r="C1070" s="74"/>
      <c r="D1070" s="72"/>
      <c r="E1070" s="75"/>
      <c r="F1070" s="76"/>
      <c r="G1070" s="76"/>
      <c r="H1070" s="77"/>
      <c r="I1070" s="77"/>
      <c r="J1070" s="78"/>
      <c r="L1070" s="72"/>
    </row>
    <row r="1071" spans="1:12">
      <c r="A1071" s="72"/>
      <c r="B1071" s="73"/>
      <c r="C1071" s="74"/>
      <c r="D1071" s="72"/>
      <c r="E1071" s="75"/>
      <c r="F1071" s="76"/>
      <c r="G1071" s="76"/>
      <c r="H1071" s="77"/>
      <c r="I1071" s="77"/>
      <c r="J1071" s="78"/>
      <c r="L1071" s="72"/>
    </row>
    <row r="1072" spans="1:12">
      <c r="A1072" s="72"/>
      <c r="B1072" s="73"/>
      <c r="C1072" s="74"/>
      <c r="D1072" s="72"/>
      <c r="E1072" s="75"/>
      <c r="F1072" s="76"/>
      <c r="G1072" s="76"/>
      <c r="H1072" s="77"/>
      <c r="I1072" s="77"/>
      <c r="J1072" s="78"/>
      <c r="L1072" s="72"/>
    </row>
    <row r="1073" spans="1:12">
      <c r="A1073" s="72"/>
      <c r="B1073" s="73"/>
      <c r="C1073" s="74"/>
      <c r="D1073" s="72"/>
      <c r="E1073" s="75"/>
      <c r="F1073" s="76"/>
      <c r="G1073" s="76"/>
      <c r="H1073" s="77"/>
      <c r="I1073" s="77"/>
      <c r="J1073" s="78"/>
      <c r="L1073" s="72"/>
    </row>
    <row r="1074" spans="1:12">
      <c r="A1074" s="72"/>
      <c r="B1074" s="73"/>
      <c r="C1074" s="74"/>
      <c r="D1074" s="72"/>
      <c r="E1074" s="75"/>
      <c r="F1074" s="76"/>
      <c r="G1074" s="76"/>
      <c r="H1074" s="77"/>
      <c r="I1074" s="77"/>
      <c r="J1074" s="78"/>
      <c r="L1074" s="72"/>
    </row>
    <row r="1075" spans="1:12">
      <c r="A1075" s="72"/>
      <c r="B1075" s="73"/>
      <c r="C1075" s="74"/>
      <c r="D1075" s="72"/>
      <c r="E1075" s="75"/>
      <c r="F1075" s="76"/>
      <c r="G1075" s="76"/>
      <c r="H1075" s="77"/>
      <c r="I1075" s="77"/>
      <c r="J1075" s="78"/>
      <c r="L1075" s="72"/>
    </row>
    <row r="1076" spans="1:12">
      <c r="A1076" s="72"/>
      <c r="B1076" s="73"/>
      <c r="C1076" s="74"/>
      <c r="D1076" s="72"/>
      <c r="E1076" s="75"/>
      <c r="F1076" s="76"/>
      <c r="G1076" s="76"/>
      <c r="H1076" s="77"/>
      <c r="I1076" s="77"/>
      <c r="J1076" s="78"/>
      <c r="L1076" s="72"/>
    </row>
    <row r="1077" spans="1:12">
      <c r="A1077" s="72"/>
      <c r="B1077" s="73"/>
      <c r="C1077" s="74"/>
      <c r="D1077" s="72"/>
      <c r="E1077" s="75"/>
      <c r="F1077" s="76"/>
      <c r="G1077" s="76"/>
      <c r="H1077" s="77"/>
      <c r="I1077" s="77"/>
      <c r="J1077" s="78"/>
      <c r="L1077" s="72"/>
    </row>
    <row r="1078" spans="1:12">
      <c r="A1078" s="72"/>
      <c r="B1078" s="73"/>
      <c r="C1078" s="74"/>
      <c r="D1078" s="72"/>
      <c r="E1078" s="75"/>
      <c r="F1078" s="76"/>
      <c r="G1078" s="76"/>
      <c r="H1078" s="77"/>
      <c r="I1078" s="77"/>
      <c r="J1078" s="78"/>
      <c r="L1078" s="72"/>
    </row>
    <row r="1079" spans="1:12">
      <c r="A1079" s="72"/>
      <c r="B1079" s="73"/>
      <c r="C1079" s="74"/>
      <c r="D1079" s="72"/>
      <c r="E1079" s="75"/>
      <c r="F1079" s="76"/>
      <c r="G1079" s="76"/>
      <c r="H1079" s="77"/>
      <c r="I1079" s="77"/>
      <c r="J1079" s="78"/>
      <c r="L1079" s="72"/>
    </row>
    <row r="1080" spans="1:12">
      <c r="A1080" s="72"/>
      <c r="B1080" s="73"/>
      <c r="C1080" s="74"/>
      <c r="D1080" s="72"/>
      <c r="E1080" s="75"/>
      <c r="F1080" s="76"/>
      <c r="G1080" s="76"/>
      <c r="H1080" s="77"/>
      <c r="I1080" s="77"/>
      <c r="J1080" s="78"/>
      <c r="L1080" s="72"/>
    </row>
    <row r="1081" spans="1:12">
      <c r="A1081" s="72"/>
      <c r="B1081" s="73"/>
      <c r="C1081" s="74"/>
      <c r="D1081" s="72"/>
      <c r="E1081" s="75"/>
      <c r="F1081" s="76"/>
      <c r="G1081" s="76"/>
      <c r="H1081" s="77"/>
      <c r="I1081" s="77"/>
      <c r="J1081" s="78"/>
      <c r="L1081" s="72"/>
    </row>
    <row r="1082" spans="1:12">
      <c r="A1082" s="72"/>
      <c r="B1082" s="73"/>
      <c r="C1082" s="74"/>
      <c r="D1082" s="72"/>
      <c r="E1082" s="75"/>
      <c r="F1082" s="76"/>
      <c r="G1082" s="76"/>
      <c r="H1082" s="77"/>
      <c r="I1082" s="77"/>
      <c r="J1082" s="78"/>
      <c r="L1082" s="72"/>
    </row>
    <row r="1083" spans="1:12">
      <c r="A1083" s="72"/>
      <c r="B1083" s="73"/>
      <c r="C1083" s="74"/>
      <c r="D1083" s="72"/>
      <c r="E1083" s="75"/>
      <c r="F1083" s="76"/>
      <c r="G1083" s="76"/>
      <c r="H1083" s="77"/>
      <c r="I1083" s="77"/>
      <c r="J1083" s="78"/>
      <c r="L1083" s="72"/>
    </row>
    <row r="1084" spans="1:12">
      <c r="A1084" s="72"/>
      <c r="B1084" s="73"/>
      <c r="C1084" s="74"/>
      <c r="D1084" s="72"/>
      <c r="E1084" s="75"/>
      <c r="F1084" s="76"/>
      <c r="G1084" s="76"/>
      <c r="H1084" s="77"/>
      <c r="I1084" s="77"/>
      <c r="J1084" s="78"/>
      <c r="L1084" s="72"/>
    </row>
    <row r="1085" spans="1:12">
      <c r="A1085" s="72"/>
      <c r="B1085" s="73"/>
      <c r="C1085" s="74"/>
      <c r="D1085" s="72"/>
      <c r="E1085" s="75"/>
      <c r="F1085" s="76"/>
      <c r="G1085" s="76"/>
      <c r="H1085" s="77"/>
      <c r="I1085" s="77"/>
      <c r="J1085" s="78"/>
      <c r="L1085" s="72"/>
    </row>
    <row r="1086" spans="1:12">
      <c r="A1086" s="72"/>
      <c r="B1086" s="73"/>
      <c r="C1086" s="74"/>
      <c r="D1086" s="72"/>
      <c r="E1086" s="75"/>
      <c r="F1086" s="76"/>
      <c r="G1086" s="76"/>
      <c r="H1086" s="77"/>
      <c r="I1086" s="77"/>
      <c r="J1086" s="78"/>
      <c r="L1086" s="72"/>
    </row>
    <row r="1087" spans="1:12">
      <c r="A1087" s="72"/>
      <c r="B1087" s="73"/>
      <c r="C1087" s="74"/>
      <c r="D1087" s="72"/>
      <c r="E1087" s="75"/>
      <c r="F1087" s="76"/>
      <c r="G1087" s="76"/>
      <c r="H1087" s="77"/>
      <c r="I1087" s="77"/>
      <c r="J1087" s="78"/>
      <c r="L1087" s="72"/>
    </row>
    <row r="1088" spans="1:12">
      <c r="A1088" s="72"/>
      <c r="B1088" s="73"/>
      <c r="C1088" s="74"/>
      <c r="D1088" s="72"/>
      <c r="E1088" s="75"/>
      <c r="F1088" s="76"/>
      <c r="G1088" s="76"/>
      <c r="H1088" s="77"/>
      <c r="I1088" s="77"/>
      <c r="J1088" s="78"/>
      <c r="L1088" s="72"/>
    </row>
    <row r="1089" spans="1:12">
      <c r="A1089" s="72"/>
      <c r="B1089" s="73"/>
      <c r="C1089" s="74"/>
      <c r="D1089" s="72"/>
      <c r="E1089" s="75"/>
      <c r="F1089" s="76"/>
      <c r="G1089" s="76"/>
      <c r="H1089" s="77"/>
      <c r="I1089" s="77"/>
      <c r="J1089" s="78"/>
      <c r="L1089" s="72"/>
    </row>
    <row r="1090" spans="1:12">
      <c r="A1090" s="72"/>
      <c r="B1090" s="73"/>
      <c r="C1090" s="74"/>
      <c r="D1090" s="72"/>
      <c r="E1090" s="75"/>
      <c r="F1090" s="76"/>
      <c r="G1090" s="76"/>
      <c r="H1090" s="77"/>
      <c r="I1090" s="77"/>
      <c r="J1090" s="78"/>
      <c r="L1090" s="72"/>
    </row>
    <row r="1091" spans="1:12">
      <c r="A1091" s="72"/>
      <c r="B1091" s="73"/>
      <c r="C1091" s="74"/>
      <c r="D1091" s="72"/>
      <c r="E1091" s="75"/>
      <c r="F1091" s="76"/>
      <c r="G1091" s="76"/>
      <c r="H1091" s="77"/>
      <c r="I1091" s="77"/>
      <c r="J1091" s="78"/>
      <c r="L1091" s="72"/>
    </row>
    <row r="1092" spans="1:12">
      <c r="A1092" s="72"/>
      <c r="B1092" s="73"/>
      <c r="C1092" s="74"/>
      <c r="D1092" s="72"/>
      <c r="E1092" s="75"/>
      <c r="F1092" s="76"/>
      <c r="G1092" s="76"/>
      <c r="H1092" s="77"/>
      <c r="I1092" s="77"/>
      <c r="J1092" s="78"/>
      <c r="L1092" s="72"/>
    </row>
    <row r="1093" spans="1:12">
      <c r="A1093" s="72"/>
      <c r="B1093" s="73"/>
      <c r="C1093" s="74"/>
      <c r="D1093" s="72"/>
      <c r="E1093" s="75"/>
      <c r="F1093" s="76"/>
      <c r="G1093" s="76"/>
      <c r="H1093" s="77"/>
      <c r="I1093" s="77"/>
      <c r="J1093" s="78"/>
      <c r="L1093" s="72"/>
    </row>
    <row r="1094" spans="1:12">
      <c r="A1094" s="72"/>
      <c r="B1094" s="73"/>
      <c r="C1094" s="74"/>
      <c r="D1094" s="72"/>
      <c r="E1094" s="75"/>
      <c r="F1094" s="76"/>
      <c r="G1094" s="76"/>
      <c r="H1094" s="77"/>
      <c r="I1094" s="77"/>
      <c r="J1094" s="78"/>
      <c r="L1094" s="72"/>
    </row>
    <row r="1095" spans="1:12">
      <c r="A1095" s="72"/>
      <c r="B1095" s="73"/>
      <c r="C1095" s="74"/>
      <c r="D1095" s="72"/>
      <c r="E1095" s="75"/>
      <c r="F1095" s="76"/>
      <c r="G1095" s="76"/>
      <c r="H1095" s="77"/>
      <c r="I1095" s="77"/>
      <c r="J1095" s="78"/>
      <c r="L1095" s="72"/>
    </row>
    <row r="1096" spans="1:12">
      <c r="A1096" s="72"/>
      <c r="B1096" s="73"/>
      <c r="C1096" s="74"/>
      <c r="D1096" s="72"/>
      <c r="E1096" s="75"/>
      <c r="F1096" s="76"/>
      <c r="G1096" s="76"/>
      <c r="H1096" s="77"/>
      <c r="I1096" s="77"/>
      <c r="J1096" s="78"/>
      <c r="L1096" s="72"/>
    </row>
    <row r="1097" spans="1:12">
      <c r="A1097" s="72"/>
      <c r="B1097" s="73"/>
      <c r="C1097" s="74"/>
      <c r="D1097" s="72"/>
      <c r="E1097" s="75"/>
      <c r="F1097" s="76"/>
      <c r="G1097" s="76"/>
      <c r="H1097" s="77"/>
      <c r="I1097" s="77"/>
      <c r="J1097" s="78"/>
      <c r="L1097" s="72"/>
    </row>
    <row r="1098" spans="1:12">
      <c r="A1098" s="72"/>
      <c r="B1098" s="73"/>
      <c r="C1098" s="74"/>
      <c r="D1098" s="72"/>
      <c r="E1098" s="75"/>
      <c r="F1098" s="76"/>
      <c r="G1098" s="76"/>
      <c r="H1098" s="77"/>
      <c r="I1098" s="77"/>
      <c r="J1098" s="78"/>
      <c r="L1098" s="72"/>
    </row>
    <row r="1099" spans="1:12">
      <c r="A1099" s="72"/>
      <c r="B1099" s="73"/>
      <c r="C1099" s="74"/>
      <c r="D1099" s="72"/>
      <c r="E1099" s="75"/>
      <c r="F1099" s="76"/>
      <c r="G1099" s="76"/>
      <c r="H1099" s="77"/>
      <c r="I1099" s="77"/>
      <c r="J1099" s="78"/>
      <c r="L1099" s="72"/>
    </row>
    <row r="1100" spans="1:12">
      <c r="A1100" s="72"/>
      <c r="B1100" s="73"/>
      <c r="C1100" s="74"/>
      <c r="D1100" s="72"/>
      <c r="E1100" s="75"/>
      <c r="F1100" s="76"/>
      <c r="G1100" s="76"/>
      <c r="H1100" s="77"/>
      <c r="I1100" s="77"/>
      <c r="J1100" s="78"/>
      <c r="L1100" s="72"/>
    </row>
    <row r="1101" spans="1:12">
      <c r="A1101" s="72"/>
      <c r="B1101" s="73"/>
      <c r="C1101" s="74"/>
      <c r="D1101" s="72"/>
      <c r="E1101" s="75"/>
      <c r="F1101" s="76"/>
      <c r="G1101" s="76"/>
      <c r="H1101" s="77"/>
      <c r="I1101" s="77"/>
      <c r="J1101" s="78"/>
      <c r="L1101" s="72"/>
    </row>
    <row r="1102" spans="1:12">
      <c r="A1102" s="72"/>
      <c r="B1102" s="73"/>
      <c r="C1102" s="74"/>
      <c r="D1102" s="72"/>
      <c r="E1102" s="75"/>
      <c r="F1102" s="76"/>
      <c r="G1102" s="76"/>
      <c r="H1102" s="77"/>
      <c r="I1102" s="77"/>
      <c r="J1102" s="78"/>
      <c r="L1102" s="72"/>
    </row>
    <row r="1103" spans="1:12">
      <c r="A1103" s="72"/>
      <c r="B1103" s="73"/>
      <c r="C1103" s="74"/>
      <c r="D1103" s="72"/>
      <c r="E1103" s="75"/>
      <c r="F1103" s="76"/>
      <c r="G1103" s="76"/>
      <c r="H1103" s="77"/>
      <c r="I1103" s="77"/>
      <c r="J1103" s="78"/>
      <c r="L1103" s="72"/>
    </row>
    <row r="1104" spans="1:12">
      <c r="A1104" s="72"/>
      <c r="B1104" s="73"/>
      <c r="C1104" s="74"/>
      <c r="D1104" s="72"/>
      <c r="E1104" s="75"/>
      <c r="F1104" s="76"/>
      <c r="G1104" s="76"/>
      <c r="H1104" s="77"/>
      <c r="I1104" s="77"/>
      <c r="J1104" s="78"/>
      <c r="L1104" s="72"/>
    </row>
    <row r="1105" spans="1:12">
      <c r="A1105" s="72"/>
      <c r="B1105" s="73"/>
      <c r="C1105" s="74"/>
      <c r="D1105" s="72"/>
      <c r="E1105" s="75"/>
      <c r="F1105" s="76"/>
      <c r="G1105" s="76"/>
      <c r="H1105" s="77"/>
      <c r="I1105" s="77"/>
      <c r="J1105" s="78"/>
      <c r="L1105" s="72"/>
    </row>
    <row r="1106" spans="1:12">
      <c r="A1106" s="72"/>
      <c r="B1106" s="73"/>
      <c r="C1106" s="74"/>
      <c r="D1106" s="72"/>
      <c r="E1106" s="75"/>
      <c r="F1106" s="76"/>
      <c r="G1106" s="76"/>
      <c r="H1106" s="77"/>
      <c r="I1106" s="77"/>
      <c r="J1106" s="78"/>
      <c r="L1106" s="72"/>
    </row>
    <row r="1107" spans="1:12">
      <c r="A1107" s="72"/>
      <c r="B1107" s="73"/>
      <c r="C1107" s="74"/>
      <c r="D1107" s="72"/>
      <c r="E1107" s="75"/>
      <c r="F1107" s="76"/>
      <c r="G1107" s="76"/>
      <c r="H1107" s="77"/>
      <c r="I1107" s="77"/>
      <c r="J1107" s="78"/>
      <c r="L1107" s="72"/>
    </row>
    <row r="1108" spans="1:12">
      <c r="A1108" s="72"/>
      <c r="B1108" s="73"/>
      <c r="C1108" s="74"/>
      <c r="D1108" s="72"/>
      <c r="E1108" s="75"/>
      <c r="F1108" s="76"/>
      <c r="G1108" s="76"/>
      <c r="H1108" s="77"/>
      <c r="I1108" s="77"/>
      <c r="J1108" s="78"/>
      <c r="L1108" s="72"/>
    </row>
    <row r="1109" spans="1:12">
      <c r="A1109" s="72"/>
      <c r="B1109" s="73"/>
      <c r="C1109" s="74"/>
      <c r="D1109" s="72"/>
      <c r="E1109" s="75"/>
      <c r="F1109" s="76"/>
      <c r="G1109" s="76"/>
      <c r="H1109" s="77"/>
      <c r="I1109" s="77"/>
      <c r="J1109" s="78"/>
      <c r="L1109" s="72"/>
    </row>
    <row r="1110" spans="1:12">
      <c r="A1110" s="72"/>
      <c r="B1110" s="73"/>
      <c r="C1110" s="74"/>
      <c r="D1110" s="72"/>
      <c r="E1110" s="75"/>
      <c r="F1110" s="76"/>
      <c r="G1110" s="76"/>
      <c r="H1110" s="77"/>
      <c r="I1110" s="77"/>
      <c r="J1110" s="78"/>
      <c r="L1110" s="72"/>
    </row>
    <row r="1111" spans="1:12">
      <c r="A1111" s="72"/>
      <c r="B1111" s="73"/>
      <c r="C1111" s="74"/>
      <c r="D1111" s="72"/>
      <c r="E1111" s="75"/>
      <c r="F1111" s="76"/>
      <c r="G1111" s="76"/>
      <c r="H1111" s="77"/>
      <c r="I1111" s="77"/>
      <c r="J1111" s="78"/>
      <c r="L1111" s="72"/>
    </row>
    <row r="1112" spans="1:12">
      <c r="A1112" s="72"/>
      <c r="B1112" s="73"/>
      <c r="C1112" s="74"/>
      <c r="D1112" s="72"/>
      <c r="E1112" s="75"/>
      <c r="F1112" s="76"/>
      <c r="G1112" s="76"/>
      <c r="H1112" s="77"/>
      <c r="I1112" s="77"/>
      <c r="J1112" s="78"/>
      <c r="L1112" s="72"/>
    </row>
    <row r="1113" spans="1:12">
      <c r="A1113" s="72"/>
      <c r="B1113" s="73"/>
      <c r="C1113" s="74"/>
      <c r="D1113" s="72"/>
      <c r="E1113" s="75"/>
      <c r="F1113" s="76"/>
      <c r="G1113" s="76"/>
      <c r="H1113" s="77"/>
      <c r="I1113" s="77"/>
      <c r="J1113" s="78"/>
      <c r="L1113" s="72"/>
    </row>
    <row r="1114" spans="1:12">
      <c r="A1114" s="72"/>
      <c r="B1114" s="73"/>
      <c r="C1114" s="74"/>
      <c r="D1114" s="72"/>
      <c r="E1114" s="75"/>
      <c r="F1114" s="76"/>
      <c r="G1114" s="76"/>
      <c r="H1114" s="77"/>
      <c r="I1114" s="77"/>
      <c r="J1114" s="78"/>
      <c r="L1114" s="72"/>
    </row>
    <row r="1115" spans="1:12">
      <c r="A1115" s="72"/>
      <c r="B1115" s="73"/>
      <c r="C1115" s="74"/>
      <c r="D1115" s="72"/>
      <c r="E1115" s="75"/>
      <c r="F1115" s="76"/>
      <c r="G1115" s="76"/>
      <c r="H1115" s="77"/>
      <c r="I1115" s="77"/>
      <c r="J1115" s="78"/>
      <c r="L1115" s="72"/>
    </row>
    <row r="1116" spans="1:12">
      <c r="A1116" s="72"/>
      <c r="B1116" s="73"/>
      <c r="C1116" s="74"/>
      <c r="D1116" s="72"/>
      <c r="E1116" s="75"/>
      <c r="F1116" s="76"/>
      <c r="G1116" s="76"/>
      <c r="H1116" s="77"/>
      <c r="I1116" s="77"/>
      <c r="J1116" s="78"/>
      <c r="L1116" s="72"/>
    </row>
    <row r="1117" spans="1:12">
      <c r="A1117" s="72"/>
      <c r="B1117" s="73"/>
      <c r="C1117" s="74"/>
      <c r="D1117" s="72"/>
      <c r="E1117" s="75"/>
      <c r="F1117" s="76"/>
      <c r="G1117" s="76"/>
      <c r="H1117" s="77"/>
      <c r="I1117" s="77"/>
      <c r="J1117" s="78"/>
      <c r="L1117" s="72"/>
    </row>
    <row r="1118" spans="1:12">
      <c r="A1118" s="72"/>
      <c r="B1118" s="73"/>
      <c r="C1118" s="74"/>
      <c r="D1118" s="72"/>
      <c r="E1118" s="75"/>
      <c r="F1118" s="76"/>
      <c r="G1118" s="76"/>
      <c r="H1118" s="77"/>
      <c r="I1118" s="77"/>
      <c r="J1118" s="78"/>
      <c r="L1118" s="72"/>
    </row>
    <row r="1119" spans="1:12">
      <c r="A1119" s="72"/>
      <c r="B1119" s="73"/>
      <c r="C1119" s="74"/>
      <c r="D1119" s="72"/>
      <c r="E1119" s="75"/>
      <c r="F1119" s="76"/>
      <c r="G1119" s="76"/>
      <c r="H1119" s="77"/>
      <c r="I1119" s="77"/>
      <c r="J1119" s="78"/>
      <c r="L1119" s="72"/>
    </row>
    <row r="1120" spans="1:12">
      <c r="A1120" s="72"/>
      <c r="B1120" s="73"/>
      <c r="C1120" s="74"/>
      <c r="D1120" s="72"/>
      <c r="E1120" s="75"/>
      <c r="F1120" s="76"/>
      <c r="G1120" s="76"/>
      <c r="H1120" s="77"/>
      <c r="I1120" s="77"/>
      <c r="J1120" s="78"/>
      <c r="L1120" s="72"/>
    </row>
    <row r="1121" spans="1:12">
      <c r="A1121" s="72"/>
      <c r="B1121" s="73"/>
      <c r="C1121" s="74"/>
      <c r="D1121" s="72"/>
      <c r="E1121" s="75"/>
      <c r="F1121" s="76"/>
      <c r="G1121" s="76"/>
      <c r="H1121" s="77"/>
      <c r="I1121" s="77"/>
      <c r="J1121" s="78"/>
      <c r="L1121" s="72"/>
    </row>
    <row r="1122" spans="1:12">
      <c r="A1122" s="72"/>
      <c r="B1122" s="73"/>
      <c r="C1122" s="74"/>
      <c r="D1122" s="72"/>
      <c r="E1122" s="75"/>
      <c r="F1122" s="76"/>
      <c r="G1122" s="76"/>
      <c r="H1122" s="77"/>
      <c r="I1122" s="77"/>
      <c r="J1122" s="78"/>
      <c r="L1122" s="72"/>
    </row>
    <row r="1123" spans="1:12">
      <c r="A1123" s="72"/>
      <c r="B1123" s="73"/>
      <c r="C1123" s="74"/>
      <c r="D1123" s="72"/>
      <c r="E1123" s="75"/>
      <c r="F1123" s="76"/>
      <c r="G1123" s="76"/>
      <c r="H1123" s="77"/>
      <c r="I1123" s="77"/>
      <c r="J1123" s="78"/>
      <c r="L1123" s="72"/>
    </row>
    <row r="1124" spans="1:12">
      <c r="A1124" s="72"/>
      <c r="B1124" s="73"/>
      <c r="C1124" s="74"/>
      <c r="D1124" s="72"/>
      <c r="E1124" s="75"/>
      <c r="F1124" s="76"/>
      <c r="G1124" s="76"/>
      <c r="H1124" s="77"/>
      <c r="I1124" s="77"/>
      <c r="J1124" s="78"/>
      <c r="L1124" s="72"/>
    </row>
    <row r="1125" spans="1:12">
      <c r="A1125" s="72"/>
      <c r="B1125" s="73"/>
      <c r="C1125" s="74"/>
      <c r="D1125" s="72"/>
      <c r="E1125" s="75"/>
      <c r="F1125" s="76"/>
      <c r="G1125" s="76"/>
      <c r="H1125" s="77"/>
      <c r="I1125" s="77"/>
      <c r="J1125" s="78"/>
      <c r="L1125" s="72"/>
    </row>
    <row r="1126" spans="1:12">
      <c r="A1126" s="72"/>
      <c r="B1126" s="73"/>
      <c r="C1126" s="74"/>
      <c r="D1126" s="72"/>
      <c r="E1126" s="75"/>
      <c r="F1126" s="76"/>
      <c r="G1126" s="76"/>
      <c r="H1126" s="77"/>
      <c r="I1126" s="77"/>
      <c r="J1126" s="78"/>
      <c r="L1126" s="72"/>
    </row>
    <row r="1127" spans="1:12">
      <c r="A1127" s="72"/>
      <c r="B1127" s="73"/>
      <c r="C1127" s="74"/>
      <c r="D1127" s="72"/>
      <c r="E1127" s="75"/>
      <c r="F1127" s="76"/>
      <c r="G1127" s="76"/>
      <c r="H1127" s="77"/>
      <c r="I1127" s="77"/>
      <c r="J1127" s="78"/>
      <c r="L1127" s="72"/>
    </row>
    <row r="1128" spans="1:12">
      <c r="A1128" s="72"/>
      <c r="B1128" s="73"/>
      <c r="C1128" s="74"/>
      <c r="D1128" s="72"/>
      <c r="E1128" s="75"/>
      <c r="F1128" s="76"/>
      <c r="G1128" s="76"/>
      <c r="H1128" s="77"/>
      <c r="I1128" s="77"/>
      <c r="J1128" s="78"/>
      <c r="L1128" s="72"/>
    </row>
    <row r="1129" spans="1:12">
      <c r="A1129" s="72"/>
      <c r="B1129" s="73"/>
      <c r="C1129" s="74"/>
      <c r="D1129" s="72"/>
      <c r="E1129" s="75"/>
      <c r="F1129" s="76"/>
      <c r="G1129" s="76"/>
      <c r="H1129" s="77"/>
      <c r="I1129" s="77"/>
      <c r="J1129" s="78"/>
      <c r="L1129" s="72"/>
    </row>
    <row r="1130" spans="1:12">
      <c r="A1130" s="72"/>
      <c r="B1130" s="73"/>
      <c r="C1130" s="74"/>
      <c r="D1130" s="72"/>
      <c r="E1130" s="75"/>
      <c r="F1130" s="76"/>
      <c r="G1130" s="76"/>
      <c r="H1130" s="77"/>
      <c r="I1130" s="77"/>
      <c r="J1130" s="78"/>
      <c r="L1130" s="72"/>
    </row>
    <row r="1131" spans="1:12">
      <c r="A1131" s="72"/>
      <c r="B1131" s="73"/>
      <c r="C1131" s="74"/>
      <c r="D1131" s="72"/>
      <c r="E1131" s="75"/>
      <c r="F1131" s="76"/>
      <c r="G1131" s="76"/>
      <c r="H1131" s="77"/>
      <c r="I1131" s="77"/>
      <c r="J1131" s="78"/>
      <c r="L1131" s="72"/>
    </row>
    <row r="1132" spans="1:12">
      <c r="A1132" s="72"/>
      <c r="B1132" s="73"/>
      <c r="C1132" s="74"/>
      <c r="D1132" s="72"/>
      <c r="E1132" s="75"/>
      <c r="F1132" s="76"/>
      <c r="G1132" s="76"/>
      <c r="H1132" s="77"/>
      <c r="I1132" s="77"/>
      <c r="J1132" s="78"/>
      <c r="L1132" s="72"/>
    </row>
    <row r="1133" spans="1:12">
      <c r="A1133" s="72"/>
      <c r="B1133" s="73"/>
      <c r="C1133" s="74"/>
      <c r="D1133" s="72"/>
      <c r="E1133" s="75"/>
      <c r="F1133" s="76"/>
      <c r="G1133" s="76"/>
      <c r="H1133" s="77"/>
      <c r="I1133" s="77"/>
      <c r="J1133" s="78"/>
      <c r="L1133" s="72"/>
    </row>
    <row r="1134" spans="1:12">
      <c r="A1134" s="72"/>
      <c r="B1134" s="73"/>
      <c r="C1134" s="74"/>
      <c r="D1134" s="72"/>
      <c r="E1134" s="75"/>
      <c r="F1134" s="76"/>
      <c r="G1134" s="76"/>
      <c r="H1134" s="77"/>
      <c r="I1134" s="77"/>
      <c r="J1134" s="78"/>
      <c r="L1134" s="72"/>
    </row>
    <row r="1135" spans="1:12">
      <c r="A1135" s="72"/>
      <c r="B1135" s="73"/>
      <c r="C1135" s="74"/>
      <c r="D1135" s="72"/>
      <c r="E1135" s="75"/>
      <c r="F1135" s="76"/>
      <c r="G1135" s="76"/>
      <c r="H1135" s="77"/>
      <c r="I1135" s="77"/>
      <c r="J1135" s="78"/>
      <c r="L1135" s="72"/>
    </row>
    <row r="1136" spans="1:12">
      <c r="A1136" s="72"/>
      <c r="B1136" s="73"/>
      <c r="C1136" s="74"/>
      <c r="D1136" s="72"/>
      <c r="E1136" s="75"/>
      <c r="F1136" s="76"/>
      <c r="G1136" s="76"/>
      <c r="H1136" s="77"/>
      <c r="I1136" s="77"/>
      <c r="J1136" s="78"/>
      <c r="L1136" s="72"/>
    </row>
    <row r="1137" spans="1:12">
      <c r="A1137" s="72"/>
      <c r="B1137" s="73"/>
      <c r="C1137" s="74"/>
      <c r="D1137" s="72"/>
      <c r="E1137" s="75"/>
      <c r="F1137" s="76"/>
      <c r="G1137" s="76"/>
      <c r="H1137" s="77"/>
      <c r="I1137" s="77"/>
      <c r="J1137" s="78"/>
      <c r="L1137" s="72"/>
    </row>
    <row r="1138" spans="1:12">
      <c r="A1138" s="72"/>
      <c r="B1138" s="73"/>
      <c r="C1138" s="74"/>
      <c r="D1138" s="72"/>
      <c r="E1138" s="75"/>
      <c r="F1138" s="76"/>
      <c r="G1138" s="76"/>
      <c r="H1138" s="77"/>
      <c r="I1138" s="77"/>
      <c r="J1138" s="78"/>
      <c r="L1138" s="72"/>
    </row>
    <row r="1139" spans="1:12">
      <c r="A1139" s="72"/>
      <c r="B1139" s="73"/>
      <c r="C1139" s="74"/>
      <c r="D1139" s="72"/>
      <c r="E1139" s="75"/>
      <c r="F1139" s="76"/>
      <c r="G1139" s="76"/>
      <c r="H1139" s="77"/>
      <c r="I1139" s="77"/>
      <c r="J1139" s="78"/>
      <c r="L1139" s="72"/>
    </row>
    <row r="1140" spans="1:12">
      <c r="A1140" s="72"/>
      <c r="B1140" s="73"/>
      <c r="C1140" s="74"/>
      <c r="D1140" s="72"/>
      <c r="E1140" s="75"/>
      <c r="F1140" s="76"/>
      <c r="G1140" s="76"/>
      <c r="H1140" s="77"/>
      <c r="I1140" s="77"/>
      <c r="J1140" s="78"/>
      <c r="L1140" s="72"/>
    </row>
    <row r="1141" spans="1:12">
      <c r="A1141" s="72"/>
      <c r="B1141" s="73"/>
      <c r="C1141" s="74"/>
      <c r="D1141" s="72"/>
      <c r="E1141" s="75"/>
      <c r="F1141" s="76"/>
      <c r="G1141" s="76"/>
      <c r="H1141" s="77"/>
      <c r="I1141" s="77"/>
      <c r="J1141" s="78"/>
      <c r="L1141" s="72"/>
    </row>
    <row r="1142" spans="1:12">
      <c r="A1142" s="72"/>
      <c r="B1142" s="73"/>
      <c r="C1142" s="74"/>
      <c r="D1142" s="72"/>
      <c r="E1142" s="75"/>
      <c r="F1142" s="76"/>
      <c r="G1142" s="76"/>
      <c r="H1142" s="77"/>
      <c r="I1142" s="77"/>
      <c r="J1142" s="78"/>
      <c r="L1142" s="72"/>
    </row>
    <row r="1143" spans="1:12">
      <c r="A1143" s="72"/>
      <c r="B1143" s="73"/>
      <c r="C1143" s="74"/>
      <c r="D1143" s="72"/>
      <c r="E1143" s="75"/>
      <c r="F1143" s="76"/>
      <c r="G1143" s="76"/>
      <c r="H1143" s="77"/>
      <c r="I1143" s="77"/>
      <c r="J1143" s="78"/>
      <c r="L1143" s="72"/>
    </row>
    <row r="1144" spans="1:12">
      <c r="A1144" s="72"/>
      <c r="B1144" s="73"/>
      <c r="C1144" s="74"/>
      <c r="D1144" s="72"/>
      <c r="E1144" s="75"/>
      <c r="F1144" s="76"/>
      <c r="G1144" s="76"/>
      <c r="H1144" s="77"/>
      <c r="I1144" s="77"/>
      <c r="J1144" s="78"/>
      <c r="L1144" s="72"/>
    </row>
    <row r="1145" spans="1:12">
      <c r="A1145" s="72"/>
      <c r="B1145" s="73"/>
      <c r="C1145" s="74"/>
      <c r="D1145" s="72"/>
      <c r="E1145" s="75"/>
      <c r="F1145" s="76"/>
      <c r="G1145" s="76"/>
      <c r="H1145" s="77"/>
      <c r="I1145" s="77"/>
      <c r="J1145" s="78"/>
      <c r="L1145" s="72"/>
    </row>
    <row r="1146" spans="1:12">
      <c r="A1146" s="72"/>
      <c r="B1146" s="73"/>
      <c r="C1146" s="74"/>
      <c r="D1146" s="72"/>
      <c r="E1146" s="75"/>
      <c r="F1146" s="76"/>
      <c r="G1146" s="76"/>
      <c r="H1146" s="77"/>
      <c r="I1146" s="77"/>
      <c r="J1146" s="78"/>
      <c r="L1146" s="72"/>
    </row>
    <row r="1147" spans="1:12">
      <c r="A1147" s="72"/>
      <c r="B1147" s="73"/>
      <c r="C1147" s="74"/>
      <c r="D1147" s="72"/>
      <c r="E1147" s="75"/>
      <c r="F1147" s="76"/>
      <c r="G1147" s="76"/>
      <c r="H1147" s="77"/>
      <c r="I1147" s="77"/>
      <c r="J1147" s="78"/>
      <c r="L1147" s="72"/>
    </row>
    <row r="1148" spans="1:12">
      <c r="A1148" s="72"/>
      <c r="B1148" s="73"/>
      <c r="C1148" s="74"/>
      <c r="D1148" s="72"/>
      <c r="E1148" s="75"/>
      <c r="F1148" s="76"/>
      <c r="G1148" s="76"/>
      <c r="H1148" s="77"/>
      <c r="I1148" s="77"/>
      <c r="J1148" s="78"/>
      <c r="L1148" s="72"/>
    </row>
    <row r="1149" spans="1:12">
      <c r="A1149" s="72"/>
      <c r="B1149" s="73"/>
      <c r="C1149" s="74"/>
      <c r="D1149" s="72"/>
      <c r="E1149" s="75"/>
      <c r="F1149" s="76"/>
      <c r="G1149" s="76"/>
      <c r="H1149" s="77"/>
      <c r="I1149" s="77"/>
      <c r="J1149" s="78"/>
      <c r="L1149" s="72"/>
    </row>
    <row r="1150" spans="1:12">
      <c r="A1150" s="72"/>
      <c r="B1150" s="73"/>
      <c r="C1150" s="74"/>
      <c r="D1150" s="72"/>
      <c r="E1150" s="75"/>
      <c r="F1150" s="76"/>
      <c r="G1150" s="76"/>
      <c r="H1150" s="77"/>
      <c r="I1150" s="77"/>
      <c r="J1150" s="78"/>
      <c r="L1150" s="72"/>
    </row>
    <row r="1151" spans="1:12">
      <c r="A1151" s="72"/>
      <c r="B1151" s="73"/>
      <c r="C1151" s="74"/>
      <c r="D1151" s="72"/>
      <c r="E1151" s="75"/>
      <c r="F1151" s="76"/>
      <c r="G1151" s="76"/>
      <c r="H1151" s="77"/>
      <c r="I1151" s="77"/>
      <c r="J1151" s="78"/>
      <c r="L1151" s="72"/>
    </row>
    <row r="1152" spans="1:12">
      <c r="A1152" s="72"/>
      <c r="B1152" s="73"/>
      <c r="C1152" s="74"/>
      <c r="D1152" s="72"/>
      <c r="E1152" s="75"/>
      <c r="F1152" s="76"/>
      <c r="G1152" s="76"/>
      <c r="H1152" s="77"/>
      <c r="I1152" s="77"/>
      <c r="J1152" s="78"/>
      <c r="L1152" s="72"/>
    </row>
    <row r="1153" spans="1:12">
      <c r="A1153" s="72"/>
      <c r="B1153" s="73"/>
      <c r="C1153" s="74"/>
      <c r="D1153" s="72"/>
      <c r="E1153" s="75"/>
      <c r="F1153" s="76"/>
      <c r="G1153" s="76"/>
      <c r="H1153" s="77"/>
      <c r="I1153" s="77"/>
      <c r="J1153" s="78"/>
      <c r="L1153" s="72"/>
    </row>
    <row r="1154" spans="1:12">
      <c r="A1154" s="72"/>
      <c r="B1154" s="73"/>
      <c r="C1154" s="74"/>
      <c r="D1154" s="72"/>
      <c r="E1154" s="75"/>
      <c r="F1154" s="76"/>
      <c r="G1154" s="76"/>
      <c r="H1154" s="77"/>
      <c r="I1154" s="77"/>
      <c r="J1154" s="78"/>
      <c r="L1154" s="72"/>
    </row>
    <row r="1155" spans="1:12">
      <c r="A1155" s="72"/>
      <c r="B1155" s="73"/>
      <c r="C1155" s="74"/>
      <c r="D1155" s="72"/>
      <c r="E1155" s="75"/>
      <c r="F1155" s="76"/>
      <c r="G1155" s="76"/>
      <c r="H1155" s="77"/>
      <c r="I1155" s="77"/>
      <c r="J1155" s="78"/>
      <c r="L1155" s="72"/>
    </row>
    <row r="1156" spans="1:12">
      <c r="A1156" s="72"/>
      <c r="B1156" s="73"/>
      <c r="C1156" s="74"/>
      <c r="D1156" s="72"/>
      <c r="E1156" s="75"/>
      <c r="F1156" s="76"/>
      <c r="G1156" s="76"/>
      <c r="H1156" s="77"/>
      <c r="I1156" s="77"/>
      <c r="J1156" s="78"/>
      <c r="L1156" s="72"/>
    </row>
    <row r="1157" spans="1:12">
      <c r="A1157" s="72"/>
      <c r="B1157" s="73"/>
      <c r="C1157" s="74"/>
      <c r="D1157" s="72"/>
      <c r="E1157" s="75"/>
      <c r="F1157" s="76"/>
      <c r="G1157" s="76"/>
      <c r="H1157" s="77"/>
      <c r="I1157" s="77"/>
      <c r="J1157" s="78"/>
      <c r="L1157" s="72"/>
    </row>
    <row r="1158" spans="1:12">
      <c r="A1158" s="72"/>
      <c r="B1158" s="73"/>
      <c r="C1158" s="74"/>
      <c r="D1158" s="72"/>
      <c r="E1158" s="75"/>
      <c r="F1158" s="76"/>
      <c r="G1158" s="76"/>
      <c r="H1158" s="77"/>
      <c r="I1158" s="77"/>
      <c r="J1158" s="78"/>
      <c r="L1158" s="72"/>
    </row>
    <row r="1159" spans="1:12">
      <c r="A1159" s="72"/>
      <c r="B1159" s="73"/>
      <c r="C1159" s="74"/>
      <c r="D1159" s="72"/>
      <c r="E1159" s="75"/>
      <c r="F1159" s="76"/>
      <c r="G1159" s="76"/>
      <c r="H1159" s="77"/>
      <c r="I1159" s="77"/>
      <c r="J1159" s="78"/>
      <c r="L1159" s="72"/>
    </row>
    <row r="1160" spans="1:12">
      <c r="A1160" s="72"/>
      <c r="B1160" s="73"/>
      <c r="C1160" s="74"/>
      <c r="D1160" s="72"/>
      <c r="E1160" s="75"/>
      <c r="F1160" s="76"/>
      <c r="G1160" s="76"/>
      <c r="H1160" s="77"/>
      <c r="I1160" s="77"/>
      <c r="J1160" s="78"/>
      <c r="L1160" s="72"/>
    </row>
    <row r="1161" spans="1:12">
      <c r="A1161" s="72"/>
      <c r="B1161" s="73"/>
      <c r="C1161" s="74"/>
      <c r="D1161" s="72"/>
      <c r="E1161" s="75"/>
      <c r="F1161" s="76"/>
      <c r="G1161" s="76"/>
      <c r="H1161" s="77"/>
      <c r="I1161" s="77"/>
      <c r="J1161" s="78"/>
      <c r="L1161" s="72"/>
    </row>
    <row r="1162" spans="1:12">
      <c r="A1162" s="72"/>
      <c r="B1162" s="73"/>
      <c r="C1162" s="74"/>
      <c r="D1162" s="72"/>
      <c r="E1162" s="75"/>
      <c r="F1162" s="76"/>
      <c r="G1162" s="76"/>
      <c r="H1162" s="77"/>
      <c r="I1162" s="77"/>
      <c r="J1162" s="78"/>
      <c r="L1162" s="72"/>
    </row>
    <row r="1163" spans="1:12">
      <c r="A1163" s="72"/>
      <c r="B1163" s="73"/>
      <c r="C1163" s="74"/>
      <c r="D1163" s="72"/>
      <c r="E1163" s="75"/>
      <c r="F1163" s="76"/>
      <c r="G1163" s="76"/>
      <c r="H1163" s="77"/>
      <c r="I1163" s="77"/>
      <c r="J1163" s="78"/>
      <c r="L1163" s="72"/>
    </row>
    <row r="1164" spans="1:12">
      <c r="A1164" s="72"/>
      <c r="B1164" s="73"/>
      <c r="C1164" s="74"/>
      <c r="D1164" s="72"/>
      <c r="E1164" s="75"/>
      <c r="F1164" s="76"/>
      <c r="G1164" s="76"/>
      <c r="H1164" s="77"/>
      <c r="I1164" s="77"/>
      <c r="J1164" s="78"/>
      <c r="L1164" s="72"/>
    </row>
    <row r="1165" spans="1:12">
      <c r="A1165" s="72"/>
      <c r="B1165" s="73"/>
      <c r="C1165" s="74"/>
      <c r="D1165" s="72"/>
      <c r="E1165" s="75"/>
      <c r="F1165" s="76"/>
      <c r="G1165" s="76"/>
      <c r="H1165" s="77"/>
      <c r="I1165" s="77"/>
      <c r="J1165" s="78"/>
      <c r="L1165" s="72"/>
    </row>
    <row r="1166" spans="1:12">
      <c r="A1166" s="72"/>
      <c r="B1166" s="73"/>
      <c r="C1166" s="74"/>
      <c r="D1166" s="72"/>
      <c r="E1166" s="75"/>
      <c r="F1166" s="76"/>
      <c r="G1166" s="76"/>
      <c r="H1166" s="77"/>
      <c r="I1166" s="77"/>
      <c r="J1166" s="78"/>
      <c r="L1166" s="72"/>
    </row>
    <row r="1167" spans="1:12">
      <c r="A1167" s="72"/>
      <c r="B1167" s="73"/>
      <c r="C1167" s="74"/>
      <c r="D1167" s="72"/>
      <c r="E1167" s="75"/>
      <c r="F1167" s="76"/>
      <c r="G1167" s="76"/>
      <c r="H1167" s="77"/>
      <c r="I1167" s="77"/>
      <c r="J1167" s="78"/>
      <c r="L1167" s="72"/>
    </row>
    <row r="1168" spans="1:12">
      <c r="A1168" s="72"/>
      <c r="B1168" s="73"/>
      <c r="C1168" s="74"/>
      <c r="D1168" s="72"/>
      <c r="E1168" s="75"/>
      <c r="F1168" s="76"/>
      <c r="G1168" s="76"/>
      <c r="H1168" s="77"/>
      <c r="I1168" s="77"/>
      <c r="J1168" s="78"/>
      <c r="L1168" s="72"/>
    </row>
    <row r="1169" spans="1:12">
      <c r="A1169" s="72"/>
      <c r="B1169" s="73"/>
      <c r="C1169" s="74"/>
      <c r="D1169" s="72"/>
      <c r="E1169" s="75"/>
      <c r="F1169" s="76"/>
      <c r="G1169" s="76"/>
      <c r="H1169" s="77"/>
      <c r="I1169" s="77"/>
      <c r="J1169" s="78"/>
      <c r="L1169" s="72"/>
    </row>
    <row r="1170" spans="1:12">
      <c r="A1170" s="72"/>
      <c r="B1170" s="73"/>
      <c r="C1170" s="74"/>
      <c r="D1170" s="72"/>
      <c r="E1170" s="75"/>
      <c r="F1170" s="76"/>
      <c r="G1170" s="76"/>
      <c r="H1170" s="77"/>
      <c r="I1170" s="77"/>
      <c r="J1170" s="78"/>
      <c r="L1170" s="72"/>
    </row>
    <row r="1171" spans="1:12">
      <c r="A1171" s="72"/>
      <c r="B1171" s="73"/>
      <c r="C1171" s="74"/>
      <c r="D1171" s="72"/>
      <c r="E1171" s="75"/>
      <c r="F1171" s="76"/>
      <c r="G1171" s="76"/>
      <c r="H1171" s="77"/>
      <c r="I1171" s="77"/>
      <c r="J1171" s="78"/>
      <c r="L1171" s="72"/>
    </row>
    <row r="1172" spans="1:12">
      <c r="A1172" s="72"/>
      <c r="B1172" s="73"/>
      <c r="C1172" s="74"/>
      <c r="D1172" s="72"/>
      <c r="E1172" s="75"/>
      <c r="F1172" s="76"/>
      <c r="G1172" s="76"/>
      <c r="H1172" s="77"/>
      <c r="I1172" s="77"/>
      <c r="J1172" s="78"/>
      <c r="L1172" s="72"/>
    </row>
    <row r="1173" spans="1:12">
      <c r="A1173" s="72"/>
      <c r="B1173" s="73"/>
      <c r="C1173" s="74"/>
      <c r="D1173" s="72"/>
      <c r="E1173" s="75"/>
      <c r="F1173" s="76"/>
      <c r="G1173" s="76"/>
      <c r="H1173" s="77"/>
      <c r="I1173" s="77"/>
      <c r="J1173" s="78"/>
      <c r="L1173" s="72"/>
    </row>
    <row r="1174" spans="1:12">
      <c r="A1174" s="72"/>
      <c r="B1174" s="73"/>
      <c r="C1174" s="74"/>
      <c r="D1174" s="72"/>
      <c r="E1174" s="75"/>
      <c r="F1174" s="76"/>
      <c r="G1174" s="76"/>
      <c r="H1174" s="77"/>
      <c r="I1174" s="77"/>
      <c r="J1174" s="78"/>
      <c r="L1174" s="72"/>
    </row>
    <row r="1175" spans="1:12">
      <c r="A1175" s="72"/>
      <c r="B1175" s="73"/>
      <c r="C1175" s="74"/>
      <c r="D1175" s="72"/>
      <c r="E1175" s="75"/>
      <c r="F1175" s="76"/>
      <c r="G1175" s="76"/>
      <c r="H1175" s="77"/>
      <c r="I1175" s="77"/>
      <c r="J1175" s="78"/>
      <c r="L1175" s="72"/>
    </row>
    <row r="1176" spans="1:12">
      <c r="A1176" s="72"/>
      <c r="B1176" s="73"/>
      <c r="C1176" s="74"/>
      <c r="D1176" s="72"/>
      <c r="E1176" s="75"/>
      <c r="F1176" s="76"/>
      <c r="G1176" s="76"/>
      <c r="H1176" s="77"/>
      <c r="I1176" s="77"/>
      <c r="J1176" s="78"/>
      <c r="L1176" s="72"/>
    </row>
    <row r="1177" spans="1:12">
      <c r="A1177" s="72"/>
      <c r="B1177" s="73"/>
      <c r="C1177" s="74"/>
      <c r="D1177" s="72"/>
      <c r="E1177" s="75"/>
      <c r="F1177" s="76"/>
      <c r="G1177" s="76"/>
      <c r="H1177" s="77"/>
      <c r="I1177" s="77"/>
      <c r="J1177" s="78"/>
      <c r="L1177" s="72"/>
    </row>
    <row r="1178" spans="1:12">
      <c r="A1178" s="72"/>
      <c r="B1178" s="73"/>
      <c r="C1178" s="74"/>
      <c r="D1178" s="72"/>
      <c r="E1178" s="75"/>
      <c r="F1178" s="76"/>
      <c r="G1178" s="76"/>
      <c r="H1178" s="77"/>
      <c r="I1178" s="77"/>
      <c r="J1178" s="78"/>
      <c r="L1178" s="72"/>
    </row>
    <row r="1179" spans="1:12">
      <c r="A1179" s="72"/>
      <c r="B1179" s="73"/>
      <c r="C1179" s="74"/>
      <c r="D1179" s="72"/>
      <c r="E1179" s="75"/>
      <c r="F1179" s="76"/>
      <c r="G1179" s="76"/>
      <c r="H1179" s="77"/>
      <c r="I1179" s="77"/>
      <c r="J1179" s="78"/>
      <c r="L1179" s="72"/>
    </row>
    <row r="1180" spans="1:12">
      <c r="A1180" s="72"/>
      <c r="B1180" s="73"/>
      <c r="C1180" s="74"/>
      <c r="D1180" s="72"/>
      <c r="E1180" s="75"/>
      <c r="F1180" s="76"/>
      <c r="G1180" s="76"/>
      <c r="H1180" s="77"/>
      <c r="I1180" s="77"/>
      <c r="J1180" s="78"/>
      <c r="L1180" s="72"/>
    </row>
    <row r="1181" spans="1:12">
      <c r="A1181" s="72"/>
      <c r="B1181" s="73"/>
      <c r="C1181" s="74"/>
      <c r="D1181" s="72"/>
      <c r="E1181" s="75"/>
      <c r="F1181" s="76"/>
      <c r="G1181" s="76"/>
      <c r="H1181" s="77"/>
      <c r="I1181" s="77"/>
      <c r="J1181" s="78"/>
      <c r="L1181" s="72"/>
    </row>
    <row r="1182" spans="1:12">
      <c r="A1182" s="72"/>
      <c r="B1182" s="73"/>
      <c r="C1182" s="74"/>
      <c r="D1182" s="72"/>
      <c r="E1182" s="75"/>
      <c r="F1182" s="76"/>
      <c r="G1182" s="76"/>
      <c r="H1182" s="77"/>
      <c r="I1182" s="77"/>
      <c r="J1182" s="78"/>
      <c r="L1182" s="72"/>
    </row>
    <row r="1183" spans="1:12">
      <c r="A1183" s="72"/>
      <c r="B1183" s="73"/>
      <c r="C1183" s="74"/>
      <c r="D1183" s="72"/>
      <c r="E1183" s="75"/>
      <c r="F1183" s="76"/>
      <c r="G1183" s="76"/>
      <c r="H1183" s="77"/>
      <c r="I1183" s="77"/>
      <c r="J1183" s="78"/>
      <c r="L1183" s="72"/>
    </row>
    <row r="1184" spans="1:12">
      <c r="A1184" s="72"/>
      <c r="B1184" s="73"/>
      <c r="C1184" s="74"/>
      <c r="D1184" s="72"/>
      <c r="E1184" s="75"/>
      <c r="F1184" s="76"/>
      <c r="G1184" s="76"/>
      <c r="H1184" s="77"/>
      <c r="I1184" s="77"/>
      <c r="J1184" s="78"/>
      <c r="L1184" s="72"/>
    </row>
    <row r="1185" spans="1:12">
      <c r="A1185" s="72"/>
      <c r="B1185" s="73"/>
      <c r="C1185" s="74"/>
      <c r="D1185" s="72"/>
      <c r="E1185" s="75"/>
      <c r="F1185" s="76"/>
      <c r="G1185" s="76"/>
      <c r="H1185" s="77"/>
      <c r="I1185" s="77"/>
      <c r="J1185" s="78"/>
      <c r="L1185" s="72"/>
    </row>
    <row r="1186" spans="1:12">
      <c r="A1186" s="72"/>
      <c r="B1186" s="73"/>
      <c r="C1186" s="74"/>
      <c r="D1186" s="72"/>
      <c r="E1186" s="75"/>
      <c r="F1186" s="76"/>
      <c r="G1186" s="76"/>
      <c r="H1186" s="77"/>
      <c r="I1186" s="77"/>
      <c r="J1186" s="78"/>
      <c r="L1186" s="72"/>
    </row>
    <row r="1187" spans="1:12">
      <c r="A1187" s="72"/>
      <c r="B1187" s="73"/>
      <c r="C1187" s="74"/>
      <c r="D1187" s="72"/>
      <c r="E1187" s="75"/>
      <c r="F1187" s="76"/>
      <c r="G1187" s="76"/>
      <c r="H1187" s="77"/>
      <c r="I1187" s="77"/>
      <c r="J1187" s="78"/>
      <c r="L1187" s="72"/>
    </row>
    <row r="1188" spans="1:12">
      <c r="A1188" s="72"/>
      <c r="B1188" s="73"/>
      <c r="C1188" s="74"/>
      <c r="D1188" s="72"/>
      <c r="E1188" s="75"/>
      <c r="F1188" s="76"/>
      <c r="G1188" s="76"/>
      <c r="H1188" s="77"/>
      <c r="I1188" s="77"/>
      <c r="J1188" s="78"/>
      <c r="L1188" s="72"/>
    </row>
    <row r="1189" spans="1:12">
      <c r="A1189" s="72"/>
      <c r="B1189" s="73"/>
      <c r="C1189" s="74"/>
      <c r="D1189" s="72"/>
      <c r="E1189" s="75"/>
      <c r="F1189" s="76"/>
      <c r="G1189" s="76"/>
      <c r="H1189" s="77"/>
      <c r="I1189" s="77"/>
      <c r="J1189" s="78"/>
      <c r="L1189" s="72"/>
    </row>
    <row r="1190" spans="1:12">
      <c r="A1190" s="72"/>
      <c r="B1190" s="73"/>
      <c r="C1190" s="74"/>
      <c r="D1190" s="72"/>
      <c r="E1190" s="75"/>
      <c r="F1190" s="76"/>
      <c r="G1190" s="76"/>
      <c r="H1190" s="77"/>
      <c r="I1190" s="77"/>
      <c r="J1190" s="78"/>
      <c r="L1190" s="72"/>
    </row>
    <row r="1191" spans="1:12">
      <c r="A1191" s="72"/>
      <c r="B1191" s="73"/>
      <c r="C1191" s="74"/>
      <c r="D1191" s="72"/>
      <c r="E1191" s="75"/>
      <c r="F1191" s="76"/>
      <c r="G1191" s="76"/>
      <c r="H1191" s="77"/>
      <c r="I1191" s="77"/>
      <c r="J1191" s="78"/>
      <c r="L1191" s="72"/>
    </row>
    <row r="1192" spans="1:12">
      <c r="A1192" s="72"/>
      <c r="B1192" s="73"/>
      <c r="C1192" s="74"/>
      <c r="D1192" s="72"/>
      <c r="E1192" s="75"/>
      <c r="F1192" s="76"/>
      <c r="G1192" s="76"/>
      <c r="H1192" s="77"/>
      <c r="I1192" s="77"/>
      <c r="J1192" s="78"/>
      <c r="L1192" s="72"/>
    </row>
    <row r="1193" spans="1:12">
      <c r="A1193" s="72"/>
      <c r="B1193" s="73"/>
      <c r="C1193" s="74"/>
      <c r="D1193" s="72"/>
      <c r="E1193" s="75"/>
      <c r="F1193" s="76"/>
      <c r="G1193" s="76"/>
      <c r="H1193" s="77"/>
      <c r="I1193" s="77"/>
      <c r="J1193" s="78"/>
      <c r="L1193" s="72"/>
    </row>
    <row r="1194" spans="1:12">
      <c r="A1194" s="72"/>
      <c r="B1194" s="73"/>
      <c r="C1194" s="74"/>
      <c r="D1194" s="72"/>
      <c r="E1194" s="75"/>
      <c r="F1194" s="76"/>
      <c r="G1194" s="76"/>
      <c r="H1194" s="77"/>
      <c r="I1194" s="77"/>
      <c r="J1194" s="78"/>
      <c r="L1194" s="72"/>
    </row>
    <row r="1195" spans="1:12">
      <c r="A1195" s="72"/>
      <c r="B1195" s="73"/>
      <c r="C1195" s="74"/>
      <c r="D1195" s="72"/>
      <c r="E1195" s="75"/>
      <c r="F1195" s="76"/>
      <c r="G1195" s="76"/>
      <c r="H1195" s="77"/>
      <c r="I1195" s="77"/>
      <c r="J1195" s="78"/>
      <c r="L1195" s="72"/>
    </row>
    <row r="1196" spans="1:12">
      <c r="A1196" s="72"/>
      <c r="B1196" s="73"/>
      <c r="C1196" s="74"/>
      <c r="D1196" s="72"/>
      <c r="E1196" s="75"/>
      <c r="F1196" s="76"/>
      <c r="G1196" s="76"/>
      <c r="H1196" s="77"/>
      <c r="I1196" s="77"/>
      <c r="J1196" s="78"/>
      <c r="L1196" s="72"/>
    </row>
    <row r="1197" spans="1:12">
      <c r="A1197" s="72"/>
      <c r="B1197" s="73"/>
      <c r="C1197" s="74"/>
      <c r="D1197" s="72"/>
      <c r="E1197" s="75"/>
      <c r="F1197" s="76"/>
      <c r="G1197" s="76"/>
      <c r="H1197" s="77"/>
      <c r="I1197" s="77"/>
      <c r="J1197" s="78"/>
      <c r="L1197" s="72"/>
    </row>
    <row r="1198" spans="1:12">
      <c r="A1198" s="72"/>
      <c r="B1198" s="73"/>
      <c r="C1198" s="74"/>
      <c r="D1198" s="72"/>
      <c r="E1198" s="75"/>
      <c r="F1198" s="76"/>
      <c r="G1198" s="76"/>
      <c r="H1198" s="77"/>
      <c r="I1198" s="77"/>
      <c r="J1198" s="78"/>
      <c r="L1198" s="72"/>
    </row>
    <row r="1199" spans="1:12">
      <c r="A1199" s="72"/>
      <c r="B1199" s="73"/>
      <c r="C1199" s="74"/>
      <c r="D1199" s="72"/>
      <c r="E1199" s="75"/>
      <c r="F1199" s="76"/>
      <c r="G1199" s="76"/>
      <c r="H1199" s="77"/>
      <c r="I1199" s="77"/>
      <c r="J1199" s="78"/>
      <c r="L1199" s="72"/>
    </row>
    <row r="1200" spans="1:12">
      <c r="A1200" s="72"/>
      <c r="B1200" s="73"/>
      <c r="C1200" s="74"/>
      <c r="D1200" s="72"/>
      <c r="E1200" s="75"/>
      <c r="F1200" s="76"/>
      <c r="G1200" s="76"/>
      <c r="H1200" s="77"/>
      <c r="I1200" s="77"/>
      <c r="J1200" s="78"/>
      <c r="L1200" s="72"/>
    </row>
    <row r="1201" spans="1:12">
      <c r="A1201" s="72"/>
      <c r="B1201" s="73"/>
      <c r="C1201" s="74"/>
      <c r="D1201" s="72"/>
      <c r="E1201" s="75"/>
      <c r="F1201" s="76"/>
      <c r="G1201" s="76"/>
      <c r="H1201" s="77"/>
      <c r="I1201" s="77"/>
      <c r="J1201" s="78"/>
      <c r="L1201" s="72"/>
    </row>
    <row r="1202" spans="1:12">
      <c r="A1202" s="72"/>
      <c r="B1202" s="73"/>
      <c r="C1202" s="74"/>
      <c r="D1202" s="72"/>
      <c r="E1202" s="75"/>
      <c r="F1202" s="76"/>
      <c r="G1202" s="76"/>
      <c r="H1202" s="77"/>
      <c r="I1202" s="77"/>
      <c r="J1202" s="78"/>
      <c r="L1202" s="72"/>
    </row>
    <row r="1203" spans="1:12">
      <c r="A1203" s="72"/>
      <c r="B1203" s="73"/>
      <c r="C1203" s="74"/>
      <c r="D1203" s="72"/>
      <c r="E1203" s="75"/>
      <c r="F1203" s="76"/>
      <c r="G1203" s="76"/>
      <c r="H1203" s="77"/>
      <c r="I1203" s="77"/>
      <c r="J1203" s="78"/>
      <c r="L1203" s="72"/>
    </row>
    <row r="1204" spans="1:12">
      <c r="A1204" s="72"/>
      <c r="B1204" s="73"/>
      <c r="C1204" s="74"/>
      <c r="D1204" s="72"/>
      <c r="E1204" s="75"/>
      <c r="F1204" s="76"/>
      <c r="G1204" s="76"/>
      <c r="H1204" s="77"/>
      <c r="I1204" s="77"/>
      <c r="J1204" s="78"/>
      <c r="L1204" s="72"/>
    </row>
    <row r="1205" spans="1:12">
      <c r="A1205" s="72"/>
      <c r="B1205" s="73"/>
      <c r="C1205" s="74"/>
      <c r="D1205" s="72"/>
      <c r="E1205" s="75"/>
      <c r="F1205" s="76"/>
      <c r="G1205" s="76"/>
      <c r="H1205" s="77"/>
      <c r="I1205" s="77"/>
      <c r="J1205" s="78"/>
      <c r="L1205" s="72"/>
    </row>
    <row r="1206" spans="1:12">
      <c r="A1206" s="72"/>
      <c r="B1206" s="73"/>
      <c r="C1206" s="74"/>
      <c r="D1206" s="72"/>
      <c r="E1206" s="75"/>
      <c r="F1206" s="76"/>
      <c r="G1206" s="76"/>
      <c r="H1206" s="77"/>
      <c r="I1206" s="77"/>
      <c r="J1206" s="78"/>
      <c r="L1206" s="72"/>
    </row>
    <row r="1207" spans="1:12">
      <c r="A1207" s="72"/>
      <c r="B1207" s="73"/>
      <c r="C1207" s="74"/>
      <c r="D1207" s="72"/>
      <c r="E1207" s="75"/>
      <c r="F1207" s="76"/>
      <c r="G1207" s="76"/>
      <c r="H1207" s="77"/>
      <c r="I1207" s="77"/>
      <c r="J1207" s="78"/>
      <c r="L1207" s="72"/>
    </row>
    <row r="1208" spans="1:12">
      <c r="A1208" s="72"/>
      <c r="B1208" s="73"/>
      <c r="C1208" s="74"/>
      <c r="D1208" s="72"/>
      <c r="E1208" s="75"/>
      <c r="F1208" s="76"/>
      <c r="G1208" s="76"/>
      <c r="H1208" s="77"/>
      <c r="I1208" s="77"/>
      <c r="J1208" s="78"/>
      <c r="L1208" s="72"/>
    </row>
    <row r="1209" spans="1:12">
      <c r="A1209" s="72"/>
      <c r="B1209" s="73"/>
      <c r="C1209" s="74"/>
      <c r="D1209" s="72"/>
      <c r="E1209" s="75"/>
      <c r="F1209" s="76"/>
      <c r="G1209" s="76"/>
      <c r="H1209" s="77"/>
      <c r="I1209" s="77"/>
      <c r="J1209" s="78"/>
      <c r="L1209" s="72"/>
    </row>
    <row r="1210" spans="1:12">
      <c r="A1210" s="72"/>
      <c r="B1210" s="73"/>
      <c r="C1210" s="74"/>
      <c r="D1210" s="72"/>
      <c r="E1210" s="75"/>
      <c r="F1210" s="76"/>
      <c r="G1210" s="76"/>
      <c r="H1210" s="77"/>
      <c r="I1210" s="77"/>
      <c r="J1210" s="78"/>
      <c r="L1210" s="72"/>
    </row>
    <row r="1211" spans="1:12">
      <c r="A1211" s="72"/>
      <c r="B1211" s="73"/>
      <c r="C1211" s="74"/>
      <c r="D1211" s="72"/>
      <c r="E1211" s="75"/>
      <c r="F1211" s="76"/>
      <c r="G1211" s="76"/>
      <c r="H1211" s="77"/>
      <c r="I1211" s="77"/>
      <c r="J1211" s="78"/>
      <c r="L1211" s="72"/>
    </row>
    <row r="1212" spans="1:12">
      <c r="A1212" s="72"/>
      <c r="B1212" s="73"/>
      <c r="C1212" s="74"/>
      <c r="D1212" s="72"/>
      <c r="E1212" s="75"/>
      <c r="F1212" s="76"/>
      <c r="G1212" s="76"/>
      <c r="H1212" s="77"/>
      <c r="I1212" s="77"/>
      <c r="J1212" s="78"/>
      <c r="L1212" s="72"/>
    </row>
    <row r="1213" spans="1:12">
      <c r="A1213" s="72"/>
      <c r="B1213" s="73"/>
      <c r="C1213" s="74"/>
      <c r="D1213" s="72"/>
      <c r="E1213" s="75"/>
      <c r="F1213" s="76"/>
      <c r="G1213" s="76"/>
      <c r="H1213" s="77"/>
      <c r="I1213" s="77"/>
      <c r="J1213" s="78"/>
      <c r="L1213" s="72"/>
    </row>
    <row r="1214" spans="1:12">
      <c r="A1214" s="72"/>
      <c r="B1214" s="73"/>
      <c r="C1214" s="74"/>
      <c r="D1214" s="72"/>
      <c r="E1214" s="75"/>
      <c r="F1214" s="76"/>
      <c r="G1214" s="76"/>
      <c r="H1214" s="77"/>
      <c r="I1214" s="77"/>
      <c r="J1214" s="78"/>
      <c r="L1214" s="72"/>
    </row>
    <row r="1215" spans="1:12">
      <c r="A1215" s="72"/>
      <c r="B1215" s="73"/>
      <c r="C1215" s="74"/>
      <c r="D1215" s="72"/>
      <c r="E1215" s="75"/>
      <c r="F1215" s="76"/>
      <c r="G1215" s="76"/>
      <c r="H1215" s="77"/>
      <c r="I1215" s="77"/>
      <c r="J1215" s="78"/>
      <c r="L1215" s="72"/>
    </row>
    <row r="1216" spans="1:12">
      <c r="A1216" s="72"/>
      <c r="B1216" s="73"/>
      <c r="C1216" s="74"/>
      <c r="D1216" s="72"/>
      <c r="E1216" s="75"/>
      <c r="F1216" s="76"/>
      <c r="G1216" s="76"/>
      <c r="H1216" s="77"/>
      <c r="I1216" s="77"/>
      <c r="J1216" s="78"/>
      <c r="L1216" s="72"/>
    </row>
    <row r="1217" spans="1:12">
      <c r="A1217" s="72"/>
      <c r="B1217" s="73"/>
      <c r="C1217" s="74"/>
      <c r="D1217" s="72"/>
      <c r="E1217" s="75"/>
      <c r="F1217" s="76"/>
      <c r="G1217" s="76"/>
      <c r="H1217" s="77"/>
      <c r="I1217" s="77"/>
      <c r="J1217" s="78"/>
      <c r="L1217" s="72"/>
    </row>
    <row r="1218" spans="1:12">
      <c r="A1218" s="72"/>
      <c r="B1218" s="73"/>
      <c r="C1218" s="74"/>
      <c r="D1218" s="72"/>
      <c r="E1218" s="75"/>
      <c r="F1218" s="76"/>
      <c r="G1218" s="76"/>
      <c r="H1218" s="77"/>
      <c r="I1218" s="77"/>
      <c r="J1218" s="78"/>
      <c r="L1218" s="72"/>
    </row>
    <row r="1219" spans="1:12">
      <c r="A1219" s="72"/>
      <c r="B1219" s="73"/>
      <c r="C1219" s="74"/>
      <c r="D1219" s="72"/>
      <c r="E1219" s="75"/>
      <c r="F1219" s="76"/>
      <c r="G1219" s="76"/>
      <c r="H1219" s="77"/>
      <c r="I1219" s="77"/>
      <c r="J1219" s="78"/>
      <c r="L1219" s="72"/>
    </row>
    <row r="1220" spans="1:12">
      <c r="A1220" s="72"/>
      <c r="B1220" s="73"/>
      <c r="C1220" s="74"/>
      <c r="D1220" s="72"/>
      <c r="E1220" s="75"/>
      <c r="F1220" s="76"/>
      <c r="G1220" s="76"/>
      <c r="H1220" s="77"/>
      <c r="I1220" s="77"/>
      <c r="J1220" s="78"/>
      <c r="L1220" s="72"/>
    </row>
    <row r="1221" spans="1:12">
      <c r="A1221" s="72"/>
      <c r="B1221" s="73"/>
      <c r="C1221" s="74"/>
      <c r="D1221" s="72"/>
      <c r="E1221" s="75"/>
      <c r="F1221" s="76"/>
      <c r="G1221" s="76"/>
      <c r="H1221" s="77"/>
      <c r="I1221" s="77"/>
      <c r="J1221" s="78"/>
      <c r="L1221" s="72"/>
    </row>
    <row r="1222" spans="1:12">
      <c r="A1222" s="72"/>
      <c r="B1222" s="73"/>
      <c r="C1222" s="74"/>
      <c r="D1222" s="72"/>
      <c r="E1222" s="75"/>
      <c r="F1222" s="76"/>
      <c r="G1222" s="76"/>
      <c r="H1222" s="77"/>
      <c r="I1222" s="77"/>
      <c r="J1222" s="78"/>
      <c r="L1222" s="72"/>
    </row>
    <row r="1223" spans="1:12">
      <c r="A1223" s="72"/>
      <c r="B1223" s="73"/>
      <c r="C1223" s="74"/>
      <c r="D1223" s="72"/>
      <c r="E1223" s="75"/>
      <c r="F1223" s="76"/>
      <c r="G1223" s="76"/>
      <c r="H1223" s="77"/>
      <c r="I1223" s="77"/>
      <c r="J1223" s="78"/>
      <c r="L1223" s="72"/>
    </row>
    <row r="1224" spans="1:12">
      <c r="A1224" s="72"/>
      <c r="B1224" s="73"/>
      <c r="C1224" s="74"/>
      <c r="D1224" s="72"/>
      <c r="E1224" s="75"/>
      <c r="F1224" s="76"/>
      <c r="G1224" s="76"/>
      <c r="H1224" s="77"/>
      <c r="I1224" s="77"/>
      <c r="J1224" s="78"/>
      <c r="L1224" s="72"/>
    </row>
    <row r="1225" spans="1:12">
      <c r="A1225" s="72"/>
      <c r="B1225" s="73"/>
      <c r="C1225" s="74"/>
      <c r="D1225" s="72"/>
      <c r="E1225" s="75"/>
      <c r="F1225" s="76"/>
      <c r="G1225" s="76"/>
      <c r="H1225" s="77"/>
      <c r="I1225" s="77"/>
      <c r="J1225" s="78"/>
      <c r="L1225" s="72"/>
    </row>
    <row r="1226" spans="1:12">
      <c r="A1226" s="72"/>
      <c r="B1226" s="73"/>
      <c r="C1226" s="74"/>
      <c r="D1226" s="72"/>
      <c r="E1226" s="75"/>
      <c r="F1226" s="76"/>
      <c r="G1226" s="76"/>
      <c r="H1226" s="77"/>
      <c r="I1226" s="77"/>
      <c r="J1226" s="78"/>
      <c r="L1226" s="72"/>
    </row>
    <row r="1227" spans="1:12">
      <c r="A1227" s="72"/>
      <c r="B1227" s="73"/>
      <c r="C1227" s="74"/>
      <c r="D1227" s="72"/>
      <c r="E1227" s="75"/>
      <c r="F1227" s="76"/>
      <c r="G1227" s="76"/>
      <c r="H1227" s="77"/>
      <c r="I1227" s="77"/>
      <c r="J1227" s="78"/>
      <c r="L1227" s="72"/>
    </row>
    <row r="1228" spans="1:12">
      <c r="A1228" s="72"/>
      <c r="B1228" s="73"/>
      <c r="C1228" s="74"/>
      <c r="D1228" s="72"/>
      <c r="E1228" s="75"/>
      <c r="F1228" s="76"/>
      <c r="G1228" s="76"/>
      <c r="H1228" s="77"/>
      <c r="I1228" s="77"/>
      <c r="J1228" s="78"/>
      <c r="L1228" s="72"/>
    </row>
    <row r="1229" spans="1:12">
      <c r="A1229" s="72"/>
      <c r="B1229" s="73"/>
      <c r="C1229" s="74"/>
      <c r="D1229" s="72"/>
      <c r="E1229" s="75"/>
      <c r="F1229" s="76"/>
      <c r="G1229" s="76"/>
      <c r="H1229" s="77"/>
      <c r="I1229" s="77"/>
      <c r="J1229" s="78"/>
      <c r="L1229" s="72"/>
    </row>
    <row r="1230" spans="1:12">
      <c r="A1230" s="72"/>
      <c r="B1230" s="73"/>
      <c r="C1230" s="74"/>
      <c r="D1230" s="72"/>
      <c r="E1230" s="75"/>
      <c r="F1230" s="76"/>
      <c r="G1230" s="76"/>
      <c r="H1230" s="77"/>
      <c r="I1230" s="77"/>
      <c r="J1230" s="78"/>
      <c r="L1230" s="72"/>
    </row>
    <row r="1231" spans="1:12">
      <c r="A1231" s="72"/>
      <c r="B1231" s="73"/>
      <c r="C1231" s="74"/>
      <c r="D1231" s="72"/>
      <c r="E1231" s="75"/>
      <c r="F1231" s="76"/>
      <c r="G1231" s="76"/>
      <c r="H1231" s="77"/>
      <c r="I1231" s="77"/>
      <c r="J1231" s="78"/>
      <c r="L1231" s="72"/>
    </row>
    <row r="1232" spans="1:12">
      <c r="A1232" s="72"/>
      <c r="B1232" s="73"/>
      <c r="C1232" s="74"/>
      <c r="D1232" s="72"/>
      <c r="E1232" s="75"/>
      <c r="F1232" s="76"/>
      <c r="G1232" s="76"/>
      <c r="H1232" s="77"/>
      <c r="I1232" s="77"/>
      <c r="J1232" s="78"/>
      <c r="L1232" s="72"/>
    </row>
    <row r="1233" spans="1:12">
      <c r="A1233" s="72"/>
      <c r="B1233" s="73"/>
      <c r="C1233" s="74"/>
      <c r="D1233" s="72"/>
      <c r="E1233" s="75"/>
      <c r="F1233" s="76"/>
      <c r="G1233" s="76"/>
      <c r="H1233" s="77"/>
      <c r="I1233" s="77"/>
      <c r="J1233" s="78"/>
      <c r="L1233" s="72"/>
    </row>
    <row r="1234" spans="1:12">
      <c r="A1234" s="72"/>
      <c r="B1234" s="73"/>
      <c r="C1234" s="74"/>
      <c r="D1234" s="72"/>
      <c r="E1234" s="75"/>
      <c r="F1234" s="76"/>
      <c r="G1234" s="76"/>
      <c r="H1234" s="77"/>
      <c r="I1234" s="77"/>
      <c r="J1234" s="78"/>
      <c r="L1234" s="72"/>
    </row>
    <row r="1235" spans="1:12">
      <c r="A1235" s="72"/>
      <c r="B1235" s="73"/>
      <c r="C1235" s="74"/>
      <c r="D1235" s="72"/>
      <c r="E1235" s="75"/>
      <c r="F1235" s="76"/>
      <c r="G1235" s="76"/>
      <c r="H1235" s="77"/>
      <c r="I1235" s="77"/>
      <c r="J1235" s="78"/>
      <c r="L1235" s="72"/>
    </row>
    <row r="1236" spans="1:12">
      <c r="A1236" s="72"/>
      <c r="B1236" s="73"/>
      <c r="C1236" s="74"/>
      <c r="D1236" s="72"/>
      <c r="E1236" s="75"/>
      <c r="F1236" s="76"/>
      <c r="G1236" s="76"/>
      <c r="H1236" s="77"/>
      <c r="I1236" s="77"/>
      <c r="J1236" s="78"/>
      <c r="L1236" s="72"/>
    </row>
    <row r="1237" spans="1:12">
      <c r="A1237" s="72"/>
      <c r="B1237" s="73"/>
      <c r="C1237" s="74"/>
      <c r="D1237" s="72"/>
      <c r="E1237" s="75"/>
      <c r="F1237" s="76"/>
      <c r="G1237" s="76"/>
      <c r="H1237" s="77"/>
      <c r="I1237" s="77"/>
      <c r="J1237" s="78"/>
      <c r="L1237" s="72"/>
    </row>
    <row r="1238" spans="1:12">
      <c r="A1238" s="72"/>
      <c r="B1238" s="73"/>
      <c r="C1238" s="74"/>
      <c r="D1238" s="72"/>
      <c r="E1238" s="75"/>
      <c r="F1238" s="76"/>
      <c r="G1238" s="76"/>
      <c r="H1238" s="77"/>
      <c r="I1238" s="77"/>
      <c r="J1238" s="78"/>
      <c r="L1238" s="72"/>
    </row>
    <row r="1239" spans="1:12">
      <c r="A1239" s="72"/>
      <c r="B1239" s="73"/>
      <c r="C1239" s="74"/>
      <c r="D1239" s="72"/>
      <c r="E1239" s="75"/>
      <c r="F1239" s="76"/>
      <c r="G1239" s="76"/>
      <c r="H1239" s="77"/>
      <c r="I1239" s="77"/>
      <c r="J1239" s="78"/>
      <c r="L1239" s="72"/>
    </row>
    <row r="1240" spans="1:12">
      <c r="A1240" s="72"/>
      <c r="B1240" s="73"/>
      <c r="C1240" s="74"/>
      <c r="D1240" s="72"/>
      <c r="E1240" s="75"/>
      <c r="F1240" s="76"/>
      <c r="G1240" s="76"/>
      <c r="H1240" s="77"/>
      <c r="I1240" s="77"/>
      <c r="J1240" s="78"/>
      <c r="L1240" s="72"/>
    </row>
    <row r="1241" spans="1:12">
      <c r="A1241" s="72"/>
      <c r="B1241" s="73"/>
      <c r="C1241" s="74"/>
      <c r="D1241" s="72"/>
      <c r="E1241" s="75"/>
      <c r="F1241" s="76"/>
      <c r="G1241" s="76"/>
      <c r="H1241" s="77"/>
      <c r="I1241" s="77"/>
      <c r="J1241" s="78"/>
      <c r="L1241" s="72"/>
    </row>
    <row r="1242" spans="1:12">
      <c r="A1242" s="72"/>
      <c r="B1242" s="73"/>
      <c r="C1242" s="74"/>
      <c r="D1242" s="72"/>
      <c r="E1242" s="75"/>
      <c r="F1242" s="76"/>
      <c r="G1242" s="76"/>
      <c r="H1242" s="77"/>
      <c r="I1242" s="77"/>
      <c r="J1242" s="78"/>
      <c r="L1242" s="72"/>
    </row>
    <row r="1243" spans="1:12">
      <c r="A1243" s="72"/>
      <c r="B1243" s="73"/>
      <c r="C1243" s="74"/>
      <c r="D1243" s="72"/>
      <c r="E1243" s="75"/>
      <c r="F1243" s="76"/>
      <c r="G1243" s="76"/>
      <c r="H1243" s="77"/>
      <c r="I1243" s="77"/>
      <c r="J1243" s="78"/>
      <c r="L1243" s="72"/>
    </row>
    <row r="1244" spans="1:12">
      <c r="A1244" s="72"/>
      <c r="B1244" s="73"/>
      <c r="C1244" s="74"/>
      <c r="D1244" s="72"/>
      <c r="E1244" s="75"/>
      <c r="F1244" s="76"/>
      <c r="G1244" s="76"/>
      <c r="H1244" s="77"/>
      <c r="I1244" s="77"/>
      <c r="J1244" s="78"/>
      <c r="L1244" s="72"/>
    </row>
    <row r="1245" spans="1:12">
      <c r="A1245" s="72"/>
      <c r="B1245" s="73"/>
      <c r="C1245" s="74"/>
      <c r="D1245" s="72"/>
      <c r="E1245" s="75"/>
      <c r="F1245" s="76"/>
      <c r="G1245" s="76"/>
      <c r="H1245" s="77"/>
      <c r="I1245" s="77"/>
      <c r="J1245" s="78"/>
      <c r="L1245" s="72"/>
    </row>
    <row r="1246" spans="1:12">
      <c r="A1246" s="72"/>
      <c r="B1246" s="73"/>
      <c r="C1246" s="74"/>
      <c r="D1246" s="72"/>
      <c r="E1246" s="75"/>
      <c r="F1246" s="76"/>
      <c r="G1246" s="76"/>
      <c r="H1246" s="77"/>
      <c r="I1246" s="77"/>
      <c r="J1246" s="78"/>
      <c r="L1246" s="72"/>
    </row>
    <row r="1247" spans="1:12">
      <c r="A1247" s="72"/>
      <c r="B1247" s="73"/>
      <c r="C1247" s="74"/>
      <c r="D1247" s="72"/>
      <c r="E1247" s="75"/>
      <c r="F1247" s="76"/>
      <c r="G1247" s="76"/>
      <c r="H1247" s="77"/>
      <c r="I1247" s="77"/>
      <c r="J1247" s="78"/>
      <c r="L1247" s="72"/>
    </row>
    <row r="1248" spans="1:12">
      <c r="A1248" s="72"/>
      <c r="B1248" s="73"/>
      <c r="C1248" s="74"/>
      <c r="D1248" s="72"/>
      <c r="E1248" s="75"/>
      <c r="F1248" s="76"/>
      <c r="G1248" s="76"/>
      <c r="H1248" s="77"/>
      <c r="I1248" s="77"/>
      <c r="J1248" s="78"/>
      <c r="L1248" s="72"/>
    </row>
    <row r="1249" spans="1:12">
      <c r="A1249" s="72"/>
      <c r="B1249" s="73"/>
      <c r="C1249" s="74"/>
      <c r="D1249" s="72"/>
      <c r="E1249" s="75"/>
      <c r="F1249" s="76"/>
      <c r="G1249" s="76"/>
      <c r="H1249" s="77"/>
      <c r="I1249" s="77"/>
      <c r="J1249" s="78"/>
      <c r="L1249" s="72"/>
    </row>
    <row r="1250" spans="1:12">
      <c r="A1250" s="72"/>
      <c r="B1250" s="73"/>
      <c r="C1250" s="74"/>
      <c r="D1250" s="72"/>
      <c r="E1250" s="75"/>
      <c r="F1250" s="76"/>
      <c r="G1250" s="76"/>
      <c r="H1250" s="77"/>
      <c r="I1250" s="77"/>
      <c r="J1250" s="78"/>
      <c r="L1250" s="72"/>
    </row>
    <row r="1251" spans="1:12">
      <c r="A1251" s="72"/>
      <c r="B1251" s="73"/>
      <c r="C1251" s="74"/>
      <c r="D1251" s="72"/>
      <c r="E1251" s="75"/>
      <c r="F1251" s="76"/>
      <c r="G1251" s="76"/>
      <c r="H1251" s="77"/>
      <c r="I1251" s="77"/>
      <c r="J1251" s="78"/>
      <c r="L1251" s="72"/>
    </row>
    <row r="1252" spans="1:12">
      <c r="A1252" s="72"/>
      <c r="B1252" s="73"/>
      <c r="C1252" s="74"/>
      <c r="D1252" s="72"/>
      <c r="E1252" s="75"/>
      <c r="F1252" s="76"/>
      <c r="G1252" s="76"/>
      <c r="H1252" s="77"/>
      <c r="I1252" s="77"/>
      <c r="J1252" s="78"/>
      <c r="L1252" s="72"/>
    </row>
    <row r="1253" spans="1:12">
      <c r="A1253" s="72"/>
      <c r="B1253" s="73"/>
      <c r="C1253" s="74"/>
      <c r="D1253" s="72"/>
      <c r="E1253" s="75"/>
      <c r="F1253" s="76"/>
      <c r="G1253" s="76"/>
      <c r="H1253" s="77"/>
      <c r="I1253" s="77"/>
      <c r="J1253" s="78"/>
      <c r="L1253" s="72"/>
    </row>
    <row r="1254" spans="1:12">
      <c r="A1254" s="72"/>
      <c r="B1254" s="73"/>
      <c r="C1254" s="74"/>
      <c r="D1254" s="72"/>
      <c r="E1254" s="75"/>
      <c r="F1254" s="76"/>
      <c r="G1254" s="76"/>
      <c r="H1254" s="77"/>
      <c r="I1254" s="77"/>
      <c r="J1254" s="78"/>
      <c r="L1254" s="72"/>
    </row>
    <row r="1255" spans="1:12">
      <c r="A1255" s="72"/>
      <c r="B1255" s="73"/>
      <c r="C1255" s="74"/>
      <c r="D1255" s="72"/>
      <c r="E1255" s="75"/>
      <c r="F1255" s="76"/>
      <c r="G1255" s="76"/>
      <c r="H1255" s="77"/>
      <c r="I1255" s="77"/>
      <c r="J1255" s="78"/>
      <c r="L1255" s="72"/>
    </row>
    <row r="1256" spans="1:12">
      <c r="A1256" s="72"/>
      <c r="B1256" s="73"/>
      <c r="C1256" s="74"/>
      <c r="D1256" s="72"/>
      <c r="E1256" s="75"/>
      <c r="F1256" s="76"/>
      <c r="G1256" s="76"/>
      <c r="H1256" s="77"/>
      <c r="I1256" s="77"/>
      <c r="J1256" s="78"/>
      <c r="L1256" s="72"/>
    </row>
    <row r="1257" spans="1:12">
      <c r="A1257" s="72"/>
      <c r="B1257" s="73"/>
      <c r="C1257" s="74"/>
      <c r="D1257" s="72"/>
      <c r="E1257" s="75"/>
      <c r="F1257" s="76"/>
      <c r="G1257" s="76"/>
      <c r="H1257" s="77"/>
      <c r="I1257" s="77"/>
      <c r="J1257" s="78"/>
      <c r="L1257" s="72"/>
    </row>
    <row r="1258" spans="1:12">
      <c r="A1258" s="72"/>
      <c r="B1258" s="73"/>
      <c r="C1258" s="74"/>
      <c r="D1258" s="72"/>
      <c r="E1258" s="75"/>
      <c r="F1258" s="76"/>
      <c r="G1258" s="76"/>
      <c r="H1258" s="77"/>
      <c r="I1258" s="77"/>
      <c r="J1258" s="78"/>
      <c r="L1258" s="72"/>
    </row>
    <row r="1259" spans="1:12">
      <c r="A1259" s="72"/>
      <c r="B1259" s="73"/>
      <c r="C1259" s="74"/>
      <c r="D1259" s="72"/>
      <c r="E1259" s="75"/>
      <c r="F1259" s="76"/>
      <c r="G1259" s="76"/>
      <c r="H1259" s="77"/>
      <c r="I1259" s="77"/>
      <c r="J1259" s="78"/>
      <c r="L1259" s="72"/>
    </row>
    <row r="1260" spans="1:12">
      <c r="A1260" s="72"/>
      <c r="B1260" s="73"/>
      <c r="C1260" s="74"/>
      <c r="D1260" s="72"/>
      <c r="E1260" s="75"/>
      <c r="F1260" s="76"/>
      <c r="G1260" s="76"/>
      <c r="H1260" s="77"/>
      <c r="I1260" s="77"/>
      <c r="J1260" s="78"/>
      <c r="L1260" s="72"/>
    </row>
    <row r="1261" spans="1:12">
      <c r="A1261" s="72"/>
      <c r="B1261" s="73"/>
      <c r="C1261" s="74"/>
      <c r="D1261" s="72"/>
      <c r="E1261" s="75"/>
      <c r="F1261" s="76"/>
      <c r="G1261" s="76"/>
      <c r="H1261" s="77"/>
      <c r="I1261" s="77"/>
      <c r="J1261" s="78"/>
      <c r="L1261" s="72"/>
    </row>
    <row r="1262" spans="1:12">
      <c r="A1262" s="72"/>
      <c r="B1262" s="73"/>
      <c r="C1262" s="74"/>
      <c r="D1262" s="72"/>
      <c r="E1262" s="75"/>
      <c r="F1262" s="76"/>
      <c r="G1262" s="76"/>
      <c r="H1262" s="77"/>
      <c r="I1262" s="77"/>
      <c r="J1262" s="78"/>
      <c r="L1262" s="72"/>
    </row>
    <row r="1263" spans="1:12">
      <c r="A1263" s="72"/>
      <c r="B1263" s="73"/>
      <c r="C1263" s="74"/>
      <c r="D1263" s="72"/>
      <c r="E1263" s="75"/>
      <c r="F1263" s="76"/>
      <c r="G1263" s="76"/>
      <c r="H1263" s="77"/>
      <c r="I1263" s="77"/>
      <c r="J1263" s="78"/>
      <c r="L1263" s="72"/>
    </row>
    <row r="1264" spans="1:12">
      <c r="A1264" s="72"/>
      <c r="B1264" s="73"/>
      <c r="C1264" s="74"/>
      <c r="D1264" s="72"/>
      <c r="E1264" s="75"/>
      <c r="F1264" s="76"/>
      <c r="G1264" s="76"/>
      <c r="H1264" s="77"/>
      <c r="I1264" s="77"/>
      <c r="J1264" s="78"/>
      <c r="L1264" s="72"/>
    </row>
    <row r="1265" spans="1:12">
      <c r="A1265" s="72"/>
      <c r="B1265" s="73"/>
      <c r="C1265" s="74"/>
      <c r="D1265" s="72"/>
      <c r="E1265" s="75"/>
      <c r="F1265" s="76"/>
      <c r="G1265" s="76"/>
      <c r="H1265" s="77"/>
      <c r="I1265" s="77"/>
      <c r="J1265" s="78"/>
      <c r="L1265" s="72"/>
    </row>
    <row r="1266" spans="1:12">
      <c r="A1266" s="72"/>
      <c r="B1266" s="73"/>
      <c r="C1266" s="74"/>
      <c r="D1266" s="72"/>
      <c r="E1266" s="75"/>
      <c r="F1266" s="76"/>
      <c r="G1266" s="76"/>
      <c r="H1266" s="77"/>
      <c r="I1266" s="77"/>
      <c r="J1266" s="78"/>
      <c r="L1266" s="72"/>
    </row>
    <row r="1267" spans="1:12">
      <c r="A1267" s="72"/>
      <c r="B1267" s="73"/>
      <c r="C1267" s="74"/>
      <c r="D1267" s="72"/>
      <c r="E1267" s="75"/>
      <c r="F1267" s="76"/>
      <c r="G1267" s="76"/>
      <c r="H1267" s="77"/>
      <c r="I1267" s="77"/>
      <c r="J1267" s="78"/>
      <c r="L1267" s="72"/>
    </row>
    <row r="1268" spans="1:12">
      <c r="A1268" s="72"/>
      <c r="B1268" s="73"/>
      <c r="C1268" s="74"/>
      <c r="D1268" s="72"/>
      <c r="E1268" s="75"/>
      <c r="F1268" s="76"/>
      <c r="G1268" s="76"/>
      <c r="H1268" s="77"/>
      <c r="I1268" s="77"/>
      <c r="J1268" s="78"/>
      <c r="L1268" s="72"/>
    </row>
    <row r="1269" spans="1:12">
      <c r="A1269" s="72"/>
      <c r="B1269" s="73"/>
      <c r="C1269" s="74"/>
      <c r="D1269" s="72"/>
      <c r="E1269" s="75"/>
      <c r="F1269" s="76"/>
      <c r="G1269" s="76"/>
      <c r="H1269" s="77"/>
      <c r="I1269" s="77"/>
      <c r="J1269" s="78"/>
      <c r="L1269" s="72"/>
    </row>
    <row r="1270" spans="1:12">
      <c r="A1270" s="72"/>
      <c r="B1270" s="73"/>
      <c r="C1270" s="74"/>
      <c r="D1270" s="72"/>
      <c r="E1270" s="75"/>
      <c r="F1270" s="76"/>
      <c r="G1270" s="76"/>
      <c r="H1270" s="77"/>
      <c r="I1270" s="77"/>
      <c r="J1270" s="78"/>
      <c r="L1270" s="72"/>
    </row>
    <row r="1271" spans="1:12">
      <c r="A1271" s="72"/>
      <c r="B1271" s="73"/>
      <c r="C1271" s="74"/>
      <c r="D1271" s="72"/>
      <c r="E1271" s="75"/>
      <c r="F1271" s="76"/>
      <c r="G1271" s="76"/>
      <c r="H1271" s="77"/>
      <c r="I1271" s="77"/>
      <c r="J1271" s="78"/>
      <c r="L1271" s="72"/>
    </row>
    <row r="1272" spans="1:12">
      <c r="A1272" s="72"/>
      <c r="B1272" s="73"/>
      <c r="C1272" s="74"/>
      <c r="D1272" s="72"/>
      <c r="E1272" s="75"/>
      <c r="F1272" s="76"/>
      <c r="G1272" s="76"/>
      <c r="H1272" s="77"/>
      <c r="I1272" s="77"/>
      <c r="J1272" s="78"/>
      <c r="L1272" s="72"/>
    </row>
    <row r="1273" spans="1:12">
      <c r="A1273" s="72"/>
      <c r="B1273" s="73"/>
      <c r="C1273" s="74"/>
      <c r="D1273" s="72"/>
      <c r="E1273" s="75"/>
      <c r="F1273" s="76"/>
      <c r="G1273" s="76"/>
      <c r="H1273" s="77"/>
      <c r="I1273" s="77"/>
      <c r="J1273" s="78"/>
      <c r="L1273" s="72"/>
    </row>
    <row r="1274" spans="1:12">
      <c r="A1274" s="72"/>
      <c r="B1274" s="73"/>
      <c r="C1274" s="74"/>
      <c r="D1274" s="72"/>
      <c r="E1274" s="75"/>
      <c r="F1274" s="76"/>
      <c r="G1274" s="76"/>
      <c r="H1274" s="77"/>
      <c r="I1274" s="77"/>
      <c r="J1274" s="78"/>
      <c r="L1274" s="72"/>
    </row>
    <row r="1275" spans="1:12">
      <c r="A1275" s="72"/>
      <c r="B1275" s="73"/>
      <c r="C1275" s="74"/>
      <c r="D1275" s="72"/>
      <c r="E1275" s="75"/>
      <c r="F1275" s="76"/>
      <c r="G1275" s="76"/>
      <c r="H1275" s="77"/>
      <c r="I1275" s="77"/>
      <c r="J1275" s="78"/>
      <c r="L1275" s="72"/>
    </row>
    <row r="1276" spans="1:12">
      <c r="A1276" s="72"/>
      <c r="B1276" s="73"/>
      <c r="C1276" s="74"/>
      <c r="D1276" s="72"/>
      <c r="E1276" s="75"/>
      <c r="F1276" s="76"/>
      <c r="G1276" s="76"/>
      <c r="H1276" s="77"/>
      <c r="I1276" s="77"/>
      <c r="J1276" s="78"/>
      <c r="L1276" s="72"/>
    </row>
    <row r="1277" spans="1:12">
      <c r="A1277" s="72"/>
      <c r="B1277" s="73"/>
      <c r="C1277" s="74"/>
      <c r="D1277" s="72"/>
      <c r="E1277" s="75"/>
      <c r="F1277" s="76"/>
      <c r="G1277" s="76"/>
      <c r="H1277" s="77"/>
      <c r="I1277" s="77"/>
      <c r="J1277" s="78"/>
      <c r="L1277" s="72"/>
    </row>
    <row r="1278" spans="1:12">
      <c r="A1278" s="72"/>
      <c r="B1278" s="73"/>
      <c r="C1278" s="74"/>
      <c r="D1278" s="72"/>
      <c r="E1278" s="75"/>
      <c r="F1278" s="76"/>
      <c r="G1278" s="76"/>
      <c r="H1278" s="77"/>
      <c r="I1278" s="77"/>
      <c r="J1278" s="78"/>
      <c r="L1278" s="72"/>
    </row>
    <row r="1279" spans="1:12">
      <c r="A1279" s="72"/>
      <c r="B1279" s="73"/>
      <c r="C1279" s="74"/>
      <c r="D1279" s="72"/>
      <c r="E1279" s="75"/>
      <c r="F1279" s="76"/>
      <c r="G1279" s="76"/>
      <c r="H1279" s="77"/>
      <c r="I1279" s="77"/>
      <c r="J1279" s="78"/>
      <c r="L1279" s="72"/>
    </row>
    <row r="1280" spans="1:12">
      <c r="A1280" s="72"/>
      <c r="B1280" s="73"/>
      <c r="C1280" s="74"/>
      <c r="D1280" s="72"/>
      <c r="E1280" s="75"/>
      <c r="F1280" s="76"/>
      <c r="G1280" s="76"/>
      <c r="H1280" s="77"/>
      <c r="I1280" s="77"/>
      <c r="J1280" s="78"/>
      <c r="L1280" s="72"/>
    </row>
    <row r="1281" spans="1:12">
      <c r="A1281" s="72"/>
      <c r="B1281" s="73"/>
      <c r="C1281" s="74"/>
      <c r="D1281" s="72"/>
      <c r="E1281" s="75"/>
      <c r="F1281" s="76"/>
      <c r="G1281" s="76"/>
      <c r="H1281" s="77"/>
      <c r="I1281" s="77"/>
      <c r="J1281" s="78"/>
      <c r="L1281" s="72"/>
    </row>
    <row r="1282" spans="1:12">
      <c r="A1282" s="72"/>
      <c r="B1282" s="73"/>
      <c r="C1282" s="74"/>
      <c r="D1282" s="72"/>
      <c r="E1282" s="75"/>
      <c r="F1282" s="76"/>
      <c r="G1282" s="76"/>
      <c r="H1282" s="77"/>
      <c r="I1282" s="77"/>
      <c r="J1282" s="78"/>
      <c r="L1282" s="72"/>
    </row>
    <row r="1283" spans="1:12">
      <c r="A1283" s="72"/>
      <c r="B1283" s="73"/>
      <c r="C1283" s="74"/>
      <c r="D1283" s="72"/>
      <c r="E1283" s="75"/>
      <c r="F1283" s="76"/>
      <c r="G1283" s="76"/>
      <c r="H1283" s="77"/>
      <c r="I1283" s="77"/>
      <c r="J1283" s="78"/>
      <c r="L1283" s="72"/>
    </row>
    <row r="1284" spans="1:12">
      <c r="A1284" s="72"/>
      <c r="B1284" s="73"/>
      <c r="C1284" s="74"/>
      <c r="D1284" s="72"/>
      <c r="E1284" s="75"/>
      <c r="F1284" s="76"/>
      <c r="G1284" s="76"/>
      <c r="H1284" s="77"/>
      <c r="I1284" s="77"/>
      <c r="J1284" s="78"/>
      <c r="L1284" s="72"/>
    </row>
    <row r="1285" spans="1:12">
      <c r="A1285" s="72"/>
      <c r="B1285" s="73"/>
      <c r="C1285" s="74"/>
      <c r="D1285" s="72"/>
      <c r="E1285" s="75"/>
      <c r="F1285" s="76"/>
      <c r="G1285" s="76"/>
      <c r="H1285" s="77"/>
      <c r="I1285" s="77"/>
      <c r="J1285" s="78"/>
      <c r="L1285" s="72"/>
    </row>
    <row r="1286" spans="1:12">
      <c r="A1286" s="72"/>
      <c r="B1286" s="73"/>
      <c r="C1286" s="74"/>
      <c r="D1286" s="72"/>
      <c r="E1286" s="75"/>
      <c r="F1286" s="76"/>
      <c r="G1286" s="76"/>
      <c r="H1286" s="77"/>
      <c r="I1286" s="77"/>
      <c r="J1286" s="78"/>
      <c r="L1286" s="72"/>
    </row>
    <row r="1287" spans="1:12">
      <c r="A1287" s="72"/>
      <c r="B1287" s="73"/>
      <c r="C1287" s="74"/>
      <c r="D1287" s="72"/>
      <c r="E1287" s="75"/>
      <c r="F1287" s="76"/>
      <c r="G1287" s="76"/>
      <c r="H1287" s="77"/>
      <c r="I1287" s="77"/>
      <c r="J1287" s="78"/>
      <c r="L1287" s="72"/>
    </row>
    <row r="1288" spans="1:12">
      <c r="A1288" s="72"/>
      <c r="B1288" s="73"/>
      <c r="C1288" s="74"/>
      <c r="D1288" s="72"/>
      <c r="E1288" s="75"/>
      <c r="F1288" s="76"/>
      <c r="G1288" s="76"/>
      <c r="H1288" s="77"/>
      <c r="I1288" s="77"/>
      <c r="J1288" s="78"/>
      <c r="L1288" s="72"/>
    </row>
    <row r="1289" spans="1:12">
      <c r="A1289" s="72"/>
      <c r="B1289" s="73"/>
      <c r="C1289" s="74"/>
      <c r="D1289" s="72"/>
      <c r="E1289" s="75"/>
      <c r="F1289" s="76"/>
      <c r="G1289" s="76"/>
      <c r="H1289" s="77"/>
      <c r="I1289" s="77"/>
      <c r="J1289" s="78"/>
      <c r="L1289" s="72"/>
    </row>
    <row r="1290" spans="1:12">
      <c r="A1290" s="72"/>
      <c r="B1290" s="73"/>
      <c r="C1290" s="74"/>
      <c r="D1290" s="72"/>
      <c r="E1290" s="75"/>
      <c r="F1290" s="76"/>
      <c r="G1290" s="76"/>
      <c r="H1290" s="77"/>
      <c r="I1290" s="77"/>
      <c r="J1290" s="78"/>
      <c r="L1290" s="72"/>
    </row>
    <row r="1291" spans="1:12">
      <c r="A1291" s="72"/>
      <c r="B1291" s="73"/>
      <c r="C1291" s="74"/>
      <c r="D1291" s="72"/>
      <c r="E1291" s="75"/>
      <c r="F1291" s="76"/>
      <c r="G1291" s="76"/>
      <c r="H1291" s="77"/>
      <c r="I1291" s="77"/>
      <c r="J1291" s="78"/>
      <c r="L1291" s="72"/>
    </row>
    <row r="1292" spans="1:12">
      <c r="A1292" s="72"/>
      <c r="B1292" s="73"/>
      <c r="C1292" s="74"/>
      <c r="D1292" s="72"/>
      <c r="E1292" s="75"/>
      <c r="F1292" s="76"/>
      <c r="G1292" s="76"/>
      <c r="H1292" s="77"/>
      <c r="I1292" s="77"/>
      <c r="J1292" s="78"/>
      <c r="L1292" s="72"/>
    </row>
    <row r="1293" spans="1:12">
      <c r="A1293" s="72"/>
      <c r="B1293" s="73"/>
      <c r="C1293" s="74"/>
      <c r="D1293" s="72"/>
      <c r="E1293" s="75"/>
      <c r="F1293" s="76"/>
      <c r="G1293" s="76"/>
      <c r="H1293" s="77"/>
      <c r="I1293" s="77"/>
      <c r="J1293" s="78"/>
      <c r="L1293" s="72"/>
    </row>
    <row r="1294" spans="1:12">
      <c r="A1294" s="72"/>
      <c r="B1294" s="73"/>
      <c r="C1294" s="74"/>
      <c r="D1294" s="72"/>
      <c r="E1294" s="75"/>
      <c r="F1294" s="76"/>
      <c r="G1294" s="76"/>
      <c r="H1294" s="77"/>
      <c r="I1294" s="77"/>
      <c r="J1294" s="78"/>
      <c r="L1294" s="72"/>
    </row>
    <row r="1295" spans="1:12">
      <c r="A1295" s="72"/>
      <c r="B1295" s="73"/>
      <c r="C1295" s="74"/>
      <c r="D1295" s="72"/>
      <c r="E1295" s="75"/>
      <c r="F1295" s="76"/>
      <c r="G1295" s="76"/>
      <c r="H1295" s="77"/>
      <c r="I1295" s="77"/>
      <c r="J1295" s="78"/>
      <c r="L1295" s="72"/>
    </row>
    <row r="1296" spans="1:12">
      <c r="A1296" s="72"/>
      <c r="B1296" s="73"/>
      <c r="C1296" s="74"/>
      <c r="D1296" s="72"/>
      <c r="E1296" s="75"/>
      <c r="F1296" s="76"/>
      <c r="G1296" s="76"/>
      <c r="H1296" s="77"/>
      <c r="I1296" s="77"/>
      <c r="J1296" s="78"/>
      <c r="L1296" s="72"/>
    </row>
    <row r="1297" spans="1:12">
      <c r="A1297" s="72"/>
      <c r="B1297" s="73"/>
      <c r="C1297" s="74"/>
      <c r="D1297" s="72"/>
      <c r="E1297" s="75"/>
      <c r="F1297" s="76"/>
      <c r="G1297" s="76"/>
      <c r="H1297" s="77"/>
      <c r="I1297" s="77"/>
      <c r="J1297" s="78"/>
      <c r="L1297" s="72"/>
    </row>
    <row r="1298" spans="1:12">
      <c r="A1298" s="72"/>
      <c r="B1298" s="73"/>
      <c r="C1298" s="74"/>
      <c r="D1298" s="72"/>
      <c r="E1298" s="75"/>
      <c r="F1298" s="76"/>
      <c r="G1298" s="76"/>
      <c r="H1298" s="77"/>
      <c r="I1298" s="77"/>
      <c r="J1298" s="78"/>
      <c r="L1298" s="72"/>
    </row>
    <row r="1299" spans="1:12">
      <c r="A1299" s="72"/>
      <c r="B1299" s="73"/>
      <c r="C1299" s="74"/>
      <c r="D1299" s="72"/>
      <c r="E1299" s="75"/>
      <c r="F1299" s="76"/>
      <c r="G1299" s="76"/>
      <c r="H1299" s="77"/>
      <c r="I1299" s="77"/>
      <c r="J1299" s="78"/>
      <c r="L1299" s="72"/>
    </row>
    <row r="1300" spans="1:12">
      <c r="A1300" s="72"/>
      <c r="B1300" s="73"/>
      <c r="C1300" s="74"/>
      <c r="D1300" s="72"/>
      <c r="E1300" s="75"/>
      <c r="F1300" s="76"/>
      <c r="G1300" s="76"/>
      <c r="H1300" s="77"/>
      <c r="I1300" s="77"/>
      <c r="J1300" s="78"/>
      <c r="L1300" s="72"/>
    </row>
    <row r="1301" spans="1:12">
      <c r="A1301" s="72"/>
      <c r="B1301" s="73"/>
      <c r="C1301" s="74"/>
      <c r="D1301" s="72"/>
      <c r="E1301" s="75"/>
      <c r="F1301" s="76"/>
      <c r="G1301" s="76"/>
      <c r="H1301" s="77"/>
      <c r="I1301" s="77"/>
      <c r="J1301" s="78"/>
      <c r="L1301" s="72"/>
    </row>
    <row r="1302" spans="1:12">
      <c r="A1302" s="72"/>
      <c r="B1302" s="73"/>
      <c r="C1302" s="74"/>
      <c r="D1302" s="72"/>
      <c r="E1302" s="75"/>
      <c r="F1302" s="76"/>
      <c r="G1302" s="76"/>
      <c r="H1302" s="77"/>
      <c r="I1302" s="77"/>
      <c r="J1302" s="78"/>
      <c r="L1302" s="72"/>
    </row>
    <row r="1303" spans="1:12">
      <c r="A1303" s="72"/>
      <c r="B1303" s="73"/>
      <c r="C1303" s="74"/>
      <c r="D1303" s="72"/>
      <c r="E1303" s="75"/>
      <c r="F1303" s="76"/>
      <c r="G1303" s="76"/>
      <c r="H1303" s="77"/>
      <c r="I1303" s="77"/>
      <c r="J1303" s="78"/>
      <c r="L1303" s="72"/>
    </row>
    <row r="1304" spans="1:12">
      <c r="A1304" s="72"/>
      <c r="B1304" s="73"/>
      <c r="C1304" s="74"/>
      <c r="D1304" s="72"/>
      <c r="E1304" s="75"/>
      <c r="F1304" s="76"/>
      <c r="G1304" s="76"/>
      <c r="H1304" s="77"/>
      <c r="I1304" s="77"/>
      <c r="J1304" s="78"/>
      <c r="L1304" s="72"/>
    </row>
    <row r="1305" spans="1:12">
      <c r="A1305" s="72"/>
      <c r="B1305" s="73"/>
      <c r="C1305" s="74"/>
      <c r="D1305" s="72"/>
      <c r="E1305" s="75"/>
      <c r="F1305" s="76"/>
      <c r="G1305" s="76"/>
      <c r="H1305" s="77"/>
      <c r="I1305" s="77"/>
      <c r="J1305" s="78"/>
      <c r="L1305" s="72"/>
    </row>
    <row r="1306" spans="1:12">
      <c r="A1306" s="72"/>
      <c r="B1306" s="73"/>
      <c r="C1306" s="74"/>
      <c r="D1306" s="72"/>
      <c r="E1306" s="75"/>
      <c r="F1306" s="76"/>
      <c r="G1306" s="76"/>
      <c r="H1306" s="77"/>
      <c r="I1306" s="77"/>
      <c r="J1306" s="78"/>
      <c r="L1306" s="72"/>
    </row>
    <row r="1307" spans="1:12">
      <c r="A1307" s="72"/>
      <c r="B1307" s="73"/>
      <c r="C1307" s="74"/>
      <c r="D1307" s="72"/>
      <c r="E1307" s="75"/>
      <c r="F1307" s="76"/>
      <c r="G1307" s="76"/>
      <c r="H1307" s="77"/>
      <c r="I1307" s="77"/>
      <c r="J1307" s="78"/>
      <c r="L1307" s="72"/>
    </row>
    <row r="1308" spans="1:12">
      <c r="A1308" s="72"/>
      <c r="B1308" s="73"/>
      <c r="C1308" s="74"/>
      <c r="D1308" s="72"/>
      <c r="E1308" s="75"/>
      <c r="F1308" s="76"/>
      <c r="G1308" s="76"/>
      <c r="H1308" s="77"/>
      <c r="I1308" s="77"/>
      <c r="J1308" s="78"/>
      <c r="L1308" s="72"/>
    </row>
    <row r="1309" spans="1:12">
      <c r="A1309" s="72"/>
      <c r="B1309" s="73"/>
      <c r="C1309" s="74"/>
      <c r="D1309" s="72"/>
      <c r="E1309" s="75"/>
      <c r="F1309" s="76"/>
      <c r="G1309" s="76"/>
      <c r="H1309" s="77"/>
      <c r="I1309" s="77"/>
      <c r="J1309" s="78"/>
      <c r="L1309" s="72"/>
    </row>
    <row r="1310" spans="1:12">
      <c r="A1310" s="72"/>
      <c r="B1310" s="73"/>
      <c r="C1310" s="74"/>
      <c r="D1310" s="72"/>
      <c r="E1310" s="75"/>
      <c r="F1310" s="76"/>
      <c r="G1310" s="76"/>
      <c r="H1310" s="77"/>
      <c r="I1310" s="77"/>
      <c r="J1310" s="78"/>
      <c r="L1310" s="72"/>
    </row>
    <row r="1311" spans="1:12">
      <c r="A1311" s="72"/>
      <c r="B1311" s="73"/>
      <c r="C1311" s="74"/>
      <c r="D1311" s="72"/>
      <c r="E1311" s="75"/>
      <c r="F1311" s="76"/>
      <c r="G1311" s="76"/>
      <c r="H1311" s="77"/>
      <c r="I1311" s="77"/>
      <c r="J1311" s="78"/>
      <c r="L1311" s="72"/>
    </row>
    <row r="1312" spans="1:12">
      <c r="A1312" s="72"/>
      <c r="B1312" s="73"/>
      <c r="C1312" s="74"/>
      <c r="D1312" s="72"/>
      <c r="E1312" s="75"/>
      <c r="F1312" s="76"/>
      <c r="G1312" s="76"/>
      <c r="H1312" s="77"/>
      <c r="I1312" s="77"/>
      <c r="J1312" s="78"/>
      <c r="L1312" s="72"/>
    </row>
    <row r="1313" spans="1:12">
      <c r="A1313" s="72"/>
      <c r="B1313" s="73"/>
      <c r="C1313" s="74"/>
      <c r="D1313" s="72"/>
      <c r="E1313" s="75"/>
      <c r="F1313" s="76"/>
      <c r="G1313" s="76"/>
      <c r="H1313" s="77"/>
      <c r="I1313" s="77"/>
      <c r="J1313" s="78"/>
      <c r="L1313" s="72"/>
    </row>
    <row r="1314" spans="1:12">
      <c r="A1314" s="72"/>
      <c r="B1314" s="73"/>
      <c r="C1314" s="74"/>
      <c r="D1314" s="72"/>
      <c r="E1314" s="75"/>
      <c r="F1314" s="76"/>
      <c r="G1314" s="76"/>
      <c r="H1314" s="77"/>
      <c r="I1314" s="77"/>
      <c r="J1314" s="78"/>
      <c r="L1314" s="72"/>
    </row>
    <row r="1315" spans="1:12">
      <c r="A1315" s="72"/>
      <c r="B1315" s="73"/>
      <c r="C1315" s="74"/>
      <c r="D1315" s="72"/>
      <c r="E1315" s="75"/>
      <c r="F1315" s="76"/>
      <c r="G1315" s="76"/>
      <c r="H1315" s="77"/>
      <c r="I1315" s="77"/>
      <c r="J1315" s="78"/>
      <c r="L1315" s="72"/>
    </row>
    <row r="1316" spans="1:12">
      <c r="A1316" s="72"/>
      <c r="B1316" s="73"/>
      <c r="C1316" s="74"/>
      <c r="D1316" s="72"/>
      <c r="E1316" s="75"/>
      <c r="F1316" s="76"/>
      <c r="G1316" s="76"/>
      <c r="H1316" s="77"/>
      <c r="I1316" s="77"/>
      <c r="J1316" s="78"/>
      <c r="L1316" s="72"/>
    </row>
    <row r="1317" spans="1:12">
      <c r="A1317" s="72"/>
      <c r="B1317" s="73"/>
      <c r="C1317" s="74"/>
      <c r="D1317" s="72"/>
      <c r="E1317" s="75"/>
      <c r="F1317" s="76"/>
      <c r="G1317" s="76"/>
      <c r="H1317" s="77"/>
      <c r="I1317" s="77"/>
      <c r="J1317" s="78"/>
      <c r="L1317" s="72"/>
    </row>
    <row r="1318" spans="1:12">
      <c r="A1318" s="72"/>
      <c r="B1318" s="73"/>
      <c r="C1318" s="74"/>
      <c r="D1318" s="72"/>
      <c r="E1318" s="75"/>
      <c r="F1318" s="76"/>
      <c r="G1318" s="76"/>
      <c r="H1318" s="77"/>
      <c r="I1318" s="77"/>
      <c r="J1318" s="78"/>
      <c r="L1318" s="72"/>
    </row>
    <row r="1319" spans="1:12">
      <c r="A1319" s="72"/>
      <c r="B1319" s="73"/>
      <c r="C1319" s="74"/>
      <c r="D1319" s="72"/>
      <c r="E1319" s="75"/>
      <c r="F1319" s="76"/>
      <c r="G1319" s="76"/>
      <c r="H1319" s="77"/>
      <c r="I1319" s="77"/>
      <c r="J1319" s="78"/>
      <c r="L1319" s="72"/>
    </row>
    <row r="1320" spans="1:12">
      <c r="A1320" s="72"/>
      <c r="B1320" s="73"/>
      <c r="C1320" s="74"/>
      <c r="D1320" s="72"/>
      <c r="E1320" s="75"/>
      <c r="F1320" s="76"/>
      <c r="G1320" s="76"/>
      <c r="H1320" s="77"/>
      <c r="I1320" s="77"/>
      <c r="J1320" s="78"/>
      <c r="L1320" s="72"/>
    </row>
    <row r="1321" spans="1:12">
      <c r="A1321" s="72"/>
      <c r="B1321" s="73"/>
      <c r="C1321" s="74"/>
      <c r="D1321" s="72"/>
      <c r="E1321" s="75"/>
      <c r="F1321" s="76"/>
      <c r="G1321" s="76"/>
      <c r="H1321" s="77"/>
      <c r="I1321" s="77"/>
      <c r="J1321" s="78"/>
      <c r="L1321" s="72"/>
    </row>
    <row r="1322" spans="1:12">
      <c r="A1322" s="72"/>
      <c r="B1322" s="73"/>
      <c r="C1322" s="74"/>
      <c r="D1322" s="72"/>
      <c r="E1322" s="75"/>
      <c r="F1322" s="76"/>
      <c r="G1322" s="76"/>
      <c r="H1322" s="77"/>
      <c r="I1322" s="77"/>
      <c r="J1322" s="78"/>
      <c r="L1322" s="72"/>
    </row>
    <row r="1323" spans="1:12">
      <c r="A1323" s="72"/>
      <c r="B1323" s="73"/>
      <c r="C1323" s="74"/>
      <c r="D1323" s="72"/>
      <c r="E1323" s="75"/>
      <c r="F1323" s="76"/>
      <c r="G1323" s="76"/>
      <c r="H1323" s="77"/>
      <c r="I1323" s="77"/>
      <c r="J1323" s="78"/>
      <c r="L1323" s="72"/>
    </row>
    <row r="1324" spans="1:12">
      <c r="A1324" s="72"/>
      <c r="B1324" s="73"/>
      <c r="C1324" s="74"/>
      <c r="D1324" s="72"/>
      <c r="E1324" s="75"/>
      <c r="F1324" s="76"/>
      <c r="G1324" s="76"/>
      <c r="H1324" s="77"/>
      <c r="I1324" s="77"/>
      <c r="J1324" s="78"/>
      <c r="L1324" s="72"/>
    </row>
    <row r="1325" spans="1:12">
      <c r="A1325" s="72"/>
      <c r="B1325" s="73"/>
      <c r="C1325" s="74"/>
      <c r="D1325" s="72"/>
      <c r="E1325" s="75"/>
      <c r="F1325" s="76"/>
      <c r="G1325" s="76"/>
      <c r="H1325" s="77"/>
      <c r="I1325" s="77"/>
      <c r="J1325" s="78"/>
      <c r="L1325" s="72"/>
    </row>
    <row r="1326" spans="1:12">
      <c r="A1326" s="72"/>
      <c r="B1326" s="73"/>
      <c r="C1326" s="74"/>
      <c r="D1326" s="72"/>
      <c r="E1326" s="75"/>
      <c r="F1326" s="76"/>
      <c r="G1326" s="76"/>
      <c r="H1326" s="77"/>
      <c r="I1326" s="77"/>
      <c r="J1326" s="78"/>
      <c r="L1326" s="72"/>
    </row>
    <row r="1327" spans="1:12">
      <c r="A1327" s="72"/>
      <c r="B1327" s="73"/>
      <c r="C1327" s="74"/>
      <c r="D1327" s="72"/>
      <c r="E1327" s="75"/>
      <c r="F1327" s="76"/>
      <c r="G1327" s="76"/>
      <c r="H1327" s="77"/>
      <c r="I1327" s="77"/>
      <c r="J1327" s="78"/>
      <c r="L1327" s="72"/>
    </row>
    <row r="1328" spans="1:12">
      <c r="A1328" s="72"/>
      <c r="B1328" s="73"/>
      <c r="C1328" s="74"/>
      <c r="D1328" s="72"/>
      <c r="E1328" s="75"/>
      <c r="F1328" s="76"/>
      <c r="G1328" s="76"/>
      <c r="H1328" s="77"/>
      <c r="I1328" s="77"/>
      <c r="J1328" s="78"/>
      <c r="L1328" s="72"/>
    </row>
    <row r="1329" spans="1:12">
      <c r="A1329" s="72"/>
      <c r="B1329" s="73"/>
      <c r="C1329" s="74"/>
      <c r="D1329" s="72"/>
      <c r="E1329" s="75"/>
      <c r="F1329" s="76"/>
      <c r="G1329" s="76"/>
      <c r="H1329" s="77"/>
      <c r="I1329" s="77"/>
      <c r="J1329" s="78"/>
      <c r="L1329" s="72"/>
    </row>
    <row r="1330" spans="1:12">
      <c r="A1330" s="72"/>
      <c r="B1330" s="73"/>
      <c r="C1330" s="74"/>
      <c r="D1330" s="72"/>
      <c r="E1330" s="75"/>
      <c r="F1330" s="76"/>
      <c r="G1330" s="76"/>
      <c r="H1330" s="77"/>
      <c r="I1330" s="77"/>
      <c r="J1330" s="78"/>
      <c r="L1330" s="72"/>
    </row>
    <row r="1331" spans="1:12">
      <c r="A1331" s="72"/>
      <c r="B1331" s="73"/>
      <c r="C1331" s="74"/>
      <c r="D1331" s="72"/>
      <c r="E1331" s="75"/>
      <c r="F1331" s="76"/>
      <c r="G1331" s="76"/>
      <c r="H1331" s="77"/>
      <c r="I1331" s="77"/>
      <c r="J1331" s="78"/>
      <c r="L1331" s="72"/>
    </row>
    <row r="1332" spans="1:12">
      <c r="A1332" s="72"/>
      <c r="B1332" s="73"/>
      <c r="C1332" s="74"/>
      <c r="D1332" s="72"/>
      <c r="E1332" s="75"/>
      <c r="F1332" s="76"/>
      <c r="G1332" s="76"/>
      <c r="H1332" s="77"/>
      <c r="I1332" s="77"/>
      <c r="J1332" s="78"/>
      <c r="L1332" s="72"/>
    </row>
    <row r="1333" spans="1:12">
      <c r="A1333" s="72"/>
      <c r="B1333" s="73"/>
      <c r="C1333" s="74"/>
      <c r="D1333" s="72"/>
      <c r="E1333" s="75"/>
      <c r="F1333" s="76"/>
      <c r="G1333" s="76"/>
      <c r="H1333" s="77"/>
      <c r="I1333" s="77"/>
      <c r="J1333" s="78"/>
      <c r="L1333" s="72"/>
    </row>
    <row r="1334" spans="1:12">
      <c r="A1334" s="72"/>
      <c r="B1334" s="73"/>
      <c r="C1334" s="74"/>
      <c r="D1334" s="72"/>
      <c r="E1334" s="75"/>
      <c r="F1334" s="76"/>
      <c r="G1334" s="76"/>
      <c r="H1334" s="77"/>
      <c r="I1334" s="77"/>
      <c r="J1334" s="78"/>
      <c r="L1334" s="72"/>
    </row>
    <row r="1335" spans="1:12">
      <c r="A1335" s="72"/>
      <c r="B1335" s="73"/>
      <c r="C1335" s="74"/>
      <c r="D1335" s="72"/>
      <c r="E1335" s="75"/>
      <c r="F1335" s="76"/>
      <c r="G1335" s="76"/>
      <c r="H1335" s="77"/>
      <c r="I1335" s="77"/>
      <c r="J1335" s="78"/>
      <c r="L1335" s="72"/>
    </row>
    <row r="1336" spans="1:12">
      <c r="A1336" s="72"/>
      <c r="B1336" s="73"/>
      <c r="C1336" s="74"/>
      <c r="D1336" s="72"/>
      <c r="E1336" s="75"/>
      <c r="F1336" s="76"/>
      <c r="G1336" s="76"/>
      <c r="H1336" s="77"/>
      <c r="I1336" s="77"/>
      <c r="J1336" s="78"/>
      <c r="L1336" s="72"/>
    </row>
    <row r="1337" spans="1:12">
      <c r="A1337" s="72"/>
      <c r="B1337" s="73"/>
      <c r="C1337" s="74"/>
      <c r="D1337" s="72"/>
      <c r="E1337" s="75"/>
      <c r="F1337" s="76"/>
      <c r="G1337" s="76"/>
      <c r="H1337" s="77"/>
      <c r="I1337" s="77"/>
      <c r="J1337" s="78"/>
      <c r="L1337" s="72"/>
    </row>
    <row r="1338" spans="1:12">
      <c r="A1338" s="72"/>
      <c r="B1338" s="73"/>
      <c r="C1338" s="74"/>
      <c r="D1338" s="72"/>
      <c r="E1338" s="75"/>
      <c r="F1338" s="76"/>
      <c r="G1338" s="76"/>
      <c r="H1338" s="77"/>
      <c r="I1338" s="77"/>
      <c r="J1338" s="78"/>
      <c r="L1338" s="72"/>
    </row>
    <row r="1339" spans="1:12">
      <c r="A1339" s="72"/>
      <c r="B1339" s="73"/>
      <c r="C1339" s="74"/>
      <c r="D1339" s="72"/>
      <c r="E1339" s="75"/>
      <c r="F1339" s="76"/>
      <c r="G1339" s="76"/>
      <c r="H1339" s="77"/>
      <c r="I1339" s="77"/>
      <c r="J1339" s="78"/>
      <c r="L1339" s="72"/>
    </row>
    <row r="1340" spans="1:12">
      <c r="A1340" s="72"/>
      <c r="B1340" s="73"/>
      <c r="C1340" s="74"/>
      <c r="D1340" s="72"/>
      <c r="E1340" s="75"/>
      <c r="F1340" s="76"/>
      <c r="G1340" s="76"/>
      <c r="H1340" s="77"/>
      <c r="I1340" s="77"/>
      <c r="J1340" s="78"/>
      <c r="L1340" s="72"/>
    </row>
    <row r="1341" spans="1:12">
      <c r="A1341" s="72"/>
      <c r="B1341" s="73"/>
      <c r="C1341" s="74"/>
      <c r="D1341" s="72"/>
      <c r="E1341" s="75"/>
      <c r="F1341" s="76"/>
      <c r="G1341" s="76"/>
      <c r="H1341" s="77"/>
      <c r="I1341" s="77"/>
      <c r="J1341" s="78"/>
      <c r="L1341" s="72"/>
    </row>
    <row r="1342" spans="1:12">
      <c r="A1342" s="72"/>
      <c r="B1342" s="73"/>
      <c r="C1342" s="74"/>
      <c r="D1342" s="72"/>
      <c r="E1342" s="75"/>
      <c r="F1342" s="76"/>
      <c r="G1342" s="76"/>
      <c r="H1342" s="77"/>
      <c r="I1342" s="77"/>
      <c r="J1342" s="78"/>
      <c r="L1342" s="72"/>
    </row>
    <row r="1343" spans="1:12">
      <c r="A1343" s="72"/>
      <c r="B1343" s="73"/>
      <c r="C1343" s="74"/>
      <c r="D1343" s="72"/>
      <c r="E1343" s="75"/>
      <c r="F1343" s="76"/>
      <c r="G1343" s="76"/>
      <c r="H1343" s="77"/>
      <c r="I1343" s="77"/>
      <c r="J1343" s="78"/>
      <c r="L1343" s="72"/>
    </row>
    <row r="1344" spans="1:12">
      <c r="A1344" s="72"/>
      <c r="B1344" s="73"/>
      <c r="C1344" s="74"/>
      <c r="D1344" s="72"/>
      <c r="E1344" s="75"/>
      <c r="F1344" s="76"/>
      <c r="G1344" s="76"/>
      <c r="H1344" s="77"/>
      <c r="I1344" s="77"/>
      <c r="J1344" s="78"/>
      <c r="L1344" s="72"/>
    </row>
    <row r="1345" spans="1:12">
      <c r="A1345" s="72"/>
      <c r="B1345" s="73"/>
      <c r="C1345" s="74"/>
      <c r="D1345" s="72"/>
      <c r="E1345" s="75"/>
      <c r="F1345" s="76"/>
      <c r="G1345" s="76"/>
      <c r="H1345" s="77"/>
      <c r="I1345" s="77"/>
      <c r="J1345" s="78"/>
      <c r="L1345" s="72"/>
    </row>
    <row r="1346" spans="1:12">
      <c r="A1346" s="72"/>
      <c r="B1346" s="73"/>
      <c r="C1346" s="74"/>
      <c r="D1346" s="72"/>
      <c r="E1346" s="75"/>
      <c r="F1346" s="76"/>
      <c r="G1346" s="76"/>
      <c r="H1346" s="77"/>
      <c r="I1346" s="77"/>
      <c r="J1346" s="78"/>
      <c r="L1346" s="72"/>
    </row>
    <row r="1347" spans="1:12">
      <c r="A1347" s="72"/>
      <c r="B1347" s="73"/>
      <c r="C1347" s="74"/>
      <c r="D1347" s="72"/>
      <c r="E1347" s="75"/>
      <c r="F1347" s="76"/>
      <c r="G1347" s="76"/>
      <c r="H1347" s="77"/>
      <c r="I1347" s="77"/>
      <c r="J1347" s="78"/>
      <c r="L1347" s="72"/>
    </row>
    <row r="1348" spans="1:12">
      <c r="A1348" s="72"/>
      <c r="B1348" s="73"/>
      <c r="C1348" s="74"/>
      <c r="D1348" s="72"/>
      <c r="E1348" s="75"/>
      <c r="F1348" s="76"/>
      <c r="G1348" s="76"/>
      <c r="H1348" s="77"/>
      <c r="I1348" s="77"/>
      <c r="J1348" s="78"/>
      <c r="L1348" s="72"/>
    </row>
    <row r="1349" spans="1:12">
      <c r="A1349" s="72"/>
      <c r="B1349" s="73"/>
      <c r="C1349" s="74"/>
      <c r="D1349" s="72"/>
      <c r="E1349" s="75"/>
      <c r="F1349" s="76"/>
      <c r="G1349" s="76"/>
      <c r="H1349" s="77"/>
      <c r="I1349" s="77"/>
      <c r="J1349" s="78"/>
      <c r="L1349" s="72"/>
    </row>
    <row r="1350" spans="1:12">
      <c r="A1350" s="72"/>
      <c r="B1350" s="73"/>
      <c r="C1350" s="74"/>
      <c r="D1350" s="72"/>
      <c r="E1350" s="75"/>
      <c r="F1350" s="76"/>
      <c r="G1350" s="76"/>
      <c r="H1350" s="77"/>
      <c r="I1350" s="77"/>
      <c r="J1350" s="78"/>
      <c r="L1350" s="72"/>
    </row>
    <row r="1351" spans="1:12">
      <c r="A1351" s="72"/>
      <c r="B1351" s="73"/>
      <c r="C1351" s="74"/>
      <c r="D1351" s="72"/>
      <c r="E1351" s="75"/>
      <c r="F1351" s="76"/>
      <c r="G1351" s="76"/>
      <c r="H1351" s="77"/>
      <c r="I1351" s="77"/>
      <c r="J1351" s="78"/>
      <c r="L1351" s="72"/>
    </row>
    <row r="1352" spans="1:12">
      <c r="A1352" s="72"/>
      <c r="B1352" s="73"/>
      <c r="C1352" s="74"/>
      <c r="D1352" s="72"/>
      <c r="E1352" s="75"/>
      <c r="F1352" s="76"/>
      <c r="G1352" s="76"/>
      <c r="H1352" s="77"/>
      <c r="I1352" s="77"/>
      <c r="J1352" s="78"/>
      <c r="L1352" s="72"/>
    </row>
    <row r="1353" spans="1:12">
      <c r="A1353" s="72"/>
      <c r="B1353" s="73"/>
      <c r="C1353" s="74"/>
      <c r="D1353" s="72"/>
      <c r="E1353" s="75"/>
      <c r="F1353" s="76"/>
      <c r="G1353" s="76"/>
      <c r="H1353" s="77"/>
      <c r="I1353" s="77"/>
      <c r="J1353" s="78"/>
      <c r="L1353" s="72"/>
    </row>
    <row r="1354" spans="1:12">
      <c r="A1354" s="72"/>
      <c r="B1354" s="73"/>
      <c r="C1354" s="74"/>
      <c r="D1354" s="72"/>
      <c r="E1354" s="75"/>
      <c r="F1354" s="76"/>
      <c r="G1354" s="76"/>
      <c r="H1354" s="77"/>
      <c r="I1354" s="77"/>
      <c r="J1354" s="78"/>
      <c r="L1354" s="72"/>
    </row>
    <row r="1355" spans="1:12">
      <c r="A1355" s="72"/>
      <c r="B1355" s="73"/>
      <c r="C1355" s="74"/>
      <c r="D1355" s="72"/>
      <c r="E1355" s="75"/>
      <c r="F1355" s="76"/>
      <c r="G1355" s="76"/>
      <c r="H1355" s="77"/>
      <c r="I1355" s="77"/>
      <c r="J1355" s="78"/>
      <c r="L1355" s="72"/>
    </row>
    <row r="1356" spans="1:12">
      <c r="A1356" s="72"/>
      <c r="B1356" s="73"/>
      <c r="C1356" s="74"/>
      <c r="D1356" s="72"/>
      <c r="E1356" s="75"/>
      <c r="F1356" s="76"/>
      <c r="G1356" s="76"/>
      <c r="H1356" s="77"/>
      <c r="I1356" s="77"/>
      <c r="J1356" s="78"/>
      <c r="L1356" s="72"/>
    </row>
    <row r="1357" spans="1:12">
      <c r="A1357" s="72"/>
      <c r="B1357" s="73"/>
      <c r="C1357" s="74"/>
      <c r="D1357" s="72"/>
      <c r="E1357" s="75"/>
      <c r="F1357" s="76"/>
      <c r="G1357" s="76"/>
      <c r="H1357" s="77"/>
      <c r="I1357" s="77"/>
      <c r="J1357" s="78"/>
      <c r="L1357" s="72"/>
    </row>
    <row r="1358" spans="1:12">
      <c r="A1358" s="72"/>
      <c r="B1358" s="73"/>
      <c r="C1358" s="74"/>
      <c r="D1358" s="72"/>
      <c r="E1358" s="75"/>
      <c r="F1358" s="76"/>
      <c r="G1358" s="76"/>
      <c r="H1358" s="77"/>
      <c r="I1358" s="77"/>
      <c r="J1358" s="78"/>
      <c r="L1358" s="72"/>
    </row>
    <row r="1359" spans="1:12">
      <c r="A1359" s="72"/>
      <c r="B1359" s="73"/>
      <c r="C1359" s="74"/>
      <c r="D1359" s="72"/>
      <c r="E1359" s="75"/>
      <c r="F1359" s="76"/>
      <c r="G1359" s="76"/>
      <c r="H1359" s="77"/>
      <c r="I1359" s="77"/>
      <c r="J1359" s="78"/>
      <c r="L1359" s="72"/>
    </row>
    <row r="1360" spans="1:12">
      <c r="A1360" s="72"/>
      <c r="B1360" s="73"/>
      <c r="C1360" s="74"/>
      <c r="D1360" s="72"/>
      <c r="E1360" s="75"/>
      <c r="F1360" s="76"/>
      <c r="G1360" s="76"/>
      <c r="H1360" s="77"/>
      <c r="I1360" s="77"/>
      <c r="J1360" s="78"/>
      <c r="L1360" s="72"/>
    </row>
    <row r="1361" spans="1:12">
      <c r="A1361" s="72"/>
      <c r="B1361" s="73"/>
      <c r="C1361" s="74"/>
      <c r="D1361" s="72"/>
      <c r="E1361" s="75"/>
      <c r="F1361" s="76"/>
      <c r="G1361" s="76"/>
      <c r="H1361" s="77"/>
      <c r="I1361" s="77"/>
      <c r="J1361" s="78"/>
      <c r="L1361" s="72"/>
    </row>
    <row r="1362" spans="1:12">
      <c r="A1362" s="72"/>
      <c r="B1362" s="73"/>
      <c r="C1362" s="74"/>
      <c r="D1362" s="72"/>
      <c r="E1362" s="75"/>
      <c r="F1362" s="76"/>
      <c r="G1362" s="76"/>
      <c r="H1362" s="77"/>
      <c r="I1362" s="77"/>
      <c r="J1362" s="78"/>
      <c r="L1362" s="72"/>
    </row>
    <row r="1363" spans="1:12">
      <c r="A1363" s="72"/>
      <c r="B1363" s="73"/>
      <c r="C1363" s="74"/>
      <c r="D1363" s="72"/>
      <c r="E1363" s="75"/>
      <c r="F1363" s="76"/>
      <c r="G1363" s="76"/>
      <c r="H1363" s="77"/>
      <c r="I1363" s="77"/>
      <c r="J1363" s="78"/>
      <c r="L1363" s="72"/>
    </row>
    <row r="1364" spans="1:12">
      <c r="A1364" s="72"/>
      <c r="B1364" s="73"/>
      <c r="C1364" s="74"/>
      <c r="D1364" s="72"/>
      <c r="E1364" s="75"/>
      <c r="F1364" s="76"/>
      <c r="G1364" s="76"/>
      <c r="H1364" s="77"/>
      <c r="I1364" s="77"/>
      <c r="J1364" s="78"/>
      <c r="L1364" s="72"/>
    </row>
    <row r="1365" spans="1:12">
      <c r="A1365" s="72"/>
      <c r="B1365" s="73"/>
      <c r="C1365" s="74"/>
      <c r="D1365" s="72"/>
      <c r="E1365" s="75"/>
      <c r="F1365" s="76"/>
      <c r="G1365" s="76"/>
      <c r="H1365" s="77"/>
      <c r="I1365" s="77"/>
      <c r="J1365" s="78"/>
      <c r="L1365" s="72"/>
    </row>
    <row r="1366" spans="1:12">
      <c r="A1366" s="72"/>
      <c r="B1366" s="73"/>
      <c r="C1366" s="74"/>
      <c r="D1366" s="72"/>
      <c r="E1366" s="75"/>
      <c r="F1366" s="76"/>
      <c r="G1366" s="76"/>
      <c r="H1366" s="77"/>
      <c r="I1366" s="77"/>
      <c r="J1366" s="78"/>
      <c r="L1366" s="72"/>
    </row>
    <row r="1367" spans="1:12">
      <c r="A1367" s="72"/>
      <c r="B1367" s="73"/>
      <c r="C1367" s="74"/>
      <c r="D1367" s="72"/>
      <c r="E1367" s="75"/>
      <c r="F1367" s="76"/>
      <c r="G1367" s="76"/>
      <c r="H1367" s="77"/>
      <c r="I1367" s="77"/>
      <c r="J1367" s="78"/>
      <c r="L1367" s="72"/>
    </row>
    <row r="1368" spans="1:12">
      <c r="A1368" s="72"/>
      <c r="B1368" s="73"/>
      <c r="C1368" s="74"/>
      <c r="D1368" s="72"/>
      <c r="E1368" s="75"/>
      <c r="F1368" s="76"/>
      <c r="G1368" s="76"/>
      <c r="H1368" s="77"/>
      <c r="I1368" s="77"/>
      <c r="J1368" s="78"/>
      <c r="L1368" s="72"/>
    </row>
    <row r="1369" spans="1:12">
      <c r="A1369" s="72"/>
      <c r="B1369" s="73"/>
      <c r="C1369" s="74"/>
      <c r="D1369" s="72"/>
      <c r="E1369" s="75"/>
      <c r="F1369" s="76"/>
      <c r="G1369" s="76"/>
      <c r="H1369" s="77"/>
      <c r="I1369" s="77"/>
      <c r="J1369" s="78"/>
      <c r="L1369" s="72"/>
    </row>
    <row r="1370" spans="1:12">
      <c r="A1370" s="72"/>
      <c r="B1370" s="73"/>
      <c r="C1370" s="74"/>
      <c r="D1370" s="72"/>
      <c r="E1370" s="75"/>
      <c r="F1370" s="76"/>
      <c r="G1370" s="76"/>
      <c r="H1370" s="77"/>
      <c r="I1370" s="77"/>
      <c r="J1370" s="78"/>
      <c r="L1370" s="72"/>
    </row>
    <row r="1371" spans="1:12">
      <c r="A1371" s="72"/>
      <c r="B1371" s="73"/>
      <c r="C1371" s="74"/>
      <c r="D1371" s="72"/>
      <c r="E1371" s="75"/>
      <c r="F1371" s="76"/>
      <c r="G1371" s="76"/>
      <c r="H1371" s="77"/>
      <c r="I1371" s="77"/>
      <c r="J1371" s="78"/>
      <c r="L1371" s="72"/>
    </row>
    <row r="1372" spans="1:12">
      <c r="A1372" s="72"/>
      <c r="B1372" s="73"/>
      <c r="C1372" s="74"/>
      <c r="D1372" s="72"/>
      <c r="E1372" s="75"/>
      <c r="F1372" s="76"/>
      <c r="G1372" s="76"/>
      <c r="H1372" s="77"/>
      <c r="I1372" s="77"/>
      <c r="J1372" s="78"/>
      <c r="L1372" s="72"/>
    </row>
    <row r="1373" spans="1:12">
      <c r="A1373" s="72"/>
      <c r="B1373" s="73"/>
      <c r="C1373" s="74"/>
      <c r="D1373" s="72"/>
      <c r="E1373" s="75"/>
      <c r="F1373" s="76"/>
      <c r="G1373" s="76"/>
      <c r="H1373" s="77"/>
      <c r="I1373" s="77"/>
      <c r="J1373" s="78"/>
      <c r="L1373" s="72"/>
    </row>
    <row r="1374" spans="1:12">
      <c r="A1374" s="72"/>
      <c r="B1374" s="73"/>
      <c r="C1374" s="74"/>
      <c r="D1374" s="72"/>
      <c r="E1374" s="75"/>
      <c r="F1374" s="76"/>
      <c r="G1374" s="76"/>
      <c r="H1374" s="77"/>
      <c r="I1374" s="77"/>
      <c r="J1374" s="78"/>
      <c r="L1374" s="72"/>
    </row>
    <row r="1375" spans="1:12">
      <c r="A1375" s="72"/>
      <c r="B1375" s="73"/>
      <c r="C1375" s="74"/>
      <c r="D1375" s="72"/>
      <c r="E1375" s="75"/>
      <c r="F1375" s="76"/>
      <c r="G1375" s="76"/>
      <c r="H1375" s="77"/>
      <c r="I1375" s="77"/>
      <c r="J1375" s="78"/>
      <c r="L1375" s="72"/>
    </row>
    <row r="1376" spans="1:12">
      <c r="A1376" s="72"/>
      <c r="B1376" s="73"/>
      <c r="C1376" s="74"/>
      <c r="D1376" s="72"/>
      <c r="E1376" s="75"/>
      <c r="F1376" s="76"/>
      <c r="G1376" s="76"/>
      <c r="H1376" s="77"/>
      <c r="I1376" s="77"/>
      <c r="J1376" s="78"/>
      <c r="L1376" s="72"/>
    </row>
    <row r="1377" spans="1:12">
      <c r="A1377" s="72"/>
      <c r="B1377" s="73"/>
      <c r="C1377" s="74"/>
      <c r="D1377" s="72"/>
      <c r="E1377" s="75"/>
      <c r="F1377" s="76"/>
      <c r="G1377" s="76"/>
      <c r="H1377" s="77"/>
      <c r="I1377" s="77"/>
      <c r="J1377" s="78"/>
      <c r="L1377" s="72"/>
    </row>
    <row r="1378" spans="1:12">
      <c r="A1378" s="72"/>
      <c r="B1378" s="73"/>
      <c r="C1378" s="74"/>
      <c r="D1378" s="72"/>
      <c r="E1378" s="75"/>
      <c r="F1378" s="76"/>
      <c r="G1378" s="76"/>
      <c r="H1378" s="77"/>
      <c r="I1378" s="77"/>
      <c r="J1378" s="78"/>
      <c r="L1378" s="72"/>
    </row>
    <row r="1379" spans="1:12">
      <c r="A1379" s="72"/>
      <c r="B1379" s="73"/>
      <c r="C1379" s="74"/>
      <c r="D1379" s="72"/>
      <c r="E1379" s="75"/>
      <c r="F1379" s="76"/>
      <c r="G1379" s="76"/>
      <c r="H1379" s="77"/>
      <c r="I1379" s="77"/>
      <c r="J1379" s="78"/>
      <c r="L1379" s="72"/>
    </row>
    <row r="1380" spans="1:12">
      <c r="A1380" s="72"/>
      <c r="B1380" s="73"/>
      <c r="C1380" s="74"/>
      <c r="D1380" s="72"/>
      <c r="E1380" s="75"/>
      <c r="F1380" s="76"/>
      <c r="G1380" s="76"/>
      <c r="H1380" s="77"/>
      <c r="I1380" s="77"/>
      <c r="J1380" s="78"/>
      <c r="L1380" s="72"/>
    </row>
    <row r="1381" spans="1:12">
      <c r="A1381" s="72"/>
      <c r="B1381" s="73"/>
      <c r="C1381" s="74"/>
      <c r="D1381" s="72"/>
      <c r="E1381" s="75"/>
      <c r="F1381" s="76"/>
      <c r="G1381" s="76"/>
      <c r="H1381" s="77"/>
      <c r="I1381" s="77"/>
      <c r="J1381" s="78"/>
      <c r="L1381" s="72"/>
    </row>
    <row r="1382" spans="1:12">
      <c r="A1382" s="72"/>
      <c r="B1382" s="73"/>
      <c r="C1382" s="74"/>
      <c r="D1382" s="72"/>
      <c r="E1382" s="75"/>
      <c r="F1382" s="76"/>
      <c r="G1382" s="76"/>
      <c r="H1382" s="77"/>
      <c r="I1382" s="77"/>
      <c r="J1382" s="78"/>
      <c r="L1382" s="72"/>
    </row>
    <row r="1383" spans="1:12">
      <c r="A1383" s="72"/>
      <c r="B1383" s="73"/>
      <c r="C1383" s="74"/>
      <c r="D1383" s="72"/>
      <c r="E1383" s="75"/>
      <c r="F1383" s="76"/>
      <c r="G1383" s="76"/>
      <c r="H1383" s="77"/>
      <c r="I1383" s="77"/>
      <c r="J1383" s="78"/>
      <c r="L1383" s="72"/>
    </row>
    <row r="1384" spans="1:12">
      <c r="A1384" s="72"/>
      <c r="B1384" s="73"/>
      <c r="C1384" s="74"/>
      <c r="D1384" s="72"/>
      <c r="E1384" s="75"/>
      <c r="F1384" s="76"/>
      <c r="G1384" s="76"/>
      <c r="H1384" s="77"/>
      <c r="I1384" s="77"/>
      <c r="J1384" s="78"/>
      <c r="L1384" s="72"/>
    </row>
    <row r="1385" spans="1:12">
      <c r="A1385" s="72"/>
      <c r="B1385" s="73"/>
      <c r="C1385" s="74"/>
      <c r="D1385" s="72"/>
      <c r="E1385" s="75"/>
      <c r="F1385" s="76"/>
      <c r="G1385" s="76"/>
      <c r="H1385" s="77"/>
      <c r="I1385" s="77"/>
      <c r="J1385" s="78"/>
      <c r="L1385" s="72"/>
    </row>
    <row r="1386" spans="1:12">
      <c r="A1386" s="72"/>
      <c r="B1386" s="73"/>
      <c r="C1386" s="74"/>
      <c r="D1386" s="72"/>
      <c r="E1386" s="75"/>
      <c r="F1386" s="76"/>
      <c r="G1386" s="76"/>
      <c r="H1386" s="77"/>
      <c r="I1386" s="77"/>
      <c r="J1386" s="78"/>
      <c r="L1386" s="72"/>
    </row>
    <row r="1387" spans="1:12">
      <c r="A1387" s="72"/>
      <c r="B1387" s="73"/>
      <c r="C1387" s="74"/>
      <c r="D1387" s="72"/>
      <c r="E1387" s="75"/>
      <c r="F1387" s="76"/>
      <c r="G1387" s="76"/>
      <c r="H1387" s="77"/>
      <c r="I1387" s="77"/>
      <c r="J1387" s="78"/>
      <c r="L1387" s="72"/>
    </row>
    <row r="1388" spans="1:12">
      <c r="A1388" s="72"/>
      <c r="B1388" s="73"/>
      <c r="C1388" s="74"/>
      <c r="D1388" s="72"/>
      <c r="E1388" s="75"/>
      <c r="F1388" s="76"/>
      <c r="G1388" s="76"/>
      <c r="H1388" s="77"/>
      <c r="I1388" s="77"/>
      <c r="J1388" s="78"/>
      <c r="L1388" s="72"/>
    </row>
    <row r="1389" spans="1:12">
      <c r="A1389" s="72"/>
      <c r="B1389" s="73"/>
      <c r="C1389" s="74"/>
      <c r="D1389" s="72"/>
      <c r="E1389" s="75"/>
      <c r="F1389" s="76"/>
      <c r="G1389" s="76"/>
      <c r="H1389" s="77"/>
      <c r="I1389" s="77"/>
      <c r="J1389" s="78"/>
      <c r="L1389" s="72"/>
    </row>
    <row r="1390" spans="1:12">
      <c r="A1390" s="72"/>
      <c r="B1390" s="73"/>
      <c r="C1390" s="74"/>
      <c r="D1390" s="72"/>
      <c r="E1390" s="75"/>
      <c r="F1390" s="76"/>
      <c r="G1390" s="76"/>
      <c r="H1390" s="77"/>
      <c r="I1390" s="77"/>
      <c r="J1390" s="78"/>
      <c r="L1390" s="72"/>
    </row>
    <row r="1391" spans="1:12">
      <c r="A1391" s="72"/>
      <c r="B1391" s="73"/>
      <c r="C1391" s="74"/>
      <c r="D1391" s="72"/>
      <c r="E1391" s="75"/>
      <c r="F1391" s="76"/>
      <c r="G1391" s="76"/>
      <c r="H1391" s="77"/>
      <c r="I1391" s="77"/>
      <c r="J1391" s="78"/>
      <c r="L1391" s="72"/>
    </row>
    <row r="1392" spans="1:12">
      <c r="A1392" s="72"/>
      <c r="B1392" s="73"/>
      <c r="C1392" s="74"/>
      <c r="D1392" s="72"/>
      <c r="E1392" s="75"/>
      <c r="F1392" s="76"/>
      <c r="G1392" s="76"/>
      <c r="H1392" s="77"/>
      <c r="I1392" s="77"/>
      <c r="J1392" s="78"/>
      <c r="L1392" s="72"/>
    </row>
    <row r="1393" spans="1:12">
      <c r="A1393" s="72"/>
      <c r="B1393" s="73"/>
      <c r="C1393" s="74"/>
      <c r="D1393" s="72"/>
      <c r="E1393" s="75"/>
      <c r="F1393" s="76"/>
      <c r="G1393" s="76"/>
      <c r="H1393" s="77"/>
      <c r="I1393" s="77"/>
      <c r="J1393" s="78"/>
      <c r="L1393" s="72"/>
    </row>
    <row r="1394" spans="1:12">
      <c r="A1394" s="72"/>
      <c r="B1394" s="73"/>
      <c r="C1394" s="74"/>
      <c r="D1394" s="72"/>
      <c r="E1394" s="75"/>
      <c r="F1394" s="76"/>
      <c r="G1394" s="76"/>
      <c r="H1394" s="77"/>
      <c r="I1394" s="77"/>
      <c r="J1394" s="78"/>
      <c r="L1394" s="72"/>
    </row>
    <row r="1395" spans="1:12">
      <c r="A1395" s="72"/>
      <c r="B1395" s="73"/>
      <c r="C1395" s="74"/>
      <c r="D1395" s="72"/>
      <c r="E1395" s="75"/>
      <c r="F1395" s="76"/>
      <c r="G1395" s="76"/>
      <c r="H1395" s="77"/>
      <c r="I1395" s="77"/>
      <c r="J1395" s="78"/>
      <c r="L1395" s="72"/>
    </row>
    <row r="1396" spans="1:12">
      <c r="A1396" s="72"/>
      <c r="B1396" s="73"/>
      <c r="C1396" s="74"/>
      <c r="D1396" s="72"/>
      <c r="E1396" s="75"/>
      <c r="F1396" s="76"/>
      <c r="G1396" s="76"/>
      <c r="H1396" s="77"/>
      <c r="I1396" s="77"/>
      <c r="J1396" s="78"/>
      <c r="L1396" s="72"/>
    </row>
    <row r="1397" spans="1:12">
      <c r="A1397" s="72"/>
      <c r="B1397" s="73"/>
      <c r="C1397" s="74"/>
      <c r="D1397" s="72"/>
      <c r="E1397" s="75"/>
      <c r="F1397" s="76"/>
      <c r="G1397" s="76"/>
      <c r="H1397" s="77"/>
      <c r="I1397" s="77"/>
      <c r="J1397" s="78"/>
      <c r="L1397" s="72"/>
    </row>
    <row r="1398" spans="1:12">
      <c r="A1398" s="72"/>
      <c r="B1398" s="73"/>
      <c r="C1398" s="74"/>
      <c r="D1398" s="72"/>
      <c r="E1398" s="75"/>
      <c r="F1398" s="76"/>
      <c r="G1398" s="76"/>
      <c r="H1398" s="77"/>
      <c r="I1398" s="77"/>
      <c r="J1398" s="78"/>
      <c r="L1398" s="72"/>
    </row>
    <row r="1399" spans="1:12">
      <c r="A1399" s="72"/>
      <c r="B1399" s="73"/>
      <c r="C1399" s="74"/>
      <c r="D1399" s="72"/>
      <c r="E1399" s="75"/>
      <c r="F1399" s="76"/>
      <c r="G1399" s="76"/>
      <c r="H1399" s="77"/>
      <c r="I1399" s="77"/>
      <c r="J1399" s="78"/>
      <c r="L1399" s="72"/>
    </row>
    <row r="1400" spans="1:12">
      <c r="A1400" s="72"/>
      <c r="B1400" s="73"/>
      <c r="C1400" s="74"/>
      <c r="D1400" s="72"/>
      <c r="E1400" s="75"/>
      <c r="F1400" s="76"/>
      <c r="G1400" s="76"/>
      <c r="H1400" s="77"/>
      <c r="I1400" s="77"/>
      <c r="J1400" s="78"/>
      <c r="L1400" s="72"/>
    </row>
    <row r="1401" spans="1:12">
      <c r="A1401" s="72"/>
      <c r="B1401" s="73"/>
      <c r="C1401" s="74"/>
      <c r="D1401" s="72"/>
      <c r="E1401" s="75"/>
      <c r="F1401" s="76"/>
      <c r="G1401" s="76"/>
      <c r="H1401" s="77"/>
      <c r="I1401" s="77"/>
      <c r="J1401" s="78"/>
      <c r="L1401" s="72"/>
    </row>
    <row r="1402" spans="1:12">
      <c r="A1402" s="72"/>
      <c r="B1402" s="73"/>
      <c r="C1402" s="74"/>
      <c r="D1402" s="72"/>
      <c r="E1402" s="75"/>
      <c r="F1402" s="76"/>
      <c r="G1402" s="76"/>
      <c r="H1402" s="77"/>
      <c r="I1402" s="77"/>
      <c r="J1402" s="78"/>
      <c r="L1402" s="72"/>
    </row>
    <row r="1403" spans="1:12">
      <c r="A1403" s="72"/>
      <c r="B1403" s="73"/>
      <c r="C1403" s="74"/>
      <c r="D1403" s="72"/>
      <c r="E1403" s="75"/>
      <c r="F1403" s="76"/>
      <c r="G1403" s="76"/>
      <c r="H1403" s="77"/>
      <c r="I1403" s="77"/>
      <c r="J1403" s="78"/>
      <c r="L1403" s="72"/>
    </row>
    <row r="1404" spans="1:12">
      <c r="A1404" s="72"/>
      <c r="B1404" s="73"/>
      <c r="C1404" s="74"/>
      <c r="D1404" s="72"/>
      <c r="E1404" s="75"/>
      <c r="F1404" s="76"/>
      <c r="G1404" s="76"/>
      <c r="H1404" s="77"/>
      <c r="I1404" s="77"/>
      <c r="J1404" s="78"/>
      <c r="L1404" s="72"/>
    </row>
    <row r="1405" spans="1:12">
      <c r="A1405" s="72"/>
      <c r="B1405" s="73"/>
      <c r="C1405" s="74"/>
      <c r="D1405" s="72"/>
      <c r="E1405" s="75"/>
      <c r="F1405" s="76"/>
      <c r="G1405" s="76"/>
      <c r="H1405" s="77"/>
      <c r="I1405" s="77"/>
      <c r="J1405" s="78"/>
    </row>
    <row r="1406" spans="1:12">
      <c r="A1406" s="72"/>
      <c r="B1406" s="73"/>
      <c r="C1406" s="74"/>
      <c r="D1406" s="72"/>
      <c r="E1406" s="75"/>
      <c r="F1406" s="76"/>
      <c r="G1406" s="76"/>
      <c r="H1406" s="77"/>
      <c r="I1406" s="77"/>
      <c r="J1406" s="78"/>
    </row>
    <row r="1407" spans="1:12">
      <c r="E1407" s="75"/>
    </row>
    <row r="1408" spans="1:12">
      <c r="E1408" s="75"/>
    </row>
    <row r="1409" spans="2:11">
      <c r="E1409" s="75"/>
    </row>
    <row r="1410" spans="2:11">
      <c r="E1410" s="75"/>
    </row>
    <row r="1411" spans="2:11">
      <c r="B1411"/>
      <c r="C1411"/>
      <c r="E1411" s="75"/>
      <c r="F1411" s="81"/>
      <c r="G1411" s="81"/>
      <c r="H1411"/>
      <c r="I1411"/>
      <c r="J1411"/>
      <c r="K1411"/>
    </row>
    <row r="1412" spans="2:11">
      <c r="B1412"/>
      <c r="C1412"/>
      <c r="E1412" s="75"/>
      <c r="F1412" s="81"/>
      <c r="G1412" s="81"/>
      <c r="H1412"/>
      <c r="I1412"/>
      <c r="J1412"/>
      <c r="K1412"/>
    </row>
    <row r="1413" spans="2:11">
      <c r="B1413"/>
      <c r="C1413"/>
      <c r="E1413" s="75"/>
      <c r="F1413" s="81"/>
      <c r="G1413" s="81"/>
      <c r="H1413"/>
      <c r="I1413"/>
      <c r="J1413"/>
      <c r="K1413"/>
    </row>
    <row r="1414" spans="2:11">
      <c r="B1414"/>
      <c r="C1414"/>
      <c r="E1414" s="75"/>
      <c r="F1414" s="81"/>
      <c r="G1414" s="81"/>
      <c r="H1414"/>
      <c r="I1414"/>
      <c r="J1414"/>
      <c r="K1414"/>
    </row>
    <row r="1415" spans="2:11">
      <c r="B1415"/>
      <c r="C1415"/>
      <c r="E1415" s="75"/>
      <c r="F1415" s="81"/>
      <c r="G1415" s="81"/>
      <c r="H1415"/>
      <c r="I1415"/>
      <c r="J1415"/>
      <c r="K1415"/>
    </row>
    <row r="1416" spans="2:11">
      <c r="B1416"/>
      <c r="C1416"/>
      <c r="E1416" s="75"/>
      <c r="F1416" s="81"/>
      <c r="G1416" s="81"/>
      <c r="H1416"/>
      <c r="I1416"/>
      <c r="J1416"/>
      <c r="K1416"/>
    </row>
    <row r="1417" spans="2:11">
      <c r="B1417"/>
      <c r="C1417"/>
      <c r="E1417" s="75"/>
      <c r="F1417" s="81"/>
      <c r="G1417" s="81"/>
      <c r="H1417"/>
      <c r="I1417"/>
      <c r="J1417"/>
      <c r="K1417"/>
    </row>
    <row r="1418" spans="2:11">
      <c r="B1418"/>
      <c r="C1418"/>
      <c r="E1418" s="75"/>
      <c r="F1418" s="81"/>
      <c r="G1418" s="81"/>
      <c r="H1418"/>
      <c r="I1418"/>
      <c r="J1418"/>
      <c r="K1418"/>
    </row>
    <row r="1419" spans="2:11">
      <c r="B1419"/>
      <c r="C1419"/>
      <c r="E1419" s="75"/>
      <c r="F1419" s="81"/>
      <c r="G1419" s="81"/>
      <c r="H1419"/>
      <c r="I1419"/>
      <c r="J1419"/>
      <c r="K1419"/>
    </row>
    <row r="1420" spans="2:11">
      <c r="B1420"/>
      <c r="C1420"/>
      <c r="E1420" s="75"/>
      <c r="F1420" s="81"/>
      <c r="G1420" s="81"/>
      <c r="H1420"/>
      <c r="I1420"/>
      <c r="J1420"/>
      <c r="K1420"/>
    </row>
    <row r="1421" spans="2:11">
      <c r="B1421"/>
      <c r="C1421"/>
      <c r="E1421" s="75"/>
      <c r="F1421" s="81"/>
      <c r="G1421" s="81"/>
      <c r="H1421"/>
      <c r="I1421"/>
      <c r="J1421"/>
      <c r="K1421"/>
    </row>
    <row r="1422" spans="2:11">
      <c r="B1422"/>
      <c r="C1422"/>
      <c r="E1422" s="75"/>
      <c r="F1422" s="81"/>
      <c r="G1422" s="81"/>
      <c r="H1422"/>
      <c r="I1422"/>
      <c r="J1422"/>
      <c r="K1422"/>
    </row>
    <row r="1423" spans="2:11">
      <c r="B1423"/>
      <c r="C1423"/>
      <c r="E1423" s="75"/>
      <c r="F1423" s="81"/>
      <c r="G1423" s="81"/>
      <c r="H1423"/>
      <c r="I1423"/>
      <c r="J1423"/>
      <c r="K1423"/>
    </row>
    <row r="1424" spans="2:11">
      <c r="B1424"/>
      <c r="C1424"/>
      <c r="E1424" s="75"/>
      <c r="F1424" s="81"/>
      <c r="G1424" s="81"/>
      <c r="H1424"/>
      <c r="I1424"/>
      <c r="J1424"/>
      <c r="K1424"/>
    </row>
    <row r="1425" spans="2:11">
      <c r="B1425"/>
      <c r="C1425"/>
      <c r="E1425" s="75"/>
      <c r="F1425" s="81"/>
      <c r="G1425" s="81"/>
      <c r="H1425"/>
      <c r="I1425"/>
      <c r="J1425"/>
      <c r="K1425"/>
    </row>
    <row r="1426" spans="2:11">
      <c r="B1426"/>
      <c r="C1426"/>
      <c r="E1426" s="75"/>
      <c r="F1426" s="81"/>
      <c r="G1426" s="81"/>
      <c r="H1426"/>
      <c r="I1426"/>
      <c r="J1426"/>
      <c r="K1426"/>
    </row>
    <row r="1427" spans="2:11">
      <c r="B1427"/>
      <c r="C1427"/>
      <c r="E1427" s="75"/>
      <c r="F1427" s="81"/>
      <c r="G1427" s="81"/>
      <c r="H1427"/>
      <c r="I1427"/>
      <c r="J1427"/>
      <c r="K1427"/>
    </row>
    <row r="1428" spans="2:11">
      <c r="B1428"/>
      <c r="C1428"/>
      <c r="E1428" s="75"/>
      <c r="F1428" s="81"/>
      <c r="G1428" s="81"/>
      <c r="H1428"/>
      <c r="I1428"/>
      <c r="J1428"/>
      <c r="K1428"/>
    </row>
    <row r="1429" spans="2:11">
      <c r="B1429"/>
      <c r="C1429"/>
      <c r="E1429" s="75"/>
      <c r="F1429" s="81"/>
      <c r="G1429" s="81"/>
      <c r="H1429"/>
      <c r="I1429"/>
      <c r="J1429"/>
      <c r="K1429"/>
    </row>
    <row r="1430" spans="2:11">
      <c r="B1430"/>
      <c r="C1430"/>
      <c r="E1430" s="75"/>
      <c r="F1430" s="81"/>
      <c r="G1430" s="81"/>
      <c r="H1430"/>
      <c r="I1430"/>
      <c r="J1430"/>
      <c r="K1430"/>
    </row>
    <row r="1431" spans="2:11">
      <c r="B1431"/>
      <c r="C1431"/>
      <c r="E1431" s="75"/>
      <c r="F1431" s="81"/>
      <c r="G1431" s="81"/>
      <c r="H1431"/>
      <c r="I1431"/>
      <c r="J1431"/>
      <c r="K1431"/>
    </row>
    <row r="1432" spans="2:11">
      <c r="B1432"/>
      <c r="C1432"/>
      <c r="E1432" s="75"/>
      <c r="F1432" s="81"/>
      <c r="G1432" s="81"/>
      <c r="H1432"/>
      <c r="I1432"/>
      <c r="J1432"/>
      <c r="K1432"/>
    </row>
    <row r="1433" spans="2:11">
      <c r="B1433"/>
      <c r="C1433"/>
      <c r="E1433" s="75"/>
      <c r="F1433" s="81"/>
      <c r="G1433" s="81"/>
      <c r="H1433"/>
      <c r="I1433"/>
      <c r="J1433"/>
      <c r="K1433"/>
    </row>
    <row r="1434" spans="2:11">
      <c r="B1434"/>
      <c r="C1434"/>
      <c r="E1434" s="75"/>
      <c r="F1434" s="81"/>
      <c r="G1434" s="81"/>
      <c r="H1434"/>
      <c r="I1434"/>
      <c r="J1434"/>
      <c r="K1434"/>
    </row>
    <row r="1435" spans="2:11">
      <c r="B1435"/>
      <c r="C1435"/>
      <c r="E1435" s="75"/>
      <c r="F1435" s="81"/>
      <c r="G1435" s="81"/>
      <c r="H1435"/>
      <c r="I1435"/>
      <c r="J1435"/>
      <c r="K1435"/>
    </row>
    <row r="1436" spans="2:11">
      <c r="B1436"/>
      <c r="C1436"/>
      <c r="E1436" s="75"/>
      <c r="F1436" s="81"/>
      <c r="G1436" s="81"/>
      <c r="H1436"/>
      <c r="I1436"/>
      <c r="J1436"/>
      <c r="K1436"/>
    </row>
    <row r="1437" spans="2:11">
      <c r="B1437"/>
      <c r="C1437"/>
      <c r="E1437" s="75"/>
      <c r="F1437" s="81"/>
      <c r="G1437" s="81"/>
      <c r="H1437"/>
      <c r="I1437"/>
      <c r="J1437"/>
      <c r="K1437"/>
    </row>
    <row r="1438" spans="2:11">
      <c r="B1438"/>
      <c r="C1438"/>
      <c r="E1438" s="75"/>
      <c r="F1438" s="81"/>
      <c r="G1438" s="81"/>
      <c r="H1438"/>
      <c r="I1438"/>
      <c r="J1438"/>
      <c r="K1438"/>
    </row>
    <row r="1439" spans="2:11">
      <c r="B1439"/>
      <c r="C1439"/>
      <c r="E1439" s="75"/>
      <c r="F1439" s="81"/>
      <c r="G1439" s="81"/>
      <c r="H1439"/>
      <c r="I1439"/>
      <c r="J1439"/>
      <c r="K1439"/>
    </row>
    <row r="1440" spans="2:11">
      <c r="B1440"/>
      <c r="C1440"/>
      <c r="E1440" s="75"/>
      <c r="F1440" s="81"/>
      <c r="G1440" s="81"/>
      <c r="H1440"/>
      <c r="I1440"/>
      <c r="J1440"/>
      <c r="K1440"/>
    </row>
    <row r="1441" spans="2:11">
      <c r="B1441"/>
      <c r="C1441"/>
      <c r="E1441" s="75"/>
      <c r="F1441" s="81"/>
      <c r="G1441" s="81"/>
      <c r="H1441"/>
      <c r="I1441"/>
      <c r="J1441"/>
      <c r="K1441"/>
    </row>
    <row r="1442" spans="2:11">
      <c r="B1442"/>
      <c r="C1442"/>
      <c r="E1442" s="75"/>
      <c r="F1442" s="81"/>
      <c r="G1442" s="81"/>
      <c r="H1442"/>
      <c r="I1442"/>
      <c r="J1442"/>
      <c r="K1442"/>
    </row>
    <row r="1443" spans="2:11">
      <c r="B1443"/>
      <c r="C1443"/>
      <c r="E1443" s="75"/>
      <c r="F1443" s="81"/>
      <c r="G1443" s="81"/>
      <c r="H1443"/>
      <c r="I1443"/>
      <c r="J1443"/>
      <c r="K1443"/>
    </row>
    <row r="1444" spans="2:11">
      <c r="B1444"/>
      <c r="C1444"/>
      <c r="E1444" s="75"/>
      <c r="F1444" s="81"/>
      <c r="G1444" s="81"/>
      <c r="H1444"/>
      <c r="I1444"/>
      <c r="J1444"/>
      <c r="K1444"/>
    </row>
    <row r="1445" spans="2:11">
      <c r="B1445"/>
      <c r="C1445"/>
      <c r="E1445" s="75"/>
      <c r="F1445" s="81"/>
      <c r="G1445" s="81"/>
      <c r="H1445"/>
      <c r="I1445"/>
      <c r="J1445"/>
      <c r="K1445"/>
    </row>
    <row r="1446" spans="2:11">
      <c r="B1446"/>
      <c r="C1446"/>
      <c r="E1446" s="75"/>
      <c r="F1446" s="81"/>
      <c r="G1446" s="81"/>
      <c r="H1446"/>
      <c r="I1446"/>
      <c r="J1446"/>
      <c r="K1446"/>
    </row>
    <row r="1447" spans="2:11">
      <c r="B1447"/>
      <c r="C1447"/>
      <c r="E1447" s="75"/>
      <c r="F1447" s="81"/>
      <c r="G1447" s="81"/>
      <c r="H1447"/>
      <c r="I1447"/>
      <c r="J1447"/>
      <c r="K1447"/>
    </row>
    <row r="1448" spans="2:11">
      <c r="B1448"/>
      <c r="C1448"/>
      <c r="E1448" s="75"/>
      <c r="F1448" s="81"/>
      <c r="G1448" s="81"/>
      <c r="H1448"/>
      <c r="I1448"/>
      <c r="J1448"/>
      <c r="K1448"/>
    </row>
    <row r="1449" spans="2:11">
      <c r="B1449"/>
      <c r="C1449"/>
      <c r="E1449" s="75"/>
      <c r="F1449" s="81"/>
      <c r="G1449" s="81"/>
      <c r="H1449"/>
      <c r="I1449"/>
      <c r="J1449"/>
      <c r="K1449"/>
    </row>
    <row r="1450" spans="2:11">
      <c r="B1450"/>
      <c r="C1450"/>
      <c r="E1450" s="75"/>
      <c r="F1450" s="81"/>
      <c r="G1450" s="81"/>
      <c r="H1450"/>
      <c r="I1450"/>
      <c r="J1450"/>
      <c r="K1450"/>
    </row>
    <row r="1451" spans="2:11">
      <c r="B1451"/>
      <c r="C1451"/>
      <c r="E1451" s="75"/>
      <c r="F1451" s="81"/>
      <c r="G1451" s="81"/>
      <c r="H1451"/>
      <c r="I1451"/>
      <c r="J1451"/>
      <c r="K1451"/>
    </row>
    <row r="1452" spans="2:11">
      <c r="B1452"/>
      <c r="C1452"/>
      <c r="E1452" s="75"/>
      <c r="F1452" s="81"/>
      <c r="G1452" s="81"/>
      <c r="H1452"/>
      <c r="I1452"/>
      <c r="J1452"/>
      <c r="K1452"/>
    </row>
    <row r="1453" spans="2:11">
      <c r="B1453"/>
      <c r="C1453"/>
      <c r="E1453" s="75"/>
      <c r="F1453" s="81"/>
      <c r="G1453" s="81"/>
      <c r="H1453"/>
      <c r="I1453"/>
      <c r="J1453"/>
      <c r="K1453"/>
    </row>
    <row r="1454" spans="2:11">
      <c r="B1454"/>
      <c r="C1454"/>
      <c r="E1454" s="75"/>
      <c r="F1454" s="81"/>
      <c r="G1454" s="81"/>
      <c r="H1454"/>
      <c r="I1454"/>
      <c r="J1454"/>
      <c r="K1454"/>
    </row>
    <row r="1455" spans="2:11">
      <c r="B1455"/>
      <c r="C1455"/>
      <c r="E1455" s="75"/>
      <c r="F1455" s="81"/>
      <c r="G1455" s="81"/>
      <c r="H1455"/>
      <c r="I1455"/>
      <c r="J1455"/>
      <c r="K1455"/>
    </row>
    <row r="1456" spans="2:11">
      <c r="B1456"/>
      <c r="C1456"/>
      <c r="E1456" s="75"/>
      <c r="F1456" s="81"/>
      <c r="G1456" s="81"/>
      <c r="H1456"/>
      <c r="I1456"/>
      <c r="J1456"/>
      <c r="K1456"/>
    </row>
    <row r="1457" spans="2:11">
      <c r="B1457"/>
      <c r="C1457"/>
      <c r="E1457" s="75"/>
      <c r="F1457" s="81"/>
      <c r="G1457" s="81"/>
      <c r="H1457"/>
      <c r="I1457"/>
      <c r="J1457"/>
      <c r="K1457"/>
    </row>
    <row r="1458" spans="2:11">
      <c r="B1458"/>
      <c r="C1458"/>
      <c r="E1458" s="75"/>
      <c r="F1458" s="81"/>
      <c r="G1458" s="81"/>
      <c r="H1458"/>
      <c r="I1458"/>
      <c r="J1458"/>
      <c r="K1458"/>
    </row>
    <row r="1459" spans="2:11">
      <c r="B1459"/>
      <c r="C1459"/>
      <c r="E1459" s="75"/>
      <c r="F1459" s="81"/>
      <c r="G1459" s="81"/>
      <c r="H1459"/>
      <c r="I1459"/>
      <c r="J1459"/>
      <c r="K1459"/>
    </row>
    <row r="1460" spans="2:11">
      <c r="B1460"/>
      <c r="C1460"/>
      <c r="E1460" s="75"/>
      <c r="F1460" s="81"/>
      <c r="G1460" s="81"/>
      <c r="H1460"/>
      <c r="I1460"/>
      <c r="J1460"/>
      <c r="K1460"/>
    </row>
    <row r="1461" spans="2:11">
      <c r="B1461"/>
      <c r="C1461"/>
      <c r="E1461" s="75"/>
      <c r="F1461" s="81"/>
      <c r="G1461" s="81"/>
      <c r="H1461"/>
      <c r="I1461"/>
      <c r="J1461"/>
      <c r="K1461"/>
    </row>
    <row r="1462" spans="2:11">
      <c r="B1462"/>
      <c r="C1462"/>
      <c r="E1462" s="75"/>
      <c r="F1462" s="81"/>
      <c r="G1462" s="81"/>
      <c r="H1462"/>
      <c r="I1462"/>
      <c r="J1462"/>
      <c r="K1462"/>
    </row>
    <row r="1463" spans="2:11">
      <c r="B1463"/>
      <c r="C1463"/>
      <c r="E1463" s="75"/>
      <c r="F1463" s="81"/>
      <c r="G1463" s="81"/>
      <c r="H1463"/>
      <c r="I1463"/>
      <c r="J1463"/>
      <c r="K1463"/>
    </row>
    <row r="1464" spans="2:11">
      <c r="B1464"/>
      <c r="C1464"/>
      <c r="E1464" s="75"/>
      <c r="F1464" s="81"/>
      <c r="G1464" s="81"/>
      <c r="H1464"/>
      <c r="I1464"/>
      <c r="J1464"/>
      <c r="K1464"/>
    </row>
    <row r="1465" spans="2:11">
      <c r="B1465"/>
      <c r="C1465"/>
      <c r="E1465" s="75"/>
      <c r="F1465" s="81"/>
      <c r="G1465" s="81"/>
      <c r="H1465"/>
      <c r="I1465"/>
      <c r="J1465"/>
      <c r="K1465"/>
    </row>
    <row r="1466" spans="2:11">
      <c r="B1466"/>
      <c r="C1466"/>
      <c r="E1466" s="75"/>
      <c r="F1466" s="81"/>
      <c r="G1466" s="81"/>
      <c r="H1466"/>
      <c r="I1466"/>
      <c r="J1466"/>
      <c r="K1466"/>
    </row>
    <row r="1467" spans="2:11">
      <c r="B1467"/>
      <c r="C1467"/>
      <c r="E1467" s="75"/>
      <c r="F1467" s="81"/>
      <c r="G1467" s="81"/>
      <c r="H1467"/>
      <c r="I1467"/>
      <c r="J1467"/>
      <c r="K1467"/>
    </row>
    <row r="1468" spans="2:11">
      <c r="B1468"/>
      <c r="C1468"/>
      <c r="E1468" s="75"/>
      <c r="F1468" s="81"/>
      <c r="G1468" s="81"/>
      <c r="H1468"/>
      <c r="I1468"/>
      <c r="J1468"/>
      <c r="K1468"/>
    </row>
    <row r="1469" spans="2:11">
      <c r="B1469"/>
      <c r="C1469"/>
      <c r="E1469" s="75"/>
      <c r="F1469" s="81"/>
      <c r="G1469" s="81"/>
      <c r="H1469"/>
      <c r="I1469"/>
      <c r="J1469"/>
      <c r="K1469"/>
    </row>
    <row r="1470" spans="2:11">
      <c r="B1470"/>
      <c r="C1470"/>
      <c r="E1470" s="75"/>
      <c r="F1470" s="81"/>
      <c r="G1470" s="81"/>
      <c r="H1470"/>
      <c r="I1470"/>
      <c r="J1470"/>
      <c r="K1470"/>
    </row>
    <row r="1471" spans="2:11">
      <c r="B1471"/>
      <c r="C1471"/>
      <c r="E1471" s="75"/>
      <c r="F1471" s="81"/>
      <c r="G1471" s="81"/>
      <c r="H1471"/>
      <c r="I1471"/>
      <c r="J1471"/>
      <c r="K1471"/>
    </row>
    <row r="1472" spans="2:11">
      <c r="B1472"/>
      <c r="C1472"/>
      <c r="E1472" s="75"/>
      <c r="F1472" s="81"/>
      <c r="G1472" s="81"/>
      <c r="H1472"/>
      <c r="I1472"/>
      <c r="J1472"/>
      <c r="K1472"/>
    </row>
    <row r="1473" spans="2:11">
      <c r="B1473"/>
      <c r="C1473"/>
      <c r="E1473" s="75"/>
      <c r="F1473" s="81"/>
      <c r="G1473" s="81"/>
      <c r="H1473"/>
      <c r="I1473"/>
      <c r="J1473"/>
      <c r="K1473"/>
    </row>
    <row r="1474" spans="2:11">
      <c r="B1474"/>
      <c r="C1474"/>
      <c r="E1474" s="75"/>
      <c r="F1474" s="81"/>
      <c r="G1474" s="81"/>
      <c r="H1474"/>
      <c r="I1474"/>
      <c r="J1474"/>
      <c r="K1474"/>
    </row>
    <row r="1475" spans="2:11">
      <c r="B1475"/>
      <c r="C1475"/>
      <c r="E1475" s="75"/>
      <c r="F1475" s="81"/>
      <c r="G1475" s="81"/>
      <c r="H1475"/>
      <c r="I1475"/>
      <c r="J1475"/>
      <c r="K1475"/>
    </row>
    <row r="1476" spans="2:11">
      <c r="B1476"/>
      <c r="C1476"/>
      <c r="E1476" s="75"/>
      <c r="F1476" s="81"/>
      <c r="G1476" s="81"/>
      <c r="H1476"/>
      <c r="I1476"/>
      <c r="J1476"/>
      <c r="K1476"/>
    </row>
    <row r="1477" spans="2:11">
      <c r="B1477"/>
      <c r="C1477"/>
      <c r="E1477" s="75"/>
      <c r="F1477" s="81"/>
      <c r="G1477" s="81"/>
      <c r="H1477"/>
      <c r="I1477"/>
      <c r="J1477"/>
      <c r="K1477"/>
    </row>
    <row r="1478" spans="2:11">
      <c r="B1478"/>
      <c r="C1478"/>
      <c r="E1478" s="75"/>
      <c r="F1478" s="81"/>
      <c r="G1478" s="81"/>
      <c r="H1478"/>
      <c r="I1478"/>
      <c r="J1478"/>
      <c r="K1478"/>
    </row>
    <row r="1479" spans="2:11">
      <c r="B1479"/>
      <c r="C1479"/>
      <c r="E1479" s="75"/>
      <c r="F1479" s="81"/>
      <c r="G1479" s="81"/>
      <c r="H1479"/>
      <c r="I1479"/>
      <c r="J1479"/>
      <c r="K1479"/>
    </row>
    <row r="1480" spans="2:11">
      <c r="B1480"/>
      <c r="C1480"/>
      <c r="E1480" s="75"/>
      <c r="F1480" s="81"/>
      <c r="G1480" s="81"/>
      <c r="H1480"/>
      <c r="I1480"/>
      <c r="J1480"/>
      <c r="K1480"/>
    </row>
    <row r="1481" spans="2:11">
      <c r="B1481"/>
      <c r="C1481"/>
      <c r="E1481" s="75"/>
      <c r="F1481" s="81"/>
      <c r="G1481" s="81"/>
      <c r="H1481"/>
      <c r="I1481"/>
      <c r="J1481"/>
      <c r="K1481"/>
    </row>
    <row r="1482" spans="2:11">
      <c r="B1482"/>
      <c r="C1482"/>
      <c r="E1482" s="75"/>
      <c r="F1482" s="81"/>
      <c r="G1482" s="81"/>
      <c r="H1482"/>
      <c r="I1482"/>
      <c r="J1482"/>
      <c r="K1482"/>
    </row>
    <row r="1483" spans="2:11">
      <c r="B1483"/>
      <c r="C1483"/>
      <c r="E1483" s="75"/>
      <c r="F1483" s="81"/>
      <c r="G1483" s="81"/>
      <c r="H1483"/>
      <c r="I1483"/>
      <c r="J1483"/>
      <c r="K1483"/>
    </row>
    <row r="1484" spans="2:11">
      <c r="B1484"/>
      <c r="C1484"/>
      <c r="E1484" s="75"/>
      <c r="F1484" s="81"/>
      <c r="G1484" s="81"/>
      <c r="H1484"/>
      <c r="I1484"/>
      <c r="J1484"/>
      <c r="K1484"/>
    </row>
    <row r="1485" spans="2:11">
      <c r="B1485"/>
      <c r="C1485"/>
      <c r="E1485" s="75"/>
      <c r="F1485" s="81"/>
      <c r="G1485" s="81"/>
      <c r="H1485"/>
      <c r="I1485"/>
      <c r="J1485"/>
      <c r="K1485"/>
    </row>
    <row r="1486" spans="2:11">
      <c r="B1486"/>
      <c r="C1486"/>
      <c r="E1486" s="75"/>
      <c r="F1486" s="81"/>
      <c r="G1486" s="81"/>
      <c r="H1486"/>
      <c r="I1486"/>
      <c r="J1486"/>
      <c r="K1486"/>
    </row>
    <row r="1487" spans="2:11">
      <c r="B1487"/>
      <c r="C1487"/>
      <c r="E1487" s="75"/>
      <c r="F1487" s="81"/>
      <c r="G1487" s="81"/>
      <c r="H1487"/>
      <c r="I1487"/>
      <c r="J1487"/>
      <c r="K1487"/>
    </row>
    <row r="1488" spans="2:11">
      <c r="B1488"/>
      <c r="C1488"/>
      <c r="E1488" s="75"/>
      <c r="F1488" s="81"/>
      <c r="G1488" s="81"/>
      <c r="H1488"/>
      <c r="I1488"/>
      <c r="J1488"/>
      <c r="K1488"/>
    </row>
    <row r="1489" spans="2:11">
      <c r="B1489"/>
      <c r="C1489"/>
      <c r="E1489" s="75"/>
      <c r="F1489" s="81"/>
      <c r="G1489" s="81"/>
      <c r="H1489"/>
      <c r="I1489"/>
      <c r="J1489"/>
      <c r="K1489"/>
    </row>
    <row r="1490" spans="2:11">
      <c r="B1490"/>
      <c r="C1490"/>
      <c r="E1490" s="75"/>
      <c r="F1490" s="81"/>
      <c r="G1490" s="81"/>
      <c r="H1490"/>
      <c r="I1490"/>
      <c r="J1490"/>
      <c r="K1490"/>
    </row>
    <row r="1491" spans="2:11">
      <c r="B1491"/>
      <c r="C1491"/>
      <c r="E1491" s="75"/>
      <c r="F1491" s="81"/>
      <c r="G1491" s="81"/>
      <c r="H1491"/>
      <c r="I1491"/>
      <c r="J1491"/>
      <c r="K1491"/>
    </row>
    <row r="1492" spans="2:11">
      <c r="B1492"/>
      <c r="C1492"/>
      <c r="E1492" s="75"/>
      <c r="F1492" s="81"/>
      <c r="G1492" s="81"/>
      <c r="H1492"/>
      <c r="I1492"/>
      <c r="J1492"/>
      <c r="K1492"/>
    </row>
    <row r="1493" spans="2:11">
      <c r="B1493"/>
      <c r="C1493"/>
      <c r="E1493" s="75"/>
      <c r="F1493" s="81"/>
      <c r="G1493" s="81"/>
      <c r="H1493"/>
      <c r="I1493"/>
      <c r="J1493"/>
      <c r="K1493"/>
    </row>
    <row r="1494" spans="2:11">
      <c r="B1494"/>
      <c r="C1494"/>
      <c r="E1494" s="75"/>
      <c r="F1494" s="81"/>
      <c r="G1494" s="81"/>
      <c r="H1494"/>
      <c r="I1494"/>
      <c r="J1494"/>
      <c r="K1494"/>
    </row>
    <row r="1495" spans="2:11">
      <c r="B1495"/>
      <c r="C1495"/>
      <c r="E1495" s="75"/>
      <c r="F1495" s="81"/>
      <c r="G1495" s="81"/>
      <c r="H1495"/>
      <c r="I1495"/>
      <c r="J1495"/>
      <c r="K1495"/>
    </row>
    <row r="1496" spans="2:11">
      <c r="B1496"/>
      <c r="C1496"/>
      <c r="E1496" s="75"/>
      <c r="F1496" s="81"/>
      <c r="G1496" s="81"/>
      <c r="H1496"/>
      <c r="I1496"/>
      <c r="J1496"/>
      <c r="K1496"/>
    </row>
    <row r="1497" spans="2:11">
      <c r="B1497"/>
      <c r="C1497"/>
      <c r="E1497" s="75"/>
      <c r="F1497" s="81"/>
      <c r="G1497" s="81"/>
      <c r="H1497"/>
      <c r="I1497"/>
      <c r="J1497"/>
      <c r="K1497"/>
    </row>
    <row r="1498" spans="2:11">
      <c r="B1498"/>
      <c r="C1498"/>
      <c r="E1498" s="75"/>
      <c r="F1498" s="81"/>
      <c r="G1498" s="81"/>
      <c r="H1498"/>
      <c r="I1498"/>
      <c r="J1498"/>
      <c r="K1498"/>
    </row>
    <row r="1499" spans="2:11">
      <c r="B1499"/>
      <c r="C1499"/>
      <c r="E1499" s="75"/>
      <c r="F1499" s="81"/>
      <c r="G1499" s="81"/>
      <c r="H1499"/>
      <c r="I1499"/>
      <c r="J1499"/>
      <c r="K1499"/>
    </row>
    <row r="1500" spans="2:11">
      <c r="B1500"/>
      <c r="C1500"/>
      <c r="E1500" s="75"/>
      <c r="F1500" s="81"/>
      <c r="G1500" s="81"/>
      <c r="H1500"/>
      <c r="I1500"/>
      <c r="J1500"/>
      <c r="K1500"/>
    </row>
    <row r="1501" spans="2:11">
      <c r="B1501"/>
      <c r="C1501"/>
      <c r="E1501" s="75"/>
      <c r="F1501" s="81"/>
      <c r="G1501" s="81"/>
      <c r="H1501"/>
      <c r="I1501"/>
      <c r="J1501"/>
      <c r="K1501"/>
    </row>
    <row r="1502" spans="2:11">
      <c r="B1502"/>
      <c r="C1502"/>
      <c r="E1502" s="75"/>
      <c r="F1502" s="81"/>
      <c r="G1502" s="81"/>
      <c r="H1502"/>
      <c r="I1502"/>
      <c r="J1502"/>
      <c r="K1502"/>
    </row>
    <row r="1503" spans="2:11">
      <c r="B1503"/>
      <c r="C1503"/>
      <c r="E1503" s="75"/>
      <c r="F1503" s="81"/>
      <c r="G1503" s="81"/>
      <c r="H1503"/>
      <c r="I1503"/>
      <c r="J1503"/>
      <c r="K1503"/>
    </row>
    <row r="1504" spans="2:11">
      <c r="B1504"/>
      <c r="C1504"/>
      <c r="E1504" s="75"/>
      <c r="F1504" s="81"/>
      <c r="G1504" s="81"/>
      <c r="H1504"/>
      <c r="I1504"/>
      <c r="J1504"/>
      <c r="K1504"/>
    </row>
    <row r="1505" spans="2:11">
      <c r="B1505"/>
      <c r="C1505"/>
      <c r="E1505" s="75"/>
      <c r="F1505" s="81"/>
      <c r="G1505" s="81"/>
      <c r="H1505"/>
      <c r="I1505"/>
      <c r="J1505"/>
      <c r="K1505"/>
    </row>
    <row r="1506" spans="2:11">
      <c r="B1506"/>
      <c r="C1506"/>
      <c r="E1506" s="75"/>
      <c r="F1506" s="81"/>
      <c r="G1506" s="81"/>
      <c r="H1506"/>
      <c r="I1506"/>
      <c r="J1506"/>
      <c r="K1506"/>
    </row>
    <row r="1507" spans="2:11">
      <c r="B1507"/>
      <c r="C1507"/>
      <c r="E1507" s="75"/>
      <c r="F1507" s="81"/>
      <c r="G1507" s="81"/>
      <c r="H1507"/>
      <c r="I1507"/>
      <c r="J1507"/>
      <c r="K1507"/>
    </row>
    <row r="1508" spans="2:11">
      <c r="B1508"/>
      <c r="C1508"/>
      <c r="E1508" s="75"/>
      <c r="F1508" s="81"/>
      <c r="G1508" s="81"/>
      <c r="H1508"/>
      <c r="I1508"/>
      <c r="J1508"/>
      <c r="K1508"/>
    </row>
    <row r="1509" spans="2:11">
      <c r="B1509"/>
      <c r="C1509"/>
      <c r="E1509" s="75"/>
      <c r="F1509" s="81"/>
      <c r="G1509" s="81"/>
      <c r="H1509"/>
      <c r="I1509"/>
      <c r="J1509"/>
      <c r="K1509"/>
    </row>
    <row r="1510" spans="2:11">
      <c r="B1510"/>
      <c r="C1510"/>
      <c r="E1510" s="75"/>
      <c r="F1510" s="81"/>
      <c r="G1510" s="81"/>
      <c r="H1510"/>
      <c r="I1510"/>
      <c r="J1510"/>
      <c r="K1510"/>
    </row>
    <row r="1511" spans="2:11">
      <c r="B1511"/>
      <c r="C1511"/>
      <c r="E1511" s="75"/>
      <c r="F1511" s="81"/>
      <c r="G1511" s="81"/>
      <c r="H1511"/>
      <c r="I1511"/>
      <c r="J1511"/>
      <c r="K1511"/>
    </row>
    <row r="1512" spans="2:11">
      <c r="B1512"/>
      <c r="C1512"/>
      <c r="E1512" s="75"/>
      <c r="F1512" s="81"/>
      <c r="G1512" s="81"/>
      <c r="H1512"/>
      <c r="I1512"/>
      <c r="J1512"/>
      <c r="K1512"/>
    </row>
    <row r="1513" spans="2:11">
      <c r="B1513"/>
      <c r="C1513"/>
      <c r="E1513" s="75"/>
      <c r="F1513" s="81"/>
      <c r="G1513" s="81"/>
      <c r="H1513"/>
      <c r="I1513"/>
      <c r="J1513"/>
      <c r="K1513"/>
    </row>
    <row r="1514" spans="2:11">
      <c r="B1514"/>
      <c r="C1514"/>
      <c r="E1514" s="75"/>
      <c r="F1514" s="81"/>
      <c r="G1514" s="81"/>
      <c r="H1514"/>
      <c r="I1514"/>
      <c r="J1514"/>
      <c r="K1514"/>
    </row>
    <row r="1515" spans="2:11">
      <c r="B1515"/>
      <c r="C1515"/>
      <c r="E1515" s="75"/>
      <c r="F1515" s="81"/>
      <c r="G1515" s="81"/>
      <c r="H1515"/>
      <c r="I1515"/>
      <c r="J1515"/>
      <c r="K1515"/>
    </row>
    <row r="1516" spans="2:11">
      <c r="B1516"/>
      <c r="C1516"/>
      <c r="E1516" s="75"/>
      <c r="F1516" s="81"/>
      <c r="G1516" s="81"/>
      <c r="H1516"/>
      <c r="I1516"/>
      <c r="J1516"/>
      <c r="K1516"/>
    </row>
    <row r="1517" spans="2:11">
      <c r="B1517"/>
      <c r="C1517"/>
      <c r="E1517" s="75"/>
      <c r="F1517" s="81"/>
      <c r="G1517" s="81"/>
      <c r="H1517"/>
      <c r="I1517"/>
      <c r="J1517"/>
      <c r="K1517"/>
    </row>
    <row r="1518" spans="2:11">
      <c r="B1518"/>
      <c r="C1518"/>
      <c r="E1518" s="75"/>
      <c r="F1518" s="81"/>
      <c r="G1518" s="81"/>
      <c r="H1518"/>
      <c r="I1518"/>
      <c r="J1518"/>
      <c r="K1518"/>
    </row>
    <row r="1519" spans="2:11">
      <c r="B1519"/>
      <c r="C1519"/>
      <c r="E1519" s="75"/>
      <c r="F1519" s="81"/>
      <c r="G1519" s="81"/>
      <c r="H1519"/>
      <c r="I1519"/>
      <c r="J1519"/>
      <c r="K1519"/>
    </row>
    <row r="1520" spans="2:11">
      <c r="B1520"/>
      <c r="C1520"/>
      <c r="E1520" s="75"/>
      <c r="F1520" s="81"/>
      <c r="G1520" s="81"/>
      <c r="H1520"/>
      <c r="I1520"/>
      <c r="J1520"/>
      <c r="K1520"/>
    </row>
    <row r="1521" spans="2:11">
      <c r="B1521"/>
      <c r="C1521"/>
      <c r="E1521" s="75"/>
      <c r="F1521" s="81"/>
      <c r="G1521" s="81"/>
      <c r="H1521"/>
      <c r="I1521"/>
      <c r="J1521"/>
      <c r="K1521"/>
    </row>
    <row r="1522" spans="2:11">
      <c r="B1522"/>
      <c r="C1522"/>
      <c r="E1522" s="75"/>
      <c r="F1522" s="81"/>
      <c r="G1522" s="81"/>
      <c r="H1522"/>
      <c r="I1522"/>
      <c r="J1522"/>
      <c r="K1522"/>
    </row>
    <row r="1523" spans="2:11">
      <c r="B1523"/>
      <c r="C1523"/>
      <c r="E1523" s="75"/>
      <c r="F1523" s="81"/>
      <c r="G1523" s="81"/>
      <c r="H1523"/>
      <c r="I1523"/>
      <c r="J1523"/>
      <c r="K1523"/>
    </row>
    <row r="1524" spans="2:11">
      <c r="B1524"/>
      <c r="C1524"/>
      <c r="E1524" s="75"/>
      <c r="F1524" s="81"/>
      <c r="G1524" s="81"/>
      <c r="H1524"/>
      <c r="I1524"/>
      <c r="J1524"/>
      <c r="K1524"/>
    </row>
    <row r="1525" spans="2:11">
      <c r="B1525"/>
      <c r="C1525"/>
      <c r="E1525" s="75"/>
      <c r="F1525" s="81"/>
      <c r="G1525" s="81"/>
      <c r="H1525"/>
      <c r="I1525"/>
      <c r="J1525"/>
      <c r="K1525"/>
    </row>
    <row r="1526" spans="2:11">
      <c r="B1526"/>
      <c r="C1526"/>
      <c r="E1526" s="75"/>
      <c r="F1526" s="81"/>
      <c r="G1526" s="81"/>
      <c r="H1526"/>
      <c r="I1526"/>
      <c r="J1526"/>
      <c r="K1526"/>
    </row>
    <row r="1527" spans="2:11">
      <c r="B1527"/>
      <c r="C1527"/>
      <c r="E1527" s="75"/>
      <c r="F1527" s="81"/>
      <c r="G1527" s="81"/>
      <c r="H1527"/>
      <c r="I1527"/>
      <c r="J1527"/>
      <c r="K1527"/>
    </row>
    <row r="1528" spans="2:11">
      <c r="B1528"/>
      <c r="C1528"/>
      <c r="E1528" s="75"/>
      <c r="F1528" s="81"/>
      <c r="G1528" s="81"/>
      <c r="H1528"/>
      <c r="I1528"/>
      <c r="J1528"/>
      <c r="K1528"/>
    </row>
    <row r="1529" spans="2:11">
      <c r="B1529"/>
      <c r="C1529"/>
      <c r="E1529" s="75"/>
      <c r="F1529" s="81"/>
      <c r="G1529" s="81"/>
      <c r="H1529"/>
      <c r="I1529"/>
      <c r="J1529"/>
      <c r="K1529"/>
    </row>
    <row r="1530" spans="2:11">
      <c r="B1530"/>
      <c r="C1530"/>
      <c r="E1530" s="75"/>
      <c r="F1530" s="81"/>
      <c r="G1530" s="81"/>
      <c r="H1530"/>
      <c r="I1530"/>
      <c r="J1530"/>
      <c r="K1530"/>
    </row>
    <row r="1531" spans="2:11">
      <c r="B1531"/>
      <c r="C1531"/>
      <c r="E1531" s="75"/>
      <c r="F1531" s="81"/>
      <c r="G1531" s="81"/>
      <c r="H1531"/>
      <c r="I1531"/>
      <c r="J1531"/>
      <c r="K1531"/>
    </row>
    <row r="1532" spans="2:11">
      <c r="B1532"/>
      <c r="C1532"/>
      <c r="E1532" s="75"/>
      <c r="F1532" s="81"/>
      <c r="G1532" s="81"/>
      <c r="H1532"/>
      <c r="I1532"/>
      <c r="J1532"/>
      <c r="K1532"/>
    </row>
    <row r="1533" spans="2:11">
      <c r="B1533"/>
      <c r="C1533"/>
      <c r="E1533" s="75"/>
      <c r="F1533" s="81"/>
      <c r="G1533" s="81"/>
      <c r="H1533"/>
      <c r="I1533"/>
      <c r="J1533"/>
      <c r="K1533"/>
    </row>
    <row r="1534" spans="2:11">
      <c r="B1534"/>
      <c r="C1534"/>
      <c r="E1534" s="75"/>
      <c r="F1534" s="81"/>
      <c r="G1534" s="81"/>
      <c r="H1534"/>
      <c r="I1534"/>
      <c r="J1534"/>
      <c r="K1534"/>
    </row>
    <row r="1535" spans="2:11">
      <c r="B1535"/>
      <c r="C1535"/>
      <c r="E1535" s="75"/>
      <c r="F1535" s="81"/>
      <c r="G1535" s="81"/>
      <c r="H1535"/>
      <c r="I1535"/>
      <c r="J1535"/>
      <c r="K1535"/>
    </row>
    <row r="1536" spans="2:11">
      <c r="B1536"/>
      <c r="C1536"/>
      <c r="E1536" s="75"/>
      <c r="F1536" s="81"/>
      <c r="G1536" s="81"/>
      <c r="H1536"/>
      <c r="I1536"/>
      <c r="J1536"/>
      <c r="K1536"/>
    </row>
    <row r="1537" spans="2:11">
      <c r="B1537"/>
      <c r="C1537"/>
      <c r="E1537" s="75"/>
      <c r="F1537" s="81"/>
      <c r="G1537" s="81"/>
      <c r="H1537"/>
      <c r="I1537"/>
      <c r="J1537"/>
      <c r="K1537"/>
    </row>
    <row r="1538" spans="2:11">
      <c r="B1538"/>
      <c r="C1538"/>
      <c r="E1538" s="75"/>
      <c r="F1538" s="81"/>
      <c r="G1538" s="81"/>
      <c r="H1538"/>
      <c r="I1538"/>
      <c r="J1538"/>
      <c r="K1538"/>
    </row>
    <row r="1539" spans="2:11">
      <c r="B1539"/>
      <c r="C1539"/>
      <c r="E1539" s="75"/>
      <c r="F1539" s="81"/>
      <c r="G1539" s="81"/>
      <c r="H1539"/>
      <c r="I1539"/>
      <c r="J1539"/>
      <c r="K1539"/>
    </row>
    <row r="1540" spans="2:11">
      <c r="B1540"/>
      <c r="C1540"/>
      <c r="E1540" s="75"/>
      <c r="F1540" s="81"/>
      <c r="G1540" s="81"/>
      <c r="H1540"/>
      <c r="I1540"/>
      <c r="J1540"/>
      <c r="K1540"/>
    </row>
    <row r="1541" spans="2:11">
      <c r="B1541"/>
      <c r="C1541"/>
      <c r="E1541" s="75"/>
      <c r="F1541" s="81"/>
      <c r="G1541" s="81"/>
      <c r="H1541"/>
      <c r="I1541"/>
      <c r="J1541"/>
      <c r="K1541"/>
    </row>
    <row r="1542" spans="2:11">
      <c r="B1542"/>
      <c r="C1542"/>
      <c r="E1542" s="75"/>
      <c r="F1542" s="81"/>
      <c r="G1542" s="81"/>
      <c r="H1542"/>
      <c r="I1542"/>
      <c r="J1542"/>
      <c r="K1542"/>
    </row>
    <row r="1543" spans="2:11">
      <c r="B1543"/>
      <c r="C1543"/>
      <c r="E1543" s="75"/>
      <c r="F1543" s="81"/>
      <c r="G1543" s="81"/>
      <c r="H1543"/>
      <c r="I1543"/>
      <c r="J1543"/>
      <c r="K1543"/>
    </row>
    <row r="1544" spans="2:11">
      <c r="B1544"/>
      <c r="C1544"/>
      <c r="E1544" s="75"/>
      <c r="F1544" s="81"/>
      <c r="G1544" s="81"/>
      <c r="H1544"/>
      <c r="I1544"/>
      <c r="J1544"/>
      <c r="K1544"/>
    </row>
    <row r="1545" spans="2:11">
      <c r="B1545"/>
      <c r="C1545"/>
      <c r="E1545" s="75"/>
      <c r="F1545" s="81"/>
      <c r="G1545" s="81"/>
      <c r="H1545"/>
      <c r="I1545"/>
      <c r="J1545"/>
      <c r="K1545"/>
    </row>
    <row r="1546" spans="2:11">
      <c r="B1546"/>
      <c r="C1546"/>
      <c r="E1546" s="75"/>
      <c r="F1546" s="81"/>
      <c r="G1546" s="81"/>
      <c r="H1546"/>
      <c r="I1546"/>
      <c r="J1546"/>
      <c r="K1546"/>
    </row>
    <row r="1547" spans="2:11">
      <c r="B1547"/>
      <c r="C1547"/>
      <c r="E1547" s="75"/>
      <c r="F1547" s="81"/>
      <c r="G1547" s="81"/>
      <c r="H1547"/>
      <c r="I1547"/>
      <c r="J1547"/>
      <c r="K1547"/>
    </row>
    <row r="1548" spans="2:11">
      <c r="B1548"/>
      <c r="C1548"/>
      <c r="E1548" s="75"/>
      <c r="F1548" s="81"/>
      <c r="G1548" s="81"/>
      <c r="H1548"/>
      <c r="I1548"/>
      <c r="J1548"/>
      <c r="K1548"/>
    </row>
    <row r="1549" spans="2:11">
      <c r="B1549"/>
      <c r="C1549"/>
      <c r="E1549" s="75"/>
      <c r="F1549" s="81"/>
      <c r="G1549" s="81"/>
      <c r="H1549"/>
      <c r="I1549"/>
      <c r="J1549"/>
      <c r="K1549"/>
    </row>
    <row r="1550" spans="2:11">
      <c r="B1550"/>
      <c r="C1550"/>
      <c r="E1550" s="75"/>
      <c r="F1550" s="81"/>
      <c r="G1550" s="81"/>
      <c r="H1550"/>
      <c r="I1550"/>
      <c r="J1550"/>
      <c r="K1550"/>
    </row>
    <row r="1551" spans="2:11">
      <c r="B1551"/>
      <c r="C1551"/>
      <c r="E1551" s="75"/>
      <c r="F1551" s="81"/>
      <c r="G1551" s="81"/>
      <c r="H1551"/>
      <c r="I1551"/>
      <c r="J1551"/>
      <c r="K1551"/>
    </row>
    <row r="1552" spans="2:11">
      <c r="B1552"/>
      <c r="C1552"/>
      <c r="E1552" s="75"/>
      <c r="F1552" s="81"/>
      <c r="G1552" s="81"/>
      <c r="H1552"/>
      <c r="I1552"/>
      <c r="J1552"/>
      <c r="K1552"/>
    </row>
    <row r="1553" spans="2:11">
      <c r="B1553"/>
      <c r="C1553"/>
      <c r="E1553" s="75"/>
      <c r="F1553" s="81"/>
      <c r="G1553" s="81"/>
      <c r="H1553"/>
      <c r="I1553"/>
      <c r="J1553"/>
      <c r="K1553"/>
    </row>
    <row r="1554" spans="2:11">
      <c r="B1554"/>
      <c r="C1554"/>
      <c r="E1554" s="75"/>
      <c r="F1554" s="81"/>
      <c r="G1554" s="81"/>
      <c r="H1554"/>
      <c r="I1554"/>
      <c r="J1554"/>
      <c r="K1554"/>
    </row>
    <row r="1555" spans="2:11">
      <c r="B1555"/>
      <c r="C1555"/>
      <c r="E1555" s="75"/>
      <c r="F1555" s="81"/>
      <c r="G1555" s="81"/>
      <c r="H1555"/>
      <c r="I1555"/>
      <c r="J1555"/>
      <c r="K1555"/>
    </row>
    <row r="1556" spans="2:11">
      <c r="B1556"/>
      <c r="C1556"/>
      <c r="E1556" s="75"/>
      <c r="F1556" s="81"/>
      <c r="G1556" s="81"/>
      <c r="H1556"/>
      <c r="I1556"/>
      <c r="J1556"/>
      <c r="K1556"/>
    </row>
    <row r="1557" spans="2:11">
      <c r="B1557"/>
      <c r="C1557"/>
      <c r="E1557" s="75"/>
      <c r="F1557" s="81"/>
      <c r="G1557" s="81"/>
      <c r="H1557"/>
      <c r="I1557"/>
      <c r="J1557"/>
      <c r="K1557"/>
    </row>
    <row r="1558" spans="2:11">
      <c r="B1558"/>
      <c r="C1558"/>
      <c r="E1558" s="75"/>
      <c r="F1558" s="81"/>
      <c r="G1558" s="81"/>
      <c r="H1558"/>
      <c r="I1558"/>
      <c r="J1558"/>
      <c r="K1558"/>
    </row>
    <row r="1559" spans="2:11">
      <c r="B1559"/>
      <c r="C1559"/>
      <c r="E1559" s="75"/>
      <c r="F1559" s="81"/>
      <c r="G1559" s="81"/>
      <c r="H1559"/>
      <c r="I1559"/>
      <c r="J1559"/>
      <c r="K1559"/>
    </row>
    <row r="1560" spans="2:11">
      <c r="B1560"/>
      <c r="C1560"/>
      <c r="E1560" s="75"/>
      <c r="F1560" s="81"/>
      <c r="G1560" s="81"/>
      <c r="H1560"/>
      <c r="I1560"/>
      <c r="J1560"/>
      <c r="K1560"/>
    </row>
    <row r="1561" spans="2:11">
      <c r="B1561"/>
      <c r="C1561"/>
      <c r="E1561" s="75"/>
      <c r="F1561" s="81"/>
      <c r="G1561" s="81"/>
      <c r="H1561"/>
      <c r="I1561"/>
      <c r="J1561"/>
      <c r="K1561"/>
    </row>
    <row r="1562" spans="2:11">
      <c r="B1562"/>
      <c r="C1562"/>
      <c r="E1562" s="75"/>
      <c r="F1562" s="81"/>
      <c r="G1562" s="81"/>
      <c r="H1562"/>
      <c r="I1562"/>
      <c r="J1562"/>
      <c r="K1562"/>
    </row>
    <row r="1563" spans="2:11">
      <c r="B1563"/>
      <c r="C1563"/>
      <c r="E1563" s="75"/>
      <c r="F1563" s="81"/>
      <c r="G1563" s="81"/>
      <c r="H1563"/>
      <c r="I1563"/>
      <c r="J1563"/>
      <c r="K1563"/>
    </row>
    <row r="1564" spans="2:11">
      <c r="B1564"/>
      <c r="C1564"/>
      <c r="E1564" s="75"/>
      <c r="F1564" s="81"/>
      <c r="G1564" s="81"/>
      <c r="H1564"/>
      <c r="I1564"/>
      <c r="J1564"/>
      <c r="K1564"/>
    </row>
    <row r="1565" spans="2:11">
      <c r="B1565"/>
      <c r="C1565"/>
      <c r="E1565" s="75"/>
      <c r="F1565" s="81"/>
      <c r="G1565" s="81"/>
      <c r="H1565"/>
      <c r="I1565"/>
      <c r="J1565"/>
      <c r="K1565"/>
    </row>
    <row r="1566" spans="2:11">
      <c r="B1566"/>
      <c r="C1566"/>
      <c r="E1566" s="75"/>
      <c r="F1566" s="81"/>
      <c r="G1566" s="81"/>
      <c r="H1566"/>
      <c r="I1566"/>
      <c r="J1566"/>
      <c r="K1566"/>
    </row>
    <row r="1567" spans="2:11">
      <c r="B1567"/>
      <c r="C1567"/>
      <c r="E1567" s="75"/>
      <c r="F1567" s="81"/>
      <c r="G1567" s="81"/>
      <c r="H1567"/>
      <c r="I1567"/>
      <c r="J1567"/>
      <c r="K1567"/>
    </row>
    <row r="1568" spans="2:11">
      <c r="B1568"/>
      <c r="C1568"/>
      <c r="E1568" s="75"/>
      <c r="F1568" s="81"/>
      <c r="G1568" s="81"/>
      <c r="H1568"/>
      <c r="I1568"/>
      <c r="J1568"/>
      <c r="K1568"/>
    </row>
    <row r="1569" spans="2:11">
      <c r="B1569"/>
      <c r="C1569"/>
      <c r="E1569" s="75"/>
      <c r="F1569" s="81"/>
      <c r="G1569" s="81"/>
      <c r="H1569"/>
      <c r="I1569"/>
      <c r="J1569"/>
      <c r="K1569"/>
    </row>
    <row r="1570" spans="2:11">
      <c r="B1570"/>
      <c r="C1570"/>
      <c r="E1570" s="75"/>
      <c r="F1570" s="81"/>
      <c r="G1570" s="81"/>
      <c r="H1570"/>
      <c r="I1570"/>
      <c r="J1570"/>
      <c r="K1570"/>
    </row>
    <row r="1571" spans="2:11">
      <c r="B1571"/>
      <c r="C1571"/>
      <c r="E1571" s="75"/>
      <c r="F1571" s="81"/>
      <c r="G1571" s="81"/>
      <c r="H1571"/>
      <c r="I1571"/>
      <c r="J1571"/>
      <c r="K1571"/>
    </row>
    <row r="1572" spans="2:11">
      <c r="B1572"/>
      <c r="C1572"/>
      <c r="E1572" s="75"/>
      <c r="F1572" s="81"/>
      <c r="G1572" s="81"/>
      <c r="H1572"/>
      <c r="I1572"/>
      <c r="J1572"/>
      <c r="K1572"/>
    </row>
    <row r="1573" spans="2:11">
      <c r="B1573"/>
      <c r="C1573"/>
      <c r="E1573" s="75"/>
      <c r="F1573" s="81"/>
      <c r="G1573" s="81"/>
      <c r="H1573"/>
      <c r="I1573"/>
      <c r="J1573"/>
      <c r="K1573"/>
    </row>
    <row r="1574" spans="2:11">
      <c r="B1574"/>
      <c r="C1574"/>
      <c r="E1574" s="75"/>
      <c r="F1574" s="81"/>
      <c r="G1574" s="81"/>
      <c r="H1574"/>
      <c r="I1574"/>
      <c r="J1574"/>
      <c r="K1574"/>
    </row>
    <row r="1575" spans="2:11">
      <c r="B1575"/>
      <c r="C1575"/>
      <c r="E1575" s="75"/>
      <c r="F1575" s="81"/>
      <c r="G1575" s="81"/>
      <c r="H1575"/>
      <c r="I1575"/>
      <c r="J1575"/>
      <c r="K1575"/>
    </row>
    <row r="1576" spans="2:11">
      <c r="B1576"/>
      <c r="C1576"/>
      <c r="E1576" s="75"/>
      <c r="F1576" s="81"/>
      <c r="G1576" s="81"/>
      <c r="H1576"/>
      <c r="I1576"/>
      <c r="J1576"/>
      <c r="K1576"/>
    </row>
    <row r="1577" spans="2:11">
      <c r="B1577"/>
      <c r="C1577"/>
      <c r="E1577" s="75"/>
      <c r="F1577" s="81"/>
      <c r="G1577" s="81"/>
      <c r="H1577"/>
      <c r="I1577"/>
      <c r="J1577"/>
      <c r="K1577"/>
    </row>
    <row r="1578" spans="2:11">
      <c r="B1578"/>
      <c r="C1578"/>
      <c r="E1578" s="75"/>
      <c r="F1578" s="81"/>
      <c r="G1578" s="81"/>
      <c r="H1578"/>
      <c r="I1578"/>
      <c r="J1578"/>
      <c r="K1578"/>
    </row>
    <row r="1579" spans="2:11">
      <c r="B1579"/>
      <c r="C1579"/>
      <c r="E1579" s="75"/>
      <c r="F1579" s="81"/>
      <c r="G1579" s="81"/>
      <c r="H1579"/>
      <c r="I1579"/>
      <c r="J1579"/>
      <c r="K1579"/>
    </row>
    <row r="1580" spans="2:11">
      <c r="B1580"/>
      <c r="C1580"/>
      <c r="E1580" s="75"/>
      <c r="F1580" s="81"/>
      <c r="G1580" s="81"/>
      <c r="H1580"/>
      <c r="I1580"/>
      <c r="J1580"/>
      <c r="K1580"/>
    </row>
    <row r="1581" spans="2:11">
      <c r="B1581"/>
      <c r="C1581"/>
      <c r="E1581" s="75"/>
      <c r="F1581" s="81"/>
      <c r="G1581" s="81"/>
      <c r="H1581"/>
      <c r="I1581"/>
      <c r="J1581"/>
      <c r="K1581"/>
    </row>
    <row r="1582" spans="2:11">
      <c r="B1582"/>
      <c r="C1582"/>
      <c r="E1582" s="75"/>
      <c r="F1582" s="81"/>
      <c r="G1582" s="81"/>
      <c r="H1582"/>
      <c r="I1582"/>
      <c r="J1582"/>
      <c r="K1582"/>
    </row>
    <row r="1583" spans="2:11">
      <c r="B1583"/>
      <c r="C1583"/>
      <c r="E1583" s="75"/>
      <c r="F1583" s="81"/>
      <c r="G1583" s="81"/>
      <c r="H1583"/>
      <c r="I1583"/>
      <c r="J1583"/>
      <c r="K1583"/>
    </row>
    <row r="1584" spans="2:11">
      <c r="B1584"/>
      <c r="C1584"/>
      <c r="E1584" s="75"/>
      <c r="F1584" s="81"/>
      <c r="G1584" s="81"/>
      <c r="H1584"/>
      <c r="I1584"/>
      <c r="J1584"/>
      <c r="K1584"/>
    </row>
    <row r="1585" spans="2:11">
      <c r="B1585"/>
      <c r="C1585"/>
      <c r="E1585" s="75"/>
      <c r="F1585" s="81"/>
      <c r="G1585" s="81"/>
      <c r="H1585"/>
      <c r="I1585"/>
      <c r="J1585"/>
      <c r="K1585"/>
    </row>
    <row r="1586" spans="2:11">
      <c r="B1586"/>
      <c r="C1586"/>
      <c r="E1586" s="75"/>
      <c r="F1586" s="81"/>
      <c r="G1586" s="81"/>
      <c r="H1586"/>
      <c r="I1586"/>
      <c r="J1586"/>
      <c r="K1586"/>
    </row>
    <row r="1587" spans="2:11">
      <c r="B1587"/>
      <c r="C1587"/>
      <c r="E1587" s="75"/>
      <c r="F1587" s="81"/>
      <c r="G1587" s="81"/>
      <c r="H1587"/>
      <c r="I1587"/>
      <c r="J1587"/>
      <c r="K1587"/>
    </row>
    <row r="1588" spans="2:11">
      <c r="B1588"/>
      <c r="C1588"/>
      <c r="E1588" s="75"/>
      <c r="F1588" s="81"/>
      <c r="G1588" s="81"/>
      <c r="H1588"/>
      <c r="I1588"/>
      <c r="J1588"/>
      <c r="K1588"/>
    </row>
    <row r="1589" spans="2:11">
      <c r="B1589"/>
      <c r="C1589"/>
      <c r="E1589" s="75"/>
      <c r="F1589" s="81"/>
      <c r="G1589" s="81"/>
      <c r="H1589"/>
      <c r="I1589"/>
      <c r="J1589"/>
      <c r="K1589"/>
    </row>
    <row r="1590" spans="2:11">
      <c r="B1590"/>
      <c r="C1590"/>
      <c r="E1590" s="75"/>
      <c r="F1590" s="81"/>
      <c r="G1590" s="81"/>
      <c r="H1590"/>
      <c r="I1590"/>
      <c r="J1590"/>
      <c r="K1590"/>
    </row>
    <row r="1591" spans="2:11">
      <c r="B1591"/>
      <c r="C1591"/>
      <c r="E1591" s="75"/>
      <c r="F1591" s="81"/>
      <c r="G1591" s="81"/>
      <c r="H1591"/>
      <c r="I1591"/>
      <c r="J1591"/>
      <c r="K1591"/>
    </row>
    <row r="1592" spans="2:11">
      <c r="B1592"/>
      <c r="C1592"/>
      <c r="E1592" s="75"/>
      <c r="F1592" s="81"/>
      <c r="G1592" s="81"/>
      <c r="H1592"/>
      <c r="I1592"/>
      <c r="J1592"/>
      <c r="K1592"/>
    </row>
    <row r="1593" spans="2:11">
      <c r="B1593"/>
      <c r="C1593"/>
      <c r="E1593" s="75"/>
      <c r="F1593" s="81"/>
      <c r="G1593" s="81"/>
      <c r="H1593"/>
      <c r="I1593"/>
      <c r="J1593"/>
      <c r="K1593"/>
    </row>
    <row r="1594" spans="2:11">
      <c r="B1594"/>
      <c r="C1594"/>
      <c r="E1594" s="75"/>
      <c r="F1594" s="81"/>
      <c r="G1594" s="81"/>
      <c r="H1594"/>
      <c r="I1594"/>
      <c r="J1594"/>
      <c r="K1594"/>
    </row>
    <row r="1595" spans="2:11">
      <c r="B1595"/>
      <c r="C1595"/>
      <c r="E1595" s="75"/>
      <c r="F1595" s="81"/>
      <c r="G1595" s="81"/>
      <c r="H1595"/>
      <c r="I1595"/>
      <c r="J1595"/>
      <c r="K1595"/>
    </row>
    <row r="1596" spans="2:11">
      <c r="B1596"/>
      <c r="C1596"/>
      <c r="E1596" s="75"/>
      <c r="F1596" s="81"/>
      <c r="G1596" s="81"/>
      <c r="H1596"/>
      <c r="I1596"/>
      <c r="J1596"/>
      <c r="K1596"/>
    </row>
    <row r="1597" spans="2:11">
      <c r="B1597"/>
      <c r="C1597"/>
      <c r="E1597" s="75"/>
      <c r="F1597" s="81"/>
      <c r="G1597" s="81"/>
      <c r="H1597"/>
      <c r="I1597"/>
      <c r="J1597"/>
      <c r="K1597"/>
    </row>
    <row r="1598" spans="2:11">
      <c r="B1598"/>
      <c r="C1598"/>
      <c r="E1598" s="75"/>
      <c r="F1598" s="81"/>
      <c r="G1598" s="81"/>
      <c r="H1598"/>
      <c r="I1598"/>
      <c r="J1598"/>
      <c r="K1598"/>
    </row>
    <row r="1599" spans="2:11">
      <c r="B1599"/>
      <c r="C1599"/>
      <c r="E1599" s="75"/>
      <c r="F1599" s="81"/>
      <c r="G1599" s="81"/>
      <c r="H1599"/>
      <c r="I1599"/>
      <c r="J1599"/>
      <c r="K1599"/>
    </row>
    <row r="1600" spans="2:11">
      <c r="B1600"/>
      <c r="C1600"/>
      <c r="E1600" s="75"/>
      <c r="F1600" s="81"/>
      <c r="G1600" s="81"/>
      <c r="H1600"/>
      <c r="I1600"/>
      <c r="J1600"/>
      <c r="K1600"/>
    </row>
    <row r="1601" spans="2:11">
      <c r="B1601"/>
      <c r="C1601"/>
      <c r="E1601" s="75"/>
      <c r="F1601" s="81"/>
      <c r="G1601" s="81"/>
      <c r="H1601"/>
      <c r="I1601"/>
      <c r="J1601"/>
      <c r="K1601"/>
    </row>
    <row r="1602" spans="2:11">
      <c r="B1602"/>
      <c r="C1602"/>
      <c r="E1602" s="75"/>
      <c r="F1602" s="81"/>
      <c r="G1602" s="81"/>
      <c r="H1602"/>
      <c r="I1602"/>
      <c r="J1602"/>
      <c r="K1602"/>
    </row>
    <row r="1603" spans="2:11">
      <c r="B1603"/>
      <c r="C1603"/>
      <c r="E1603" s="75"/>
      <c r="F1603" s="81"/>
      <c r="G1603" s="81"/>
      <c r="H1603"/>
      <c r="I1603"/>
      <c r="J1603"/>
      <c r="K1603"/>
    </row>
    <row r="1604" spans="2:11">
      <c r="B1604"/>
      <c r="C1604"/>
      <c r="E1604" s="75"/>
      <c r="F1604" s="81"/>
      <c r="G1604" s="81"/>
      <c r="H1604"/>
      <c r="I1604"/>
      <c r="J1604"/>
      <c r="K1604"/>
    </row>
    <row r="1605" spans="2:11">
      <c r="B1605"/>
      <c r="C1605"/>
      <c r="E1605" s="75"/>
      <c r="F1605" s="81"/>
      <c r="G1605" s="81"/>
      <c r="H1605"/>
      <c r="I1605"/>
      <c r="J1605"/>
      <c r="K1605"/>
    </row>
    <row r="1606" spans="2:11">
      <c r="B1606"/>
      <c r="C1606"/>
      <c r="E1606" s="75"/>
      <c r="F1606" s="81"/>
      <c r="G1606" s="81"/>
      <c r="H1606"/>
      <c r="I1606"/>
      <c r="J1606"/>
      <c r="K1606"/>
    </row>
    <row r="1607" spans="2:11">
      <c r="B1607"/>
      <c r="C1607"/>
      <c r="E1607" s="75"/>
      <c r="F1607" s="81"/>
      <c r="G1607" s="81"/>
      <c r="H1607"/>
      <c r="I1607"/>
      <c r="J1607"/>
      <c r="K1607"/>
    </row>
    <row r="1608" spans="2:11">
      <c r="B1608"/>
      <c r="C1608"/>
      <c r="E1608" s="75"/>
      <c r="F1608" s="81"/>
      <c r="G1608" s="81"/>
      <c r="H1608"/>
      <c r="I1608"/>
      <c r="J1608"/>
      <c r="K1608"/>
    </row>
    <row r="1609" spans="2:11">
      <c r="B1609"/>
      <c r="C1609"/>
      <c r="E1609" s="75"/>
      <c r="F1609" s="81"/>
      <c r="G1609" s="81"/>
      <c r="H1609"/>
      <c r="I1609"/>
      <c r="J1609"/>
      <c r="K1609"/>
    </row>
    <row r="1610" spans="2:11">
      <c r="B1610"/>
      <c r="C1610"/>
      <c r="E1610" s="75"/>
      <c r="F1610" s="81"/>
      <c r="G1610" s="81"/>
      <c r="H1610"/>
      <c r="I1610"/>
      <c r="J1610"/>
      <c r="K1610"/>
    </row>
    <row r="1611" spans="2:11">
      <c r="B1611"/>
      <c r="C1611"/>
      <c r="E1611" s="75"/>
      <c r="F1611" s="81"/>
      <c r="G1611" s="81"/>
      <c r="H1611"/>
      <c r="I1611"/>
      <c r="J1611"/>
      <c r="K1611"/>
    </row>
    <row r="1612" spans="2:11">
      <c r="B1612"/>
      <c r="C1612"/>
      <c r="E1612" s="75"/>
      <c r="F1612" s="81"/>
      <c r="G1612" s="81"/>
      <c r="H1612"/>
      <c r="I1612"/>
      <c r="J1612"/>
      <c r="K1612"/>
    </row>
    <row r="1613" spans="2:11">
      <c r="B1613"/>
      <c r="C1613"/>
      <c r="E1613" s="75"/>
      <c r="F1613" s="81"/>
      <c r="G1613" s="81"/>
      <c r="H1613"/>
      <c r="I1613"/>
      <c r="J1613"/>
      <c r="K1613"/>
    </row>
    <row r="1614" spans="2:11">
      <c r="B1614"/>
      <c r="C1614"/>
      <c r="E1614" s="75"/>
      <c r="F1614" s="81"/>
      <c r="G1614" s="81"/>
      <c r="H1614"/>
      <c r="I1614"/>
      <c r="J1614"/>
      <c r="K1614"/>
    </row>
    <row r="1615" spans="2:11">
      <c r="B1615"/>
      <c r="C1615"/>
      <c r="E1615" s="75"/>
      <c r="F1615" s="81"/>
      <c r="G1615" s="81"/>
      <c r="H1615"/>
      <c r="I1615"/>
      <c r="J1615"/>
      <c r="K1615"/>
    </row>
    <row r="1616" spans="2:11">
      <c r="B1616"/>
      <c r="C1616"/>
      <c r="E1616" s="75"/>
      <c r="F1616" s="81"/>
      <c r="G1616" s="81"/>
      <c r="H1616"/>
      <c r="I1616"/>
      <c r="J1616"/>
      <c r="K1616"/>
    </row>
    <row r="1617" spans="2:11">
      <c r="B1617"/>
      <c r="C1617"/>
      <c r="E1617" s="75"/>
      <c r="F1617" s="81"/>
      <c r="G1617" s="81"/>
      <c r="H1617"/>
      <c r="I1617"/>
      <c r="J1617"/>
      <c r="K1617"/>
    </row>
    <row r="1618" spans="2:11">
      <c r="B1618"/>
      <c r="C1618"/>
      <c r="E1618" s="75"/>
      <c r="F1618" s="81"/>
      <c r="G1618" s="81"/>
      <c r="H1618"/>
      <c r="I1618"/>
      <c r="J1618"/>
      <c r="K1618"/>
    </row>
    <row r="1619" spans="2:11">
      <c r="B1619"/>
      <c r="C1619"/>
      <c r="E1619" s="75"/>
      <c r="F1619" s="81"/>
      <c r="G1619" s="81"/>
      <c r="H1619"/>
      <c r="I1619"/>
      <c r="J1619"/>
      <c r="K1619"/>
    </row>
    <row r="1620" spans="2:11">
      <c r="B1620"/>
      <c r="C1620"/>
      <c r="E1620" s="75"/>
      <c r="F1620" s="81"/>
      <c r="G1620" s="81"/>
      <c r="H1620"/>
      <c r="I1620"/>
      <c r="J1620"/>
      <c r="K1620"/>
    </row>
    <row r="1621" spans="2:11">
      <c r="B1621"/>
      <c r="C1621"/>
      <c r="E1621" s="75"/>
      <c r="F1621" s="81"/>
      <c r="G1621" s="81"/>
      <c r="H1621"/>
      <c r="I1621"/>
      <c r="J1621"/>
      <c r="K1621"/>
    </row>
    <row r="1622" spans="2:11">
      <c r="B1622"/>
      <c r="C1622"/>
      <c r="E1622" s="75"/>
      <c r="F1622" s="81"/>
      <c r="G1622" s="81"/>
      <c r="H1622"/>
      <c r="I1622"/>
      <c r="J1622"/>
      <c r="K1622"/>
    </row>
    <row r="1623" spans="2:11">
      <c r="B1623"/>
      <c r="C1623"/>
      <c r="E1623" s="75"/>
      <c r="F1623" s="81"/>
      <c r="G1623" s="81"/>
      <c r="H1623"/>
      <c r="I1623"/>
      <c r="J1623"/>
      <c r="K1623"/>
    </row>
    <row r="1624" spans="2:11">
      <c r="B1624"/>
      <c r="C1624"/>
      <c r="E1624" s="75"/>
      <c r="F1624" s="81"/>
      <c r="G1624" s="81"/>
      <c r="H1624"/>
      <c r="I1624"/>
      <c r="J1624"/>
      <c r="K1624"/>
    </row>
    <row r="1625" spans="2:11">
      <c r="B1625"/>
      <c r="C1625"/>
      <c r="E1625" s="75"/>
      <c r="F1625" s="81"/>
      <c r="G1625" s="81"/>
      <c r="H1625"/>
      <c r="I1625"/>
      <c r="J1625"/>
      <c r="K1625"/>
    </row>
    <row r="1626" spans="2:11">
      <c r="B1626"/>
      <c r="C1626"/>
      <c r="E1626" s="75"/>
      <c r="F1626" s="81"/>
      <c r="G1626" s="81"/>
      <c r="H1626"/>
      <c r="I1626"/>
      <c r="J1626"/>
      <c r="K1626"/>
    </row>
    <row r="1627" spans="2:11">
      <c r="B1627"/>
      <c r="C1627"/>
      <c r="E1627" s="75"/>
      <c r="F1627" s="81"/>
      <c r="G1627" s="81"/>
      <c r="H1627"/>
      <c r="I1627"/>
      <c r="J1627"/>
      <c r="K1627"/>
    </row>
    <row r="1628" spans="2:11">
      <c r="B1628"/>
      <c r="C1628"/>
      <c r="E1628" s="75"/>
      <c r="F1628" s="81"/>
      <c r="G1628" s="81"/>
      <c r="H1628"/>
      <c r="I1628"/>
      <c r="J1628"/>
      <c r="K1628"/>
    </row>
    <row r="1629" spans="2:11">
      <c r="B1629"/>
      <c r="C1629"/>
      <c r="E1629" s="75"/>
      <c r="F1629" s="81"/>
      <c r="G1629" s="81"/>
      <c r="H1629"/>
      <c r="I1629"/>
      <c r="J1629"/>
      <c r="K1629"/>
    </row>
    <row r="1630" spans="2:11">
      <c r="B1630"/>
      <c r="C1630"/>
      <c r="E1630" s="75"/>
      <c r="F1630" s="81"/>
      <c r="G1630" s="81"/>
      <c r="H1630"/>
      <c r="I1630"/>
      <c r="J1630"/>
      <c r="K1630"/>
    </row>
    <row r="1631" spans="2:11">
      <c r="B1631"/>
      <c r="C1631"/>
      <c r="E1631" s="75"/>
      <c r="F1631" s="81"/>
      <c r="G1631" s="81"/>
      <c r="H1631"/>
      <c r="I1631"/>
      <c r="J1631"/>
      <c r="K1631"/>
    </row>
    <row r="1632" spans="2:11">
      <c r="B1632"/>
      <c r="C1632"/>
      <c r="E1632" s="75"/>
      <c r="F1632" s="81"/>
      <c r="G1632" s="81"/>
      <c r="H1632"/>
      <c r="I1632"/>
      <c r="J1632"/>
      <c r="K1632"/>
    </row>
    <row r="1633" spans="2:11">
      <c r="B1633"/>
      <c r="C1633"/>
      <c r="E1633" s="75"/>
      <c r="F1633" s="81"/>
      <c r="G1633" s="81"/>
      <c r="H1633"/>
      <c r="I1633"/>
      <c r="J1633"/>
      <c r="K1633"/>
    </row>
    <row r="1634" spans="2:11">
      <c r="B1634"/>
      <c r="C1634"/>
      <c r="E1634" s="75"/>
      <c r="F1634" s="81"/>
      <c r="G1634" s="81"/>
      <c r="H1634"/>
      <c r="I1634"/>
      <c r="J1634"/>
      <c r="K1634"/>
    </row>
    <row r="1635" spans="2:11">
      <c r="B1635"/>
      <c r="C1635"/>
      <c r="E1635" s="75"/>
      <c r="F1635" s="81"/>
      <c r="G1635" s="81"/>
      <c r="H1635"/>
      <c r="I1635"/>
      <c r="J1635"/>
      <c r="K1635"/>
    </row>
    <row r="1636" spans="2:11">
      <c r="B1636"/>
      <c r="C1636"/>
      <c r="E1636" s="75"/>
      <c r="F1636" s="81"/>
      <c r="G1636" s="81"/>
      <c r="H1636"/>
      <c r="I1636"/>
      <c r="J1636"/>
      <c r="K1636"/>
    </row>
    <row r="1637" spans="2:11">
      <c r="B1637"/>
      <c r="C1637"/>
      <c r="E1637" s="75"/>
      <c r="F1637" s="81"/>
      <c r="G1637" s="81"/>
      <c r="H1637"/>
      <c r="I1637"/>
      <c r="J1637"/>
      <c r="K1637"/>
    </row>
    <row r="1638" spans="2:11">
      <c r="B1638"/>
      <c r="C1638"/>
      <c r="E1638" s="75"/>
      <c r="F1638" s="81"/>
      <c r="G1638" s="81"/>
      <c r="H1638"/>
      <c r="I1638"/>
      <c r="J1638"/>
      <c r="K1638"/>
    </row>
    <row r="1639" spans="2:11">
      <c r="B1639"/>
      <c r="C1639"/>
      <c r="E1639" s="75"/>
      <c r="F1639" s="81"/>
      <c r="G1639" s="81"/>
      <c r="H1639"/>
      <c r="I1639"/>
      <c r="J1639"/>
      <c r="K1639"/>
    </row>
    <row r="1640" spans="2:11">
      <c r="B1640"/>
      <c r="C1640"/>
      <c r="E1640" s="75"/>
      <c r="F1640" s="81"/>
      <c r="G1640" s="81"/>
      <c r="H1640"/>
      <c r="I1640"/>
      <c r="J1640"/>
      <c r="K1640"/>
    </row>
    <row r="1641" spans="2:11">
      <c r="B1641"/>
      <c r="C1641"/>
      <c r="E1641" s="75"/>
      <c r="F1641" s="81"/>
      <c r="G1641" s="81"/>
      <c r="H1641"/>
      <c r="I1641"/>
      <c r="J1641"/>
      <c r="K1641"/>
    </row>
    <row r="1642" spans="2:11">
      <c r="B1642"/>
      <c r="C1642"/>
      <c r="E1642" s="75"/>
      <c r="F1642" s="81"/>
      <c r="G1642" s="81"/>
      <c r="H1642"/>
      <c r="I1642"/>
      <c r="J1642"/>
      <c r="K1642"/>
    </row>
    <row r="1643" spans="2:11">
      <c r="B1643"/>
      <c r="C1643"/>
      <c r="E1643" s="75"/>
      <c r="F1643" s="81"/>
      <c r="G1643" s="81"/>
      <c r="H1643"/>
      <c r="I1643"/>
      <c r="J1643"/>
      <c r="K1643"/>
    </row>
    <row r="1644" spans="2:11">
      <c r="B1644"/>
      <c r="C1644"/>
      <c r="E1644" s="75"/>
      <c r="F1644" s="81"/>
      <c r="G1644" s="81"/>
      <c r="H1644"/>
      <c r="I1644"/>
      <c r="J1644"/>
      <c r="K1644"/>
    </row>
    <row r="1645" spans="2:11">
      <c r="B1645"/>
      <c r="C1645"/>
      <c r="E1645" s="75"/>
      <c r="F1645" s="81"/>
      <c r="G1645" s="81"/>
      <c r="H1645"/>
      <c r="I1645"/>
      <c r="J1645"/>
      <c r="K1645"/>
    </row>
    <row r="1646" spans="2:11">
      <c r="B1646"/>
      <c r="C1646"/>
      <c r="E1646" s="75"/>
      <c r="F1646" s="81"/>
      <c r="G1646" s="81"/>
      <c r="H1646"/>
      <c r="I1646"/>
      <c r="J1646"/>
      <c r="K1646"/>
    </row>
    <row r="1647" spans="2:11">
      <c r="B1647"/>
      <c r="C1647"/>
      <c r="E1647" s="75"/>
      <c r="F1647" s="81"/>
      <c r="G1647" s="81"/>
      <c r="H1647"/>
      <c r="I1647"/>
      <c r="J1647"/>
      <c r="K1647"/>
    </row>
    <row r="1648" spans="2:11">
      <c r="B1648"/>
      <c r="C1648"/>
      <c r="E1648" s="75"/>
      <c r="F1648" s="81"/>
      <c r="G1648" s="81"/>
      <c r="H1648"/>
      <c r="I1648"/>
      <c r="J1648"/>
      <c r="K1648"/>
    </row>
    <row r="1649" spans="2:11">
      <c r="B1649"/>
      <c r="C1649"/>
      <c r="E1649" s="75"/>
      <c r="F1649" s="81"/>
      <c r="G1649" s="81"/>
      <c r="H1649"/>
      <c r="I1649"/>
      <c r="J1649"/>
      <c r="K1649"/>
    </row>
    <row r="1650" spans="2:11">
      <c r="B1650"/>
      <c r="C1650"/>
      <c r="E1650" s="75"/>
      <c r="F1650" s="81"/>
      <c r="G1650" s="81"/>
      <c r="H1650"/>
      <c r="I1650"/>
      <c r="J1650"/>
      <c r="K1650"/>
    </row>
    <row r="1651" spans="2:11">
      <c r="B1651"/>
      <c r="C1651"/>
      <c r="E1651" s="75"/>
      <c r="F1651" s="81"/>
      <c r="G1651" s="81"/>
      <c r="H1651"/>
      <c r="I1651"/>
      <c r="J1651"/>
      <c r="K1651"/>
    </row>
    <row r="1652" spans="2:11">
      <c r="B1652"/>
      <c r="C1652"/>
      <c r="E1652" s="75"/>
      <c r="F1652" s="81"/>
      <c r="G1652" s="81"/>
      <c r="H1652"/>
      <c r="I1652"/>
      <c r="J1652"/>
      <c r="K1652"/>
    </row>
    <row r="1653" spans="2:11">
      <c r="B1653"/>
      <c r="C1653"/>
      <c r="E1653" s="75"/>
      <c r="F1653" s="81"/>
      <c r="G1653" s="81"/>
      <c r="H1653"/>
      <c r="I1653"/>
      <c r="J1653"/>
      <c r="K1653"/>
    </row>
    <row r="1654" spans="2:11">
      <c r="B1654"/>
      <c r="C1654"/>
      <c r="E1654" s="75"/>
      <c r="F1654" s="81"/>
      <c r="G1654" s="81"/>
      <c r="H1654"/>
      <c r="I1654"/>
      <c r="J1654"/>
      <c r="K1654"/>
    </row>
    <row r="1655" spans="2:11">
      <c r="B1655"/>
      <c r="C1655"/>
      <c r="E1655" s="75"/>
      <c r="F1655" s="81"/>
      <c r="G1655" s="81"/>
      <c r="H1655"/>
      <c r="I1655"/>
      <c r="J1655"/>
      <c r="K1655"/>
    </row>
    <row r="1656" spans="2:11">
      <c r="B1656"/>
      <c r="C1656"/>
      <c r="E1656" s="75"/>
      <c r="F1656" s="81"/>
      <c r="G1656" s="81"/>
      <c r="H1656"/>
      <c r="I1656"/>
      <c r="J1656"/>
      <c r="K1656"/>
    </row>
    <row r="1657" spans="2:11">
      <c r="B1657"/>
      <c r="C1657"/>
      <c r="E1657" s="75"/>
      <c r="F1657" s="81"/>
      <c r="G1657" s="81"/>
      <c r="H1657"/>
      <c r="I1657"/>
      <c r="J1657"/>
      <c r="K1657"/>
    </row>
    <row r="1658" spans="2:11">
      <c r="B1658"/>
      <c r="C1658"/>
      <c r="E1658" s="75"/>
      <c r="F1658" s="81"/>
      <c r="G1658" s="81"/>
      <c r="H1658"/>
      <c r="I1658"/>
      <c r="J1658"/>
      <c r="K1658"/>
    </row>
    <row r="1659" spans="2:11">
      <c r="B1659"/>
      <c r="C1659"/>
      <c r="E1659" s="75"/>
      <c r="F1659" s="81"/>
      <c r="G1659" s="81"/>
      <c r="H1659"/>
      <c r="I1659"/>
      <c r="J1659"/>
      <c r="K1659"/>
    </row>
    <row r="1660" spans="2:11">
      <c r="B1660"/>
      <c r="C1660"/>
      <c r="E1660" s="75"/>
      <c r="F1660" s="81"/>
      <c r="G1660" s="81"/>
      <c r="H1660"/>
      <c r="I1660"/>
      <c r="J1660"/>
      <c r="K1660"/>
    </row>
    <row r="1661" spans="2:11">
      <c r="B1661"/>
      <c r="C1661"/>
      <c r="E1661" s="75"/>
      <c r="F1661" s="81"/>
      <c r="G1661" s="81"/>
      <c r="H1661"/>
      <c r="I1661"/>
      <c r="J1661"/>
      <c r="K1661"/>
    </row>
    <row r="1662" spans="2:11">
      <c r="B1662"/>
      <c r="C1662"/>
      <c r="E1662" s="75"/>
      <c r="F1662" s="81"/>
      <c r="G1662" s="81"/>
      <c r="H1662"/>
      <c r="I1662"/>
      <c r="J1662"/>
      <c r="K1662"/>
    </row>
    <row r="1663" spans="2:11">
      <c r="B1663"/>
      <c r="C1663"/>
      <c r="E1663" s="75"/>
      <c r="F1663" s="81"/>
      <c r="G1663" s="81"/>
      <c r="H1663"/>
      <c r="I1663"/>
      <c r="J1663"/>
      <c r="K1663"/>
    </row>
    <row r="1664" spans="2:11">
      <c r="B1664"/>
      <c r="C1664"/>
      <c r="E1664" s="75"/>
      <c r="F1664" s="81"/>
      <c r="G1664" s="81"/>
      <c r="H1664"/>
      <c r="I1664"/>
      <c r="J1664"/>
      <c r="K1664"/>
    </row>
    <row r="1665" spans="2:11">
      <c r="B1665"/>
      <c r="C1665"/>
      <c r="E1665" s="75"/>
      <c r="F1665" s="81"/>
      <c r="G1665" s="81"/>
      <c r="H1665"/>
      <c r="I1665"/>
      <c r="J1665"/>
      <c r="K1665"/>
    </row>
    <row r="1666" spans="2:11">
      <c r="B1666"/>
      <c r="C1666"/>
      <c r="E1666" s="75"/>
      <c r="F1666" s="81"/>
      <c r="G1666" s="81"/>
      <c r="H1666"/>
      <c r="I1666"/>
      <c r="J1666"/>
      <c r="K1666"/>
    </row>
    <row r="1667" spans="2:11">
      <c r="B1667"/>
      <c r="C1667"/>
      <c r="E1667" s="75"/>
      <c r="F1667" s="81"/>
      <c r="G1667" s="81"/>
      <c r="H1667"/>
      <c r="I1667"/>
      <c r="J1667"/>
      <c r="K1667"/>
    </row>
    <row r="1668" spans="2:11">
      <c r="B1668"/>
      <c r="C1668"/>
      <c r="E1668" s="75"/>
      <c r="F1668" s="81"/>
      <c r="G1668" s="81"/>
      <c r="H1668"/>
      <c r="I1668"/>
      <c r="J1668"/>
      <c r="K1668"/>
    </row>
    <row r="1669" spans="2:11">
      <c r="B1669"/>
      <c r="C1669"/>
      <c r="E1669" s="75"/>
      <c r="F1669" s="81"/>
      <c r="G1669" s="81"/>
      <c r="H1669"/>
      <c r="I1669"/>
      <c r="J1669"/>
      <c r="K1669"/>
    </row>
    <row r="1670" spans="2:11">
      <c r="B1670"/>
      <c r="C1670"/>
      <c r="E1670" s="75"/>
      <c r="F1670" s="81"/>
      <c r="G1670" s="81"/>
      <c r="H1670"/>
      <c r="I1670"/>
      <c r="J1670"/>
      <c r="K1670"/>
    </row>
    <row r="1671" spans="2:11">
      <c r="B1671"/>
      <c r="C1671"/>
      <c r="E1671" s="75"/>
      <c r="F1671" s="81"/>
      <c r="G1671" s="81"/>
      <c r="H1671"/>
      <c r="I1671"/>
      <c r="J1671"/>
      <c r="K1671"/>
    </row>
    <row r="1672" spans="2:11">
      <c r="B1672"/>
      <c r="C1672"/>
      <c r="E1672" s="75"/>
      <c r="F1672" s="81"/>
      <c r="G1672" s="81"/>
      <c r="H1672"/>
      <c r="I1672"/>
      <c r="J1672"/>
      <c r="K1672"/>
    </row>
    <row r="1673" spans="2:11">
      <c r="B1673"/>
      <c r="C1673"/>
      <c r="E1673" s="75"/>
      <c r="F1673" s="81"/>
      <c r="G1673" s="81"/>
      <c r="H1673"/>
      <c r="I1673"/>
      <c r="J1673"/>
      <c r="K1673"/>
    </row>
    <row r="1674" spans="2:11">
      <c r="B1674"/>
      <c r="C1674"/>
      <c r="E1674" s="75"/>
      <c r="F1674" s="81"/>
      <c r="G1674" s="81"/>
      <c r="H1674"/>
      <c r="I1674"/>
      <c r="J1674"/>
      <c r="K1674"/>
    </row>
    <row r="1675" spans="2:11">
      <c r="B1675"/>
      <c r="C1675"/>
      <c r="E1675" s="75"/>
      <c r="F1675" s="81"/>
      <c r="G1675" s="81"/>
      <c r="H1675"/>
      <c r="I1675"/>
      <c r="J1675"/>
      <c r="K1675"/>
    </row>
    <row r="1676" spans="2:11">
      <c r="B1676"/>
      <c r="C1676"/>
      <c r="E1676" s="75"/>
      <c r="F1676" s="81"/>
      <c r="G1676" s="81"/>
      <c r="H1676"/>
      <c r="I1676"/>
      <c r="J1676"/>
      <c r="K1676"/>
    </row>
    <row r="1677" spans="2:11">
      <c r="B1677"/>
      <c r="C1677"/>
      <c r="E1677" s="75"/>
      <c r="F1677" s="81"/>
      <c r="G1677" s="81"/>
      <c r="H1677"/>
      <c r="I1677"/>
      <c r="J1677"/>
      <c r="K1677"/>
    </row>
    <row r="1678" spans="2:11">
      <c r="B1678"/>
      <c r="C1678"/>
      <c r="E1678" s="75"/>
      <c r="F1678" s="81"/>
      <c r="G1678" s="81"/>
      <c r="H1678"/>
      <c r="I1678"/>
      <c r="J1678"/>
      <c r="K1678"/>
    </row>
    <row r="1679" spans="2:11">
      <c r="B1679"/>
      <c r="C1679"/>
      <c r="E1679" s="75"/>
      <c r="F1679" s="81"/>
      <c r="G1679" s="81"/>
      <c r="H1679"/>
      <c r="I1679"/>
      <c r="J1679"/>
      <c r="K1679"/>
    </row>
    <row r="1680" spans="2:11">
      <c r="B1680"/>
      <c r="C1680"/>
      <c r="E1680" s="75"/>
      <c r="F1680" s="81"/>
      <c r="G1680" s="81"/>
      <c r="H1680"/>
      <c r="I1680"/>
      <c r="J1680"/>
      <c r="K1680"/>
    </row>
    <row r="1681" spans="2:11">
      <c r="B1681"/>
      <c r="C1681"/>
      <c r="E1681" s="75"/>
      <c r="F1681" s="81"/>
      <c r="G1681" s="81"/>
      <c r="H1681"/>
      <c r="I1681"/>
      <c r="J1681"/>
      <c r="K1681"/>
    </row>
    <row r="1682" spans="2:11">
      <c r="B1682"/>
      <c r="C1682"/>
      <c r="E1682" s="75"/>
      <c r="F1682" s="81"/>
      <c r="G1682" s="81"/>
      <c r="H1682"/>
      <c r="I1682"/>
      <c r="J1682"/>
      <c r="K1682"/>
    </row>
    <row r="1683" spans="2:11">
      <c r="B1683"/>
      <c r="C1683"/>
      <c r="E1683" s="75"/>
      <c r="F1683" s="81"/>
      <c r="G1683" s="81"/>
      <c r="H1683"/>
      <c r="I1683"/>
      <c r="J1683"/>
      <c r="K1683"/>
    </row>
    <row r="1684" spans="2:11">
      <c r="B1684"/>
      <c r="C1684"/>
      <c r="E1684" s="75"/>
      <c r="F1684" s="81"/>
      <c r="G1684" s="81"/>
      <c r="H1684"/>
      <c r="I1684"/>
      <c r="J1684"/>
      <c r="K1684"/>
    </row>
    <row r="1685" spans="2:11">
      <c r="B1685"/>
      <c r="C1685"/>
      <c r="E1685" s="75"/>
      <c r="F1685" s="81"/>
      <c r="G1685" s="81"/>
      <c r="H1685"/>
      <c r="I1685"/>
      <c r="J1685"/>
      <c r="K1685"/>
    </row>
    <row r="1686" spans="2:11">
      <c r="B1686"/>
      <c r="C1686"/>
      <c r="E1686" s="75"/>
      <c r="F1686" s="81"/>
      <c r="G1686" s="81"/>
      <c r="H1686"/>
      <c r="I1686"/>
      <c r="J1686"/>
      <c r="K1686"/>
    </row>
    <row r="1687" spans="2:11">
      <c r="B1687"/>
      <c r="C1687"/>
      <c r="E1687" s="75"/>
      <c r="F1687" s="81"/>
      <c r="G1687" s="81"/>
      <c r="H1687"/>
      <c r="I1687"/>
      <c r="J1687"/>
      <c r="K1687"/>
    </row>
    <row r="1688" spans="2:11">
      <c r="B1688"/>
      <c r="C1688"/>
      <c r="E1688" s="75"/>
      <c r="F1688" s="81"/>
      <c r="G1688" s="81"/>
      <c r="H1688"/>
      <c r="I1688"/>
      <c r="J1688"/>
      <c r="K1688"/>
    </row>
    <row r="1689" spans="2:11">
      <c r="B1689"/>
      <c r="C1689"/>
      <c r="E1689" s="75"/>
      <c r="F1689" s="81"/>
      <c r="G1689" s="81"/>
      <c r="H1689"/>
      <c r="I1689"/>
      <c r="J1689"/>
      <c r="K1689"/>
    </row>
    <row r="1690" spans="2:11">
      <c r="B1690"/>
      <c r="C1690"/>
      <c r="E1690" s="75"/>
      <c r="F1690" s="81"/>
      <c r="G1690" s="81"/>
      <c r="H1690"/>
      <c r="I1690"/>
      <c r="J1690"/>
      <c r="K1690"/>
    </row>
    <row r="1691" spans="2:11">
      <c r="B1691"/>
      <c r="C1691"/>
      <c r="E1691" s="75"/>
      <c r="F1691" s="81"/>
      <c r="G1691" s="81"/>
      <c r="H1691"/>
      <c r="I1691"/>
      <c r="J1691"/>
      <c r="K1691"/>
    </row>
    <row r="1692" spans="2:11">
      <c r="B1692"/>
      <c r="C1692"/>
      <c r="E1692" s="75"/>
      <c r="F1692" s="81"/>
      <c r="G1692" s="81"/>
      <c r="H1692"/>
      <c r="I1692"/>
      <c r="J1692"/>
      <c r="K1692"/>
    </row>
    <row r="1693" spans="2:11">
      <c r="B1693"/>
      <c r="C1693"/>
      <c r="E1693" s="75"/>
      <c r="F1693" s="81"/>
      <c r="G1693" s="81"/>
      <c r="H1693"/>
      <c r="I1693"/>
      <c r="J1693"/>
      <c r="K1693"/>
    </row>
    <row r="1694" spans="2:11">
      <c r="B1694"/>
      <c r="C1694"/>
      <c r="E1694" s="75"/>
      <c r="F1694" s="81"/>
      <c r="G1694" s="81"/>
      <c r="H1694"/>
      <c r="I1694"/>
      <c r="J1694"/>
      <c r="K1694"/>
    </row>
    <row r="1695" spans="2:11">
      <c r="B1695"/>
      <c r="C1695"/>
      <c r="E1695" s="75"/>
      <c r="F1695" s="81"/>
      <c r="G1695" s="81"/>
      <c r="H1695"/>
      <c r="I1695"/>
      <c r="J1695"/>
      <c r="K1695"/>
    </row>
    <row r="1696" spans="2:11">
      <c r="B1696"/>
      <c r="C1696"/>
      <c r="E1696" s="75"/>
      <c r="F1696" s="81"/>
      <c r="G1696" s="81"/>
      <c r="H1696"/>
      <c r="I1696"/>
      <c r="J1696"/>
      <c r="K1696"/>
    </row>
    <row r="1697" spans="2:11">
      <c r="B1697"/>
      <c r="C1697"/>
      <c r="E1697" s="75"/>
      <c r="F1697" s="81"/>
      <c r="G1697" s="81"/>
      <c r="H1697"/>
      <c r="I1697"/>
      <c r="J1697"/>
      <c r="K1697"/>
    </row>
    <row r="1698" spans="2:11">
      <c r="B1698"/>
      <c r="C1698"/>
      <c r="E1698" s="75"/>
      <c r="F1698" s="81"/>
      <c r="G1698" s="81"/>
      <c r="H1698"/>
      <c r="I1698"/>
      <c r="J1698"/>
      <c r="K1698"/>
    </row>
    <row r="1699" spans="2:11">
      <c r="B1699"/>
      <c r="C1699"/>
      <c r="E1699" s="75"/>
      <c r="F1699" s="81"/>
      <c r="G1699" s="81"/>
      <c r="H1699"/>
      <c r="I1699"/>
      <c r="J1699"/>
      <c r="K1699"/>
    </row>
    <row r="1700" spans="2:11">
      <c r="B1700"/>
      <c r="C1700"/>
      <c r="E1700" s="75"/>
      <c r="F1700" s="81"/>
      <c r="G1700" s="81"/>
      <c r="H1700"/>
      <c r="I1700"/>
      <c r="J1700"/>
      <c r="K1700"/>
    </row>
    <row r="1701" spans="2:11">
      <c r="B1701"/>
      <c r="C1701"/>
      <c r="E1701" s="75"/>
      <c r="F1701" s="81"/>
      <c r="G1701" s="81"/>
      <c r="H1701"/>
      <c r="I1701"/>
      <c r="J1701"/>
      <c r="K1701"/>
    </row>
    <row r="1702" spans="2:11">
      <c r="B1702"/>
      <c r="C1702"/>
      <c r="E1702" s="75"/>
      <c r="F1702" s="81"/>
      <c r="G1702" s="81"/>
      <c r="H1702"/>
      <c r="I1702"/>
      <c r="J1702"/>
      <c r="K1702"/>
    </row>
    <row r="1703" spans="2:11">
      <c r="B1703"/>
      <c r="C1703"/>
      <c r="E1703" s="75"/>
      <c r="F1703" s="81"/>
      <c r="G1703" s="81"/>
      <c r="H1703"/>
      <c r="I1703"/>
      <c r="J1703"/>
      <c r="K1703"/>
    </row>
    <row r="1704" spans="2:11">
      <c r="B1704"/>
      <c r="C1704"/>
      <c r="E1704" s="75"/>
      <c r="F1704" s="81"/>
      <c r="G1704" s="81"/>
      <c r="H1704"/>
      <c r="I1704"/>
      <c r="J1704"/>
      <c r="K1704"/>
    </row>
    <row r="1705" spans="2:11">
      <c r="B1705"/>
      <c r="C1705"/>
      <c r="E1705" s="75"/>
      <c r="F1705" s="81"/>
      <c r="G1705" s="81"/>
      <c r="H1705"/>
      <c r="I1705"/>
      <c r="J1705"/>
      <c r="K1705"/>
    </row>
    <row r="1706" spans="2:11">
      <c r="B1706"/>
      <c r="C1706"/>
      <c r="E1706" s="75"/>
      <c r="F1706" s="81"/>
      <c r="G1706" s="81"/>
      <c r="H1706"/>
      <c r="I1706"/>
      <c r="J1706"/>
      <c r="K1706"/>
    </row>
    <row r="1707" spans="2:11">
      <c r="B1707"/>
      <c r="C1707"/>
      <c r="E1707" s="75"/>
      <c r="F1707" s="81"/>
      <c r="G1707" s="81"/>
      <c r="H1707"/>
      <c r="I1707"/>
      <c r="J1707"/>
      <c r="K1707"/>
    </row>
    <row r="1708" spans="2:11">
      <c r="B1708"/>
      <c r="C1708"/>
      <c r="E1708" s="75"/>
      <c r="F1708" s="81"/>
      <c r="G1708" s="81"/>
      <c r="H1708"/>
      <c r="I1708"/>
      <c r="J1708"/>
      <c r="K1708"/>
    </row>
    <row r="1709" spans="2:11">
      <c r="B1709"/>
      <c r="C1709"/>
      <c r="E1709" s="75"/>
      <c r="F1709" s="81"/>
      <c r="G1709" s="81"/>
      <c r="H1709"/>
      <c r="I1709"/>
      <c r="J1709"/>
      <c r="K1709"/>
    </row>
    <row r="1710" spans="2:11">
      <c r="B1710"/>
      <c r="C1710"/>
      <c r="E1710" s="75"/>
      <c r="F1710" s="81"/>
      <c r="G1710" s="81"/>
      <c r="H1710"/>
      <c r="I1710"/>
      <c r="J1710"/>
      <c r="K1710"/>
    </row>
    <row r="1711" spans="2:11">
      <c r="B1711"/>
      <c r="C1711"/>
      <c r="E1711" s="75"/>
      <c r="F1711" s="81"/>
      <c r="G1711" s="81"/>
      <c r="H1711"/>
      <c r="I1711"/>
      <c r="J1711"/>
      <c r="K1711"/>
    </row>
    <row r="1712" spans="2:11">
      <c r="B1712"/>
      <c r="C1712"/>
      <c r="E1712" s="75"/>
      <c r="F1712" s="81"/>
      <c r="G1712" s="81"/>
      <c r="H1712"/>
      <c r="I1712"/>
      <c r="J1712"/>
      <c r="K1712"/>
    </row>
  </sheetData>
  <sheetProtection formatCells="0" formatColumns="0" formatRows="0" insertRows="0" deleteRows="0" sort="0" autoFilter="0"/>
  <conditionalFormatting sqref="A3">
    <cfRule type="expression" dxfId="0" priority="1531848">
      <formula>COUNTIF($A$2:$A$9945,$A3)&gt;1</formula>
    </cfRule>
  </conditionalFormatting>
  <conditionalFormatting sqref="A15">
    <cfRule type="expression" dxfId="0" priority="1531850">
      <formula>COUNTIF($A$2:$A$9959,$A15)&gt;1</formula>
    </cfRule>
  </conditionalFormatting>
  <conditionalFormatting sqref="A34">
    <cfRule type="expression" dxfId="0" priority="1531854">
      <formula>COUNTIF($A$4:$A$10144,$A34)&gt;1</formula>
    </cfRule>
  </conditionalFormatting>
  <conditionalFormatting sqref="A36">
    <cfRule type="expression" dxfId="0" priority="1531855">
      <formula>COUNTIF($A$4:$A$10196,$A36)&gt;1</formula>
    </cfRule>
  </conditionalFormatting>
  <conditionalFormatting sqref="A48">
    <cfRule type="expression" dxfId="0" priority="1529893">
      <formula>COUNTIF($A$4:$A$10065,$A48)&gt;1</formula>
    </cfRule>
  </conditionalFormatting>
  <conditionalFormatting sqref="A74">
    <cfRule type="expression" dxfId="0" priority="1531865">
      <formula>COUNTIF($A$3:$A$10063,$A74)&gt;1</formula>
    </cfRule>
  </conditionalFormatting>
  <conditionalFormatting sqref="A77">
    <cfRule type="expression" dxfId="0" priority="1531866">
      <formula>COUNTIF($A$2:$A$10027,$A77)&gt;1</formula>
    </cfRule>
  </conditionalFormatting>
  <conditionalFormatting sqref="A87">
    <cfRule type="expression" dxfId="0" priority="1531868">
      <formula>COUNTIF($A$2:$A$10052,$A87)&gt;1</formula>
    </cfRule>
  </conditionalFormatting>
  <conditionalFormatting sqref="A95">
    <cfRule type="expression" dxfId="0" priority="1531869">
      <formula>COUNTIF($A$3:$A$10050,$A95)&gt;1</formula>
    </cfRule>
  </conditionalFormatting>
  <conditionalFormatting sqref="A96">
    <cfRule type="expression" dxfId="0" priority="1531870">
      <formula>COUNTIF($A$3:$A$10086,$A96)&gt;1</formula>
    </cfRule>
  </conditionalFormatting>
  <conditionalFormatting sqref="A97">
    <cfRule type="expression" dxfId="0" priority="1531871">
      <formula>COUNTIF($A$3:$A$9985,$A97)&gt;1</formula>
    </cfRule>
  </conditionalFormatting>
  <conditionalFormatting sqref="A100">
    <cfRule type="expression" dxfId="0" priority="1531881">
      <formula>COUNTIF($A$5:$A$10139,$A100)&gt;1</formula>
    </cfRule>
  </conditionalFormatting>
  <conditionalFormatting sqref="E100">
    <cfRule type="expression" dxfId="1" priority="190">
      <formula>$E100&gt;$B100</formula>
    </cfRule>
  </conditionalFormatting>
  <conditionalFormatting sqref="A104">
    <cfRule type="expression" dxfId="0" priority="1531882">
      <formula>COUNTIF($A$4:$A$10198,$A104)&gt;1</formula>
    </cfRule>
  </conditionalFormatting>
  <conditionalFormatting sqref="A117">
    <cfRule type="expression" dxfId="0" priority="1531885">
      <formula>COUNTIF($A$5:$A$10078,$A117)&gt;1</formula>
    </cfRule>
  </conditionalFormatting>
  <conditionalFormatting sqref="A118">
    <cfRule type="expression" dxfId="0" priority="1531271">
      <formula>COUNTIF($A$4:$A$10098,$A118)&gt;1</formula>
    </cfRule>
  </conditionalFormatting>
  <conditionalFormatting sqref="A130">
    <cfRule type="expression" dxfId="0" priority="1531891">
      <formula>COUNTIF($A$4:$A$10173,$A130)&gt;1</formula>
    </cfRule>
  </conditionalFormatting>
  <conditionalFormatting sqref="A132">
    <cfRule type="expression" dxfId="0" priority="1531411">
      <formula>COUNTIF($A$4:$A$10151,$A132)&gt;1</formula>
    </cfRule>
  </conditionalFormatting>
  <conditionalFormatting sqref="A133">
    <cfRule type="expression" dxfId="0" priority="1531892">
      <formula>COUNTIF($A$2:$A$10100,$A133)&gt;1</formula>
    </cfRule>
  </conditionalFormatting>
  <conditionalFormatting sqref="A134">
    <cfRule type="expression" dxfId="0" priority="1531893">
      <formula>COUNTIF($A$4:$A$10278,$A134)&gt;1</formula>
    </cfRule>
  </conditionalFormatting>
  <conditionalFormatting sqref="A135">
    <cfRule type="expression" dxfId="0" priority="1531894">
      <formula>COUNTIF($A$5:$A$10182,$A135)&gt;1</formula>
    </cfRule>
  </conditionalFormatting>
  <conditionalFormatting sqref="A136">
    <cfRule type="expression" dxfId="0" priority="1531895">
      <formula>COUNTIF($A$2:$A$9978,$A136)&gt;1</formula>
    </cfRule>
  </conditionalFormatting>
  <conditionalFormatting sqref="A137">
    <cfRule type="expression" dxfId="0" priority="1531026">
      <formula>COUNTIF($A$2:$A$9979,$A137)&gt;1</formula>
    </cfRule>
  </conditionalFormatting>
  <conditionalFormatting sqref="A138">
    <cfRule type="expression" dxfId="0" priority="1531245">
      <formula>COUNTIF($A$4:$A$10093,$A138)&gt;1</formula>
    </cfRule>
  </conditionalFormatting>
  <conditionalFormatting sqref="A139">
    <cfRule type="expression" dxfId="0" priority="1531896">
      <formula>COUNTIF($A$2:$A$10077,$A139)&gt;1</formula>
    </cfRule>
  </conditionalFormatting>
  <conditionalFormatting sqref="A141">
    <cfRule type="expression" dxfId="0" priority="1531897">
      <formula>COUNTIF($A$4:$A$10254,$A141)&gt;1</formula>
    </cfRule>
  </conditionalFormatting>
  <conditionalFormatting sqref="A178">
    <cfRule type="expression" dxfId="0" priority="1531905">
      <formula>COUNTIF($A$3:$A$9916,$A178)&gt;1</formula>
    </cfRule>
  </conditionalFormatting>
  <conditionalFormatting sqref="A179">
    <cfRule type="expression" dxfId="0" priority="1531906">
      <formula>COUNTIF($A$4:$A$9969,$A179)&gt;1</formula>
    </cfRule>
  </conditionalFormatting>
  <conditionalFormatting sqref="A189">
    <cfRule type="expression" dxfId="0" priority="1531908">
      <formula>COUNTIF($A$5:$A$10164,$A189)&gt;1</formula>
    </cfRule>
  </conditionalFormatting>
  <conditionalFormatting sqref="A200">
    <cfRule type="expression" dxfId="0" priority="1530641">
      <formula>COUNTIF($A$4:$A$10152,$A200)&gt;1</formula>
    </cfRule>
  </conditionalFormatting>
  <conditionalFormatting sqref="A203">
    <cfRule type="expression" dxfId="0" priority="1531910">
      <formula>COUNTIF($A$4:$A$10079,$A203)&gt;1</formula>
    </cfRule>
  </conditionalFormatting>
  <conditionalFormatting sqref="A205">
    <cfRule type="expression" dxfId="0" priority="1531911">
      <formula>COUNTIF($A$3:$A$9992,$A205)&gt;1</formula>
    </cfRule>
  </conditionalFormatting>
  <conditionalFormatting sqref="A210">
    <cfRule type="expression" dxfId="0" priority="1531912">
      <formula>COUNTIF($A210:$A1379,$A210)&gt;1</formula>
    </cfRule>
    <cfRule type="expression" dxfId="0" priority="1531913">
      <formula>COUNTIF($A$4:$A$10154,$A210)&gt;1</formula>
    </cfRule>
  </conditionalFormatting>
  <conditionalFormatting sqref="A225">
    <cfRule type="expression" dxfId="0" priority="1531916">
      <formula>COUNTIF($A$2:$A$9933,$A225)&gt;1</formula>
    </cfRule>
  </conditionalFormatting>
  <conditionalFormatting sqref="A227">
    <cfRule type="expression" dxfId="0" priority="1531418">
      <formula>COUNTIF($A$4:$A$10162,$A227)&gt;1</formula>
    </cfRule>
  </conditionalFormatting>
  <conditionalFormatting sqref="A237">
    <cfRule type="expression" dxfId="0" priority="1531918">
      <formula>COUNTIF($A237:$A1330,$A237)&gt;1</formula>
    </cfRule>
    <cfRule type="expression" dxfId="0" priority="1531919">
      <formula>COUNTIF($A$4:$A$10143,$A237)&gt;1</formula>
    </cfRule>
  </conditionalFormatting>
  <conditionalFormatting sqref="A241">
    <cfRule type="expression" dxfId="0" priority="1531921">
      <formula>COUNTIF($A$4:$A$10244,$A241)&gt;1</formula>
    </cfRule>
  </conditionalFormatting>
  <conditionalFormatting sqref="A242">
    <cfRule type="expression" dxfId="0" priority="1523352">
      <formula>COUNTIF($A242:$A1397,$A242)&gt;1</formula>
    </cfRule>
  </conditionalFormatting>
  <conditionalFormatting sqref="A243">
    <cfRule type="expression" dxfId="0" priority="1531922">
      <formula>COUNTIF($A$4:$A$10265,$A243)&gt;1</formula>
    </cfRule>
    <cfRule type="expression" dxfId="0" priority="1531923">
      <formula>COUNTIF($A243:$A1451,$A243)&gt;1</formula>
    </cfRule>
  </conditionalFormatting>
  <conditionalFormatting sqref="A251">
    <cfRule type="expression" dxfId="0" priority="1531926">
      <formula>COUNTIF($A$4:$A$10132,$A251)&gt;1</formula>
    </cfRule>
    <cfRule type="expression" dxfId="0" priority="1531927">
      <formula>COUNTIF($A251:$A1333,$A251)&gt;1</formula>
    </cfRule>
  </conditionalFormatting>
  <conditionalFormatting sqref="A256">
    <cfRule type="expression" dxfId="0" priority="1531929">
      <formula>COUNTIF($A256:$A1308,$A256)&gt;1</formula>
    </cfRule>
    <cfRule type="expression" dxfId="0" priority="1531930">
      <formula>COUNTIF($A$4:$A$10084,$A256)&gt;1</formula>
    </cfRule>
  </conditionalFormatting>
  <conditionalFormatting sqref="A257">
    <cfRule type="expression" dxfId="0" priority="1531931">
      <formula>COUNTIF($A257:$A1432,$A257)&gt;1</formula>
    </cfRule>
    <cfRule type="expression" dxfId="0" priority="1531932">
      <formula>COUNTIF($A$4:$A$10225,$A257)&gt;1</formula>
    </cfRule>
  </conditionalFormatting>
  <conditionalFormatting sqref="A258">
    <cfRule type="expression" dxfId="0" priority="1513172">
      <formula>COUNTIF($A258:$A1418,$A258)&gt;1</formula>
    </cfRule>
  </conditionalFormatting>
  <conditionalFormatting sqref="A259">
    <cfRule type="expression" dxfId="0" priority="1531933">
      <formula>COUNTIF($A259:$A1427,$A259)&gt;1</formula>
    </cfRule>
    <cfRule type="expression" dxfId="0" priority="1531934">
      <formula>COUNTIF($A$6:$A$10200,$A259)&gt;1</formula>
    </cfRule>
  </conditionalFormatting>
  <conditionalFormatting sqref="A260">
    <cfRule type="expression" dxfId="0" priority="1531935">
      <formula>COUNTIF($A$2:$A$10060,$A260)&gt;1</formula>
    </cfRule>
    <cfRule type="expression" dxfId="0" priority="1531936">
      <formula>COUNTIF($A260:$A1312,$A260)&gt;1</formula>
    </cfRule>
  </conditionalFormatting>
  <conditionalFormatting sqref="A261">
    <cfRule type="expression" dxfId="0" priority="1531937">
      <formula>COUNTIF($A$4:$A$10310,$A261)&gt;1</formula>
    </cfRule>
    <cfRule type="expression" dxfId="0" priority="1531938">
      <formula>COUNTIF($A261:$A1507,$A261)&gt;1</formula>
    </cfRule>
  </conditionalFormatting>
  <conditionalFormatting sqref="A262">
    <cfRule type="expression" dxfId="0" priority="1531939">
      <formula>COUNTIF($A262:$A1436,$A262)&gt;1</formula>
    </cfRule>
    <cfRule type="expression" dxfId="0" priority="1531940">
      <formula>COUNTIF($A$4:$A$10215,$A262)&gt;1</formula>
    </cfRule>
  </conditionalFormatting>
  <conditionalFormatting sqref="A263">
    <cfRule type="expression" dxfId="0" priority="1531941">
      <formula>COUNTIF($A263:$A1484,$A263)&gt;1</formula>
    </cfRule>
    <cfRule type="expression" dxfId="0" priority="1531942">
      <formula>COUNTIF($A$4:$A$10264,$A263)&gt;1</formula>
    </cfRule>
  </conditionalFormatting>
  <conditionalFormatting sqref="A267">
    <cfRule type="expression" dxfId="0" priority="1531081">
      <formula>COUNTIF($A267:$A1498,$A267)&gt;1</formula>
    </cfRule>
  </conditionalFormatting>
  <conditionalFormatting sqref="A268">
    <cfRule type="expression" dxfId="0" priority="1531945">
      <formula>COUNTIF($A268:$A1335,$A268)&gt;1</formula>
    </cfRule>
    <cfRule type="expression" dxfId="0" priority="1531946">
      <formula>COUNTIF($A$3:$A$10024,$A268)&gt;1</formula>
    </cfRule>
  </conditionalFormatting>
  <conditionalFormatting sqref="E268">
    <cfRule type="expression" dxfId="1" priority="318">
      <formula>$E268&gt;$B268</formula>
    </cfRule>
  </conditionalFormatting>
  <conditionalFormatting sqref="A269">
    <cfRule type="expression" dxfId="0" priority="1531947">
      <formula>COUNTIF($A$3:$A$10154,$A269)&gt;1</formula>
    </cfRule>
    <cfRule type="expression" dxfId="0" priority="1531948">
      <formula>COUNTIF($A269:$A1406,$A269)&gt;1</formula>
    </cfRule>
  </conditionalFormatting>
  <conditionalFormatting sqref="A270">
    <cfRule type="expression" dxfId="0" priority="1531949">
      <formula>COUNTIF($A270:$A1500,$A270)&gt;1</formula>
    </cfRule>
  </conditionalFormatting>
  <conditionalFormatting sqref="A271">
    <cfRule type="expression" dxfId="0" priority="1531950">
      <formula>COUNTIF($A$4:$A$10288,$A271)&gt;1</formula>
    </cfRule>
    <cfRule type="expression" dxfId="0" priority="1531951">
      <formula>COUNTIF($A271:$A1488,$A271)&gt;1</formula>
    </cfRule>
  </conditionalFormatting>
  <conditionalFormatting sqref="A272">
    <cfRule type="expression" dxfId="0" priority="1531952">
      <formula>COUNTIF($A272:$A1356,$A272)&gt;1</formula>
    </cfRule>
    <cfRule type="expression" dxfId="0" priority="1531953">
      <formula>COUNTIF($A$3:$A$10114,$A272)&gt;1</formula>
    </cfRule>
  </conditionalFormatting>
  <conditionalFormatting sqref="A273">
    <cfRule type="expression" dxfId="0" priority="1529594">
      <formula>COUNTIF($A273:$A1492,$A273)&gt;1</formula>
    </cfRule>
  </conditionalFormatting>
  <conditionalFormatting sqref="A277">
    <cfRule type="expression" dxfId="0" priority="1531086">
      <formula>COUNTIF($A277:$A1494,$A277)&gt;1</formula>
    </cfRule>
  </conditionalFormatting>
  <conditionalFormatting sqref="A278">
    <cfRule type="expression" dxfId="0" priority="1531954">
      <formula>COUNTIF($A278:$A1494,$A278)&gt;1</formula>
    </cfRule>
  </conditionalFormatting>
  <conditionalFormatting sqref="A279">
    <cfRule type="expression" dxfId="0" priority="1531955">
      <formula>COUNTIF($A$4:$A$10217,$A279)&gt;1</formula>
    </cfRule>
    <cfRule type="expression" dxfId="0" priority="1531956">
      <formula>COUNTIF($A279:$A1470,$A279)&gt;1</formula>
    </cfRule>
  </conditionalFormatting>
  <conditionalFormatting sqref="A280">
    <cfRule type="expression" dxfId="0" priority="1531957">
      <formula>COUNTIF($A$4:$A$10045,$A280)&gt;1</formula>
    </cfRule>
    <cfRule type="expression" dxfId="0" priority="1531958">
      <formula>COUNTIF($A280:$A1313,$A280)&gt;1</formula>
    </cfRule>
  </conditionalFormatting>
  <conditionalFormatting sqref="A288">
    <cfRule type="expression" dxfId="0" priority="1530967">
      <formula>COUNTIF($A288:$A1406,$A288)&gt;1</formula>
    </cfRule>
  </conditionalFormatting>
  <conditionalFormatting sqref="A289">
    <cfRule type="expression" dxfId="0" priority="1531837">
      <formula>COUNTIF($A289:$A1406,$A289)&gt;1</formula>
    </cfRule>
  </conditionalFormatting>
  <conditionalFormatting sqref="A291">
    <cfRule type="expression" dxfId="0" priority="1531962">
      <formula>COUNTIF($A291:$A1476,$A291)&gt;1</formula>
    </cfRule>
    <cfRule type="expression" dxfId="0" priority="1531963">
      <formula>COUNTIF($A$4:$A$10206,$A291)&gt;1</formula>
    </cfRule>
  </conditionalFormatting>
  <conditionalFormatting sqref="A292">
    <cfRule type="expression" dxfId="0" priority="1531964">
      <formula>COUNTIF($A292:$A1424,$A292)&gt;1</formula>
    </cfRule>
    <cfRule type="expression" dxfId="0" priority="1531965">
      <formula>COUNTIF($A$5:$A$10118,$A292)&gt;1</formula>
    </cfRule>
  </conditionalFormatting>
  <conditionalFormatting sqref="A293">
    <cfRule type="expression" dxfId="0" priority="1511767">
      <formula>COUNTIF($A293:$A1470,$A293)&gt;1</formula>
    </cfRule>
  </conditionalFormatting>
  <conditionalFormatting sqref="A295">
    <cfRule type="expression" dxfId="0" priority="1509511">
      <formula>COUNTIF($A295:$A1470,$A295)&gt;1</formula>
    </cfRule>
  </conditionalFormatting>
  <conditionalFormatting sqref="A300">
    <cfRule type="expression" dxfId="0" priority="1531966">
      <formula>COUNTIF($A300:$A1413,$A300)&gt;1</formula>
    </cfRule>
    <cfRule type="expression" dxfId="0" priority="1531967">
      <formula>COUNTIF($A$5:$A$10144,$A300)&gt;1</formula>
    </cfRule>
  </conditionalFormatting>
  <conditionalFormatting sqref="A305">
    <cfRule type="expression" dxfId="0" priority="1523714">
      <formula>COUNTIF($A305:$A1509,$A305)&gt;1</formula>
    </cfRule>
  </conditionalFormatting>
  <conditionalFormatting sqref="A308">
    <cfRule type="expression" dxfId="0" priority="1529273">
      <formula>COUNTIF($A308:$A1510,$A308)&gt;1</formula>
    </cfRule>
  </conditionalFormatting>
  <conditionalFormatting sqref="A311">
    <cfRule type="expression" dxfId="0" priority="1531100">
      <formula>COUNTIF($A$4:$A$10265,$A311)&gt;1</formula>
    </cfRule>
  </conditionalFormatting>
  <conditionalFormatting sqref="A313">
    <cfRule type="expression" dxfId="0" priority="1531973">
      <formula>COUNTIF($A$5:$A$10150,$A313)&gt;1</formula>
    </cfRule>
    <cfRule type="expression" dxfId="0" priority="1531974">
      <formula>COUNTIF($A313:$A1467,$A313)&gt;1</formula>
    </cfRule>
  </conditionalFormatting>
  <conditionalFormatting sqref="A314">
    <cfRule type="expression" dxfId="0" priority="1531975">
      <formula>COUNTIF($A314:$A1466,$A314)&gt;1</formula>
    </cfRule>
    <cfRule type="expression" dxfId="0" priority="1531976">
      <formula>COUNTIF($A$5:$A$10149,$A314)&gt;1</formula>
    </cfRule>
  </conditionalFormatting>
  <conditionalFormatting sqref="A315">
    <cfRule type="expression" dxfId="0" priority="1531839">
      <formula>COUNTIF($A315:$A1512,$A315)&gt;1</formula>
    </cfRule>
  </conditionalFormatting>
  <conditionalFormatting sqref="A316">
    <cfRule type="expression" dxfId="0" priority="1531977">
      <formula>COUNTIF($A$5:$A$10052,$A316)&gt;1</formula>
    </cfRule>
    <cfRule type="expression" dxfId="0" priority="1531978">
      <formula>COUNTIF($A316:$A1378,$A316)&gt;1</formula>
    </cfRule>
  </conditionalFormatting>
  <conditionalFormatting sqref="A317">
    <cfRule type="expression" dxfId="0" priority="1531979">
      <formula>COUNTIF($A$4:$A$9987,$A317)&gt;1</formula>
    </cfRule>
    <cfRule type="expression" dxfId="0" priority="1531980">
      <formula>COUNTIF($A317:$A1335,$A317)&gt;1</formula>
    </cfRule>
  </conditionalFormatting>
  <conditionalFormatting sqref="A318">
    <cfRule type="expression" dxfId="0" priority="1531981">
      <formula>COUNTIF($A318:$A1335,$A318)&gt;1</formula>
    </cfRule>
    <cfRule type="expression" dxfId="0" priority="1531982">
      <formula>COUNTIF($A$4:$A$9986,$A318)&gt;1</formula>
    </cfRule>
  </conditionalFormatting>
  <conditionalFormatting sqref="A319">
    <cfRule type="expression" dxfId="0" priority="1528768">
      <formula>COUNTIF($A319:$A1383,$A319)&gt;1</formula>
    </cfRule>
  </conditionalFormatting>
  <conditionalFormatting sqref="A320">
    <cfRule type="expression" dxfId="0" priority="1531840">
      <formula>COUNTIF($A320:$A1379,$A320)&gt;1</formula>
    </cfRule>
  </conditionalFormatting>
  <conditionalFormatting sqref="A321">
    <cfRule type="expression" dxfId="0" priority="1531983">
      <formula>COUNTIF($A321:$A1356,$A321)&gt;1</formula>
    </cfRule>
    <cfRule type="expression" dxfId="0" priority="1531984">
      <formula>COUNTIF($A$5:$A$10022,$A321)&gt;1</formula>
    </cfRule>
  </conditionalFormatting>
  <conditionalFormatting sqref="A326">
    <cfRule type="expression" dxfId="0" priority="1531991">
      <formula>COUNTIF($A326:$A1382,$A326)&gt;1</formula>
    </cfRule>
    <cfRule type="expression" dxfId="0" priority="1531992">
      <formula>COUNTIF($A$3:$A$10011,$A326)&gt;1</formula>
    </cfRule>
  </conditionalFormatting>
  <conditionalFormatting sqref="A327">
    <cfRule type="expression" dxfId="0" priority="1531993">
      <formula>COUNTIF($A327:$A1556,$A327)&gt;1</formula>
    </cfRule>
    <cfRule type="expression" dxfId="0" priority="1531994">
      <formula>COUNTIF($A$4:$A$10304,$A327)&gt;1</formula>
    </cfRule>
  </conditionalFormatting>
  <conditionalFormatting sqref="A328">
    <cfRule type="expression" dxfId="0" priority="1531995">
      <formula>COUNTIF($A328:$A1534,$A328)&gt;1</formula>
    </cfRule>
    <cfRule type="expression" dxfId="0" priority="1531996">
      <formula>COUNTIF($A$4:$A$10288,$A328)&gt;1</formula>
    </cfRule>
  </conditionalFormatting>
  <conditionalFormatting sqref="A329">
    <cfRule type="expression" dxfId="0" priority="1531997">
      <formula>COUNTIF($A$3:$A$9971,$A329)&gt;1</formula>
    </cfRule>
    <cfRule type="expression" dxfId="0" priority="1531998">
      <formula>COUNTIF($A329:$A1297,$A329)&gt;1</formula>
    </cfRule>
  </conditionalFormatting>
  <conditionalFormatting sqref="A330">
    <cfRule type="expression" dxfId="0" priority="1531999">
      <formula>COUNTIF($A330:$A1562,$A330)&gt;1</formula>
    </cfRule>
    <cfRule type="expression" dxfId="0" priority="1532000">
      <formula>COUNTIF($A$4:$A$10304,$A330)&gt;1</formula>
    </cfRule>
  </conditionalFormatting>
  <conditionalFormatting sqref="A346">
    <cfRule type="expression" dxfId="0" priority="1531841">
      <formula>COUNTIF($A336:$A1516,$A346)&gt;1</formula>
    </cfRule>
  </conditionalFormatting>
  <conditionalFormatting sqref="A347">
    <cfRule type="expression" dxfId="0" priority="1531842">
      <formula>COUNTIF($A336:$A1516,$A347)&gt;1</formula>
    </cfRule>
  </conditionalFormatting>
  <conditionalFormatting sqref="A349">
    <cfRule type="expression" dxfId="0" priority="1532003">
      <formula>COUNTIF($A$5:$A$10126,$A349)&gt;1</formula>
    </cfRule>
    <cfRule type="expression" dxfId="0" priority="1532004">
      <formula>COUNTIF($A349:$A1486,$A349)&gt;1</formula>
    </cfRule>
  </conditionalFormatting>
  <conditionalFormatting sqref="A352">
    <cfRule type="expression" dxfId="0" priority="1531835">
      <formula>COUNTIF($A352:$A1476,$A352)&gt;1</formula>
    </cfRule>
  </conditionalFormatting>
  <conditionalFormatting sqref="A353">
    <cfRule type="expression" dxfId="0" priority="1532005">
      <formula>COUNTIF($A353:$A1474,$A353)&gt;1</formula>
    </cfRule>
    <cfRule type="expression" dxfId="0" priority="1532006">
      <formula>COUNTIF($A$5:$A$10123,$A353)&gt;1</formula>
    </cfRule>
  </conditionalFormatting>
  <conditionalFormatting sqref="A355">
    <cfRule type="expression" dxfId="0" priority="1517522">
      <formula>COUNTIF($A355:$A1520,$A355)&gt;1</formula>
    </cfRule>
  </conditionalFormatting>
  <conditionalFormatting sqref="A359">
    <cfRule type="expression" dxfId="0" priority="1532007">
      <formula>COUNTIF($A$4:$A$10259,$A359)&gt;1</formula>
    </cfRule>
    <cfRule type="expression" dxfId="0" priority="1532008">
      <formula>COUNTIF($A359:$A1526,$A359)&gt;1</formula>
    </cfRule>
  </conditionalFormatting>
  <conditionalFormatting sqref="A360">
    <cfRule type="expression" dxfId="0" priority="1532009">
      <formula>COUNTIF($A360:$A1521,$A360)&gt;1</formula>
    </cfRule>
    <cfRule type="expression" dxfId="0" priority="1532010">
      <formula>COUNTIF($A$4:$A$10226,$A360)&gt;1</formula>
    </cfRule>
  </conditionalFormatting>
  <conditionalFormatting sqref="A369">
    <cfRule type="expression" dxfId="0" priority="1532011">
      <formula>COUNTIF($A$4:$A$10096,$A369)&gt;1</formula>
    </cfRule>
    <cfRule type="expression" dxfId="0" priority="1532012">
      <formula>COUNTIF($A369:$A1440,$A369)&gt;1</formula>
    </cfRule>
  </conditionalFormatting>
  <conditionalFormatting sqref="A370">
    <cfRule type="expression" dxfId="0" priority="1532013">
      <formula>COUNTIF($A370:$A1563,$A370)&gt;1</formula>
    </cfRule>
    <cfRule type="expression" dxfId="0" priority="1532014">
      <formula>COUNTIF($A$4:$A$10301,$A370)&gt;1</formula>
    </cfRule>
  </conditionalFormatting>
  <conditionalFormatting sqref="A371">
    <cfRule type="expression" dxfId="0" priority="1532015">
      <formula>COUNTIF($A$3:$A$10119,$A371)&gt;1</formula>
    </cfRule>
    <cfRule type="expression" dxfId="0" priority="1532016">
      <formula>COUNTIF($A371:$A1502,$A371)&gt;1</formula>
    </cfRule>
  </conditionalFormatting>
  <conditionalFormatting sqref="A372">
    <cfRule type="expression" dxfId="0" priority="1532017">
      <formula>COUNTIF($A372:$A1103,$A372)&gt;1</formula>
    </cfRule>
    <cfRule type="expression" dxfId="0" priority="1532018">
      <formula>COUNTIF($A$9:$A$9561,$A372)&gt;1</formula>
    </cfRule>
  </conditionalFormatting>
  <conditionalFormatting sqref="A376">
    <cfRule type="expression" dxfId="0" priority="1531153">
      <formula>COUNTIF($A376:$A1477,$A376)&gt;1</formula>
    </cfRule>
    <cfRule type="expression" dxfId="0" priority="1531154">
      <formula>COUNTIF($A$4:$A$10183,$A376)&gt;1</formula>
    </cfRule>
  </conditionalFormatting>
  <conditionalFormatting sqref="A380">
    <cfRule type="expression" dxfId="0" priority="1532021">
      <formula>COUNTIF($A380:$A1480,$A380)&gt;1</formula>
    </cfRule>
    <cfRule type="expression" dxfId="0" priority="1532022">
      <formula>COUNTIF($A$4:$A$10182,$A380)&gt;1</formula>
    </cfRule>
  </conditionalFormatting>
  <conditionalFormatting sqref="A381">
    <cfRule type="expression" dxfId="0" priority="1532023">
      <formula>COUNTIF($A$4:$A$10181,$A381)&gt;1</formula>
    </cfRule>
    <cfRule type="expression" dxfId="0" priority="1532024">
      <formula>COUNTIF($A381:$A1538,$A381)&gt;1</formula>
    </cfRule>
  </conditionalFormatting>
  <conditionalFormatting sqref="A386">
    <cfRule type="expression" dxfId="0" priority="1532025">
      <formula>COUNTIF($A386:$A1457,$A386)&gt;1</formula>
    </cfRule>
    <cfRule type="expression" dxfId="0" priority="1532026">
      <formula>COUNTIF($A$4:$A$10078,$A386)&gt;1</formula>
    </cfRule>
  </conditionalFormatting>
  <conditionalFormatting sqref="A387">
    <cfRule type="expression" dxfId="0" priority="1532027">
      <formula>COUNTIF($A$4:$A$10194,$A387)&gt;1</formula>
    </cfRule>
    <cfRule type="expression" dxfId="0" priority="1532028">
      <formula>COUNTIF($A387:$A1548,$A387)&gt;1</formula>
    </cfRule>
  </conditionalFormatting>
  <conditionalFormatting sqref="A396">
    <cfRule type="expression" dxfId="0" priority="1532029">
      <formula>COUNTIF($A396:$A1434,$A396)&gt;1</formula>
    </cfRule>
    <cfRule type="expression" dxfId="0" priority="1532030">
      <formula>COUNTIF($A$2:$A$9958,$A396)&gt;1</formula>
    </cfRule>
  </conditionalFormatting>
  <conditionalFormatting sqref="A398">
    <cfRule type="expression" dxfId="0" priority="1532031">
      <formula>COUNTIF($A398:$A1528,$A398)&gt;1</formula>
    </cfRule>
    <cfRule type="expression" dxfId="0" priority="1532032">
      <formula>COUNTIF($A$4:$A$10153,$A398)&gt;1</formula>
    </cfRule>
  </conditionalFormatting>
  <conditionalFormatting sqref="A403">
    <cfRule type="expression" dxfId="0" priority="1530968">
      <formula>COUNTIF($A403:$A1603,$A403)&gt;1</formula>
    </cfRule>
  </conditionalFormatting>
  <conditionalFormatting sqref="A413">
    <cfRule type="expression" dxfId="0" priority="1532035">
      <formula>COUNTIF($A413:$A1583,$A413)&gt;1</formula>
    </cfRule>
    <cfRule type="expression" dxfId="0" priority="1532036">
      <formula>COUNTIF($A$4:$A$10166,$A413)&gt;1</formula>
    </cfRule>
  </conditionalFormatting>
  <conditionalFormatting sqref="A423">
    <cfRule type="expression" dxfId="0" priority="1531847">
      <formula>COUNTIF($A423:$A1608,$A423)&gt;1</formula>
    </cfRule>
  </conditionalFormatting>
  <conditionalFormatting sqref="A426">
    <cfRule type="expression" dxfId="0" priority="1532037">
      <formula>COUNTIF($A426:$A1587,$A426)&gt;1</formula>
    </cfRule>
    <cfRule type="expression" dxfId="0" priority="1532038">
      <formula>COUNTIF($A$4:$A$10216,$A426)&gt;1</formula>
    </cfRule>
  </conditionalFormatting>
  <conditionalFormatting sqref="A427">
    <cfRule type="expression" dxfId="0" priority="1532039">
      <formula>COUNTIF($A$4:$A$10278,$A427)&gt;1</formula>
    </cfRule>
    <cfRule type="expression" dxfId="0" priority="1532040">
      <formula>COUNTIF($A427:$A1611,$A427)&gt;1</formula>
    </cfRule>
  </conditionalFormatting>
  <conditionalFormatting sqref="A428">
    <cfRule type="expression" dxfId="0" priority="1532041">
      <formula>COUNTIF($A$4:$A$10246,$A428)&gt;1</formula>
    </cfRule>
    <cfRule type="expression" dxfId="0" priority="1532042">
      <formula>COUNTIF($A428:$A1598,$A428)&gt;1</formula>
    </cfRule>
  </conditionalFormatting>
  <conditionalFormatting sqref="A429">
    <cfRule type="expression" dxfId="0" priority="1532043">
      <formula>COUNTIF($A429:$A1577,$A429)&gt;1</formula>
    </cfRule>
    <cfRule type="expression" dxfId="0" priority="1532044">
      <formula>COUNTIF($A$4:$A$10159,$A429)&gt;1</formula>
    </cfRule>
  </conditionalFormatting>
  <conditionalFormatting sqref="A434">
    <cfRule type="expression" dxfId="0" priority="1532049">
      <formula>COUNTIF($A$4:$A$10104,$A434)&gt;1</formula>
    </cfRule>
    <cfRule type="expression" dxfId="0" priority="1532050">
      <formula>COUNTIF($A434:$A1501,$A434)&gt;1</formula>
    </cfRule>
  </conditionalFormatting>
  <conditionalFormatting sqref="A438">
    <cfRule type="expression" dxfId="0" priority="1532051">
      <formula>COUNTIF($A438:$A1456,$A438)&gt;1</formula>
    </cfRule>
    <cfRule type="expression" dxfId="0" priority="1532052">
      <formula>COUNTIF($A$2:$A$9934,$A438)&gt;1</formula>
    </cfRule>
  </conditionalFormatting>
  <conditionalFormatting sqref="A439">
    <cfRule type="expression" dxfId="0" priority="1532053">
      <formula>COUNTIF($A$2:$A$9925,$A439)&gt;1</formula>
    </cfRule>
    <cfRule type="expression" dxfId="0" priority="1532054">
      <formula>COUNTIF($A439:$A1441,$A439)&gt;1</formula>
    </cfRule>
  </conditionalFormatting>
  <conditionalFormatting sqref="A455">
    <cfRule type="expression" dxfId="0" priority="1532057">
      <formula>COUNTIF($A455:$A1434,$A455)&gt;1</formula>
    </cfRule>
    <cfRule type="expression" dxfId="0" priority="1532058">
      <formula>COUNTIF($A$2:$A$9957,$A455)&gt;1</formula>
    </cfRule>
  </conditionalFormatting>
  <conditionalFormatting sqref="A456">
    <cfRule type="expression" dxfId="0" priority="1531826">
      <formula>COUNTIF($A456:$A1592,$A456)&gt;1</formula>
    </cfRule>
  </conditionalFormatting>
  <conditionalFormatting sqref="A457">
    <cfRule type="expression" dxfId="0" priority="1532059">
      <formula>COUNTIF($A$2:$A$9957,$A457)&gt;1</formula>
    </cfRule>
    <cfRule type="expression" dxfId="0" priority="1532060">
      <formula>COUNTIF($A457:$A1429,$A457)&gt;1</formula>
    </cfRule>
  </conditionalFormatting>
  <conditionalFormatting sqref="A465">
    <cfRule type="expression" dxfId="0" priority="1532061">
      <formula>COUNTIF($A465:$A1472,$A465)&gt;1</formula>
    </cfRule>
    <cfRule type="expression" dxfId="0" priority="1532062">
      <formula>COUNTIF($A$2:$A$9942,$A465)&gt;1</formula>
    </cfRule>
  </conditionalFormatting>
  <conditionalFormatting sqref="A467">
    <cfRule type="expression" dxfId="0" priority="1530750">
      <formula>COUNTIF($A467:$A1480,$A467)&gt;1</formula>
    </cfRule>
  </conditionalFormatting>
  <conditionalFormatting sqref="A472">
    <cfRule type="expression" dxfId="0" priority="1530031">
      <formula>COUNTIF($A472:$A1533,$A472)&gt;1</formula>
    </cfRule>
  </conditionalFormatting>
  <conditionalFormatting sqref="A473">
    <cfRule type="expression" dxfId="0" priority="1530970">
      <formula>COUNTIF($A473:$A1533,$A473)&gt;1</formula>
    </cfRule>
  </conditionalFormatting>
  <conditionalFormatting sqref="A483">
    <cfRule type="expression" dxfId="0" priority="1532066">
      <formula>COUNTIF($A483:$A1592,$A483)&gt;1</formula>
    </cfRule>
    <cfRule type="expression" dxfId="0" priority="1532067">
      <formula>COUNTIF($A$2:$A$10075,$A483)&gt;1</formula>
    </cfRule>
  </conditionalFormatting>
  <conditionalFormatting sqref="A484">
    <cfRule type="expression" dxfId="0" priority="1532068">
      <formula>COUNTIF($A484:$A1546,$A484)&gt;1</formula>
    </cfRule>
    <cfRule type="expression" dxfId="0" priority="1532069">
      <formula>COUNTIF($A$2:$A$9985,$A484)&gt;1</formula>
    </cfRule>
  </conditionalFormatting>
  <conditionalFormatting sqref="A485">
    <cfRule type="expression" dxfId="0" priority="1532070">
      <formula>COUNTIF($A$4:$A$10226,$A485)&gt;1</formula>
    </cfRule>
    <cfRule type="expression" dxfId="0" priority="1532071">
      <formula>COUNTIF($A485:$A1641,$A485)&gt;1</formula>
    </cfRule>
  </conditionalFormatting>
  <conditionalFormatting sqref="A486">
    <cfRule type="expression" dxfId="0" priority="1532072">
      <formula>COUNTIF($A486:$A1638,$A486)&gt;1</formula>
    </cfRule>
    <cfRule type="expression" dxfId="0" priority="1532073">
      <formula>COUNTIF($A$4:$A$10149,$A486)&gt;1</formula>
    </cfRule>
  </conditionalFormatting>
  <conditionalFormatting sqref="A487">
    <cfRule type="expression" dxfId="0" priority="1532074">
      <formula>COUNTIF($A487:$A1537,$A487)&gt;1</formula>
    </cfRule>
    <cfRule type="expression" dxfId="0" priority="1532075">
      <formula>COUNTIF($A$3:$A$10017,$A487)&gt;1</formula>
    </cfRule>
  </conditionalFormatting>
  <conditionalFormatting sqref="A490">
    <cfRule type="expression" dxfId="0" priority="1532076">
      <formula>COUNTIF($A490:$A1622,$A490)&gt;1</formula>
    </cfRule>
    <cfRule type="expression" dxfId="0" priority="1532077">
      <formula>COUNTIF($A$4:$A$10119,$A490)&gt;1</formula>
    </cfRule>
  </conditionalFormatting>
  <conditionalFormatting sqref="A491">
    <cfRule type="expression" dxfId="0" priority="1532078">
      <formula>COUNTIF($A491:$A1637,$A491)&gt;1</formula>
    </cfRule>
    <cfRule type="expression" dxfId="0" priority="1532079">
      <formula>COUNTIF($A$4:$A$10133,$A491)&gt;1</formula>
    </cfRule>
  </conditionalFormatting>
  <conditionalFormatting sqref="A492">
    <cfRule type="expression" dxfId="0" priority="1532080">
      <formula>COUNTIF($A492:$A1653,$A492)&gt;1</formula>
    </cfRule>
    <cfRule type="expression" dxfId="0" priority="1532081">
      <formula>COUNTIF($A$4:$A$10235,$A492)&gt;1</formula>
    </cfRule>
  </conditionalFormatting>
  <conditionalFormatting sqref="A493">
    <cfRule type="expression" dxfId="0" priority="1532082">
      <formula>COUNTIF($A493:$A1623,$A493)&gt;1</formula>
    </cfRule>
    <cfRule type="expression" dxfId="0" priority="1532083">
      <formula>COUNTIF($A$4:$A$10119,$A493)&gt;1</formula>
    </cfRule>
  </conditionalFormatting>
  <conditionalFormatting sqref="A494">
    <cfRule type="expression" dxfId="0" priority="1532084">
      <formula>COUNTIF($A494:$A1433,$A494)&gt;1</formula>
    </cfRule>
    <cfRule type="expression" dxfId="0" priority="1532085">
      <formula>COUNTIF($A$2:$A$9832,$A494)&gt;1</formula>
    </cfRule>
  </conditionalFormatting>
  <conditionalFormatting sqref="A495">
    <cfRule type="expression" dxfId="0" priority="1532086">
      <formula>COUNTIF($A495:$A1636,$A495)&gt;1</formula>
    </cfRule>
    <cfRule type="expression" dxfId="0" priority="1532087">
      <formula>COUNTIF($A$4:$A$10165,$A495)&gt;1</formula>
    </cfRule>
  </conditionalFormatting>
  <conditionalFormatting sqref="A496">
    <cfRule type="expression" dxfId="0" priority="1532088">
      <formula>COUNTIF($A496:$A1459,$A496)&gt;1</formula>
    </cfRule>
    <cfRule type="expression" dxfId="0" priority="1532089">
      <formula>COUNTIF($A$2:$A$9963,$A496)&gt;1</formula>
    </cfRule>
  </conditionalFormatting>
  <conditionalFormatting sqref="A497">
    <cfRule type="expression" dxfId="0" priority="1532090">
      <formula>COUNTIF($A$3:$A$9919,$A497)&gt;1</formula>
    </cfRule>
    <cfRule type="expression" dxfId="0" priority="1532091">
      <formula>COUNTIF($A497:$A1441,$A497)&gt;1</formula>
    </cfRule>
  </conditionalFormatting>
  <conditionalFormatting sqref="A498">
    <cfRule type="expression" dxfId="0" priority="1532092">
      <formula>COUNTIF($A498:$A1540,$A498)&gt;1</formula>
    </cfRule>
    <cfRule type="expression" dxfId="0" priority="1532093">
      <formula>COUNTIF($A$4:$A$10059,$A498)&gt;1</formula>
    </cfRule>
  </conditionalFormatting>
  <conditionalFormatting sqref="A499">
    <cfRule type="expression" dxfId="0" priority="1532094">
      <formula>COUNTIF($A499:$A1610,$A499)&gt;1</formula>
    </cfRule>
    <cfRule type="expression" dxfId="0" priority="1532095">
      <formula>COUNTIF($A$4:$A$10116,$A499)&gt;1</formula>
    </cfRule>
  </conditionalFormatting>
  <conditionalFormatting sqref="A505">
    <cfRule type="expression" dxfId="0" priority="1532101">
      <formula>COUNTIF($A505:$A1621,$A505)&gt;1</formula>
    </cfRule>
    <cfRule type="expression" dxfId="0" priority="1532102">
      <formula>COUNTIF($A$3:$A$10070,$A505)&gt;1</formula>
    </cfRule>
  </conditionalFormatting>
  <conditionalFormatting sqref="A507">
    <cfRule type="expression" dxfId="0" priority="1532103">
      <formula>COUNTIF($A$4:$A$10108,$A507)&gt;1</formula>
    </cfRule>
    <cfRule type="expression" dxfId="0" priority="1532104">
      <formula>COUNTIF($A507:$A1635,$A507)&gt;1</formula>
    </cfRule>
  </conditionalFormatting>
  <conditionalFormatting sqref="A509">
    <cfRule type="expression" dxfId="0" priority="1532105">
      <formula>COUNTIF($A509:$A1633,$A509)&gt;1</formula>
    </cfRule>
    <cfRule type="expression" dxfId="0" priority="1532106">
      <formula>COUNTIF($A$3:$A$10084,$A509)&gt;1</formula>
    </cfRule>
  </conditionalFormatting>
  <conditionalFormatting sqref="A511">
    <cfRule type="expression" dxfId="0" priority="1532107">
      <formula>COUNTIF($A511:$A1550,$A511)&gt;1</formula>
    </cfRule>
    <cfRule type="expression" dxfId="0" priority="1532108">
      <formula>COUNTIF($A$2:$A$9984,$A511)&gt;1</formula>
    </cfRule>
  </conditionalFormatting>
  <conditionalFormatting sqref="A514">
    <cfRule type="expression" dxfId="0" priority="1532111">
      <formula>COUNTIF($A514:$A1669,$A514)&gt;1</formula>
    </cfRule>
    <cfRule type="expression" dxfId="0" priority="1532112">
      <formula>COUNTIF($A$5:$A$10174,$A514)&gt;1</formula>
    </cfRule>
  </conditionalFormatting>
  <conditionalFormatting sqref="A523">
    <cfRule type="expression" dxfId="0" priority="1532114">
      <formula>COUNTIF($A523:$A1678,$A523)&gt;1</formula>
    </cfRule>
    <cfRule type="expression" dxfId="0" priority="1532115">
      <formula>COUNTIF($A$4:$A$10196,$A523)&gt;1</formula>
    </cfRule>
  </conditionalFormatting>
  <conditionalFormatting sqref="A524">
    <cfRule type="expression" dxfId="0" priority="1508809">
      <formula>COUNTIF($A524:$A1680,$A524)&gt;1</formula>
    </cfRule>
  </conditionalFormatting>
  <conditionalFormatting sqref="A527">
    <cfRule type="expression" dxfId="0" priority="1532118">
      <formula>COUNTIF($A$5:$A$9990,$A527)&gt;1</formula>
    </cfRule>
    <cfRule type="expression" dxfId="0" priority="1532119">
      <formula>COUNTIF($A527:$A1502,$A527)&gt;1</formula>
    </cfRule>
  </conditionalFormatting>
  <conditionalFormatting sqref="A530">
    <cfRule type="expression" dxfId="0" priority="1532120">
      <formula>COUNTIF($A530:$A1545,$A530)&gt;1</formula>
    </cfRule>
    <cfRule type="expression" dxfId="0" priority="1532121">
      <formula>COUNTIF($A$4:$A$10027,$A530)&gt;1</formula>
    </cfRule>
  </conditionalFormatting>
  <conditionalFormatting sqref="A531">
    <cfRule type="expression" dxfId="0" priority="1486991">
      <formula>COUNTIF($A531:$A1588,$A531)&gt;1</formula>
    </cfRule>
  </conditionalFormatting>
  <conditionalFormatting sqref="A535">
    <cfRule type="expression" dxfId="0" priority="1530776">
      <formula>COUNTIF($A535:$A1681,$A535)&gt;1</formula>
    </cfRule>
  </conditionalFormatting>
  <conditionalFormatting sqref="A552">
    <cfRule type="expression" dxfId="0" priority="1532124">
      <formula>COUNTIF($A552:$A1607,$A552)&gt;1</formula>
    </cfRule>
    <cfRule type="expression" dxfId="0" priority="1532125">
      <formula>COUNTIF($A$4:$A$10066,$A552)&gt;1</formula>
    </cfRule>
  </conditionalFormatting>
  <conditionalFormatting sqref="A562">
    <cfRule type="expression" dxfId="0" priority="1522249">
      <formula>COUNTIF($A562:$A1629,$A562)&gt;1</formula>
    </cfRule>
  </conditionalFormatting>
  <conditionalFormatting sqref="A565">
    <cfRule type="expression" dxfId="0" priority="1532127">
      <formula>COUNTIF($A$2:$A$10014,$A565)&gt;1</formula>
    </cfRule>
    <cfRule type="expression" dxfId="0" priority="1532128">
      <formula>COUNTIF($A565:$A1627,$A565)&gt;1</formula>
    </cfRule>
  </conditionalFormatting>
  <conditionalFormatting sqref="A568">
    <cfRule type="expression" dxfId="0" priority="1532129">
      <formula>COUNTIF($A$4:$A$10060,$A568)&gt;1</formula>
    </cfRule>
    <cfRule type="expression" dxfId="0" priority="1532130">
      <formula>COUNTIF($A568:$A1661,$A568)&gt;1</formula>
    </cfRule>
  </conditionalFormatting>
  <conditionalFormatting sqref="A573">
    <cfRule type="expression" dxfId="0" priority="1532131">
      <formula>COUNTIF($A$4:$A$10033,$A573)&gt;1</formula>
    </cfRule>
    <cfRule type="expression" dxfId="0" priority="1532132">
      <formula>COUNTIF($A573:$A1653,$A573)&gt;1</formula>
    </cfRule>
  </conditionalFormatting>
  <conditionalFormatting sqref="A579">
    <cfRule type="expression" dxfId="0" priority="1532133">
      <formula>COUNTIF($A579:$A1548,$A579)&gt;1</formula>
    </cfRule>
    <cfRule type="expression" dxfId="0" priority="1532134">
      <formula>COUNTIF($A$2:$A$9912,$A579)&gt;1</formula>
    </cfRule>
  </conditionalFormatting>
  <conditionalFormatting sqref="A580">
    <cfRule type="expression" dxfId="0" priority="1532135">
      <formula>COUNTIF($A580:$A1555,$A580)&gt;1</formula>
    </cfRule>
    <cfRule type="expression" dxfId="0" priority="1532136">
      <formula>COUNTIF($A$3:$A$9973,$A580)&gt;1</formula>
    </cfRule>
  </conditionalFormatting>
  <conditionalFormatting sqref="A582">
    <cfRule type="expression" dxfId="0" priority="1532137">
      <formula>COUNTIF($A582:$A1622,$A582)&gt;1</formula>
    </cfRule>
    <cfRule type="expression" dxfId="0" priority="1532138">
      <formula>COUNTIF($A$4:$A$10107,$A582)&gt;1</formula>
    </cfRule>
  </conditionalFormatting>
  <conditionalFormatting sqref="A584">
    <cfRule type="expression" dxfId="0" priority="1532142">
      <formula>COUNTIF($A584:$A1608,$A584)&gt;1</formula>
    </cfRule>
    <cfRule type="expression" dxfId="0" priority="1532143">
      <formula>COUNTIF($A$4:$A$10093,$A584)&gt;1</formula>
    </cfRule>
  </conditionalFormatting>
  <conditionalFormatting sqref="A587">
    <cfRule type="expression" dxfId="0" priority="1532144">
      <formula>COUNTIF($A587:$A1610,$A587)&gt;1</formula>
    </cfRule>
    <cfRule type="expression" dxfId="0" priority="1532145">
      <formula>COUNTIF($A$4:$A$10060,$A587)&gt;1</formula>
    </cfRule>
  </conditionalFormatting>
  <conditionalFormatting sqref="A588">
    <cfRule type="expression" dxfId="0" priority="1532146">
      <formula>COUNTIF($A588:$A1644,$A588)&gt;1</formula>
    </cfRule>
    <cfRule type="expression" dxfId="0" priority="1532147">
      <formula>COUNTIF($A$4:$A$10095,$A588)&gt;1</formula>
    </cfRule>
  </conditionalFormatting>
  <conditionalFormatting sqref="A590">
    <cfRule type="expression" dxfId="0" priority="1532148">
      <formula>COUNTIF($A590:$A1634,$A590)&gt;1</formula>
    </cfRule>
    <cfRule type="expression" dxfId="0" priority="1532149">
      <formula>COUNTIF($A$4:$A$9990,$A590)&gt;1</formula>
    </cfRule>
  </conditionalFormatting>
  <conditionalFormatting sqref="E590">
    <cfRule type="expression" dxfId="1" priority="1250610">
      <formula>$E590&gt;$C590</formula>
    </cfRule>
  </conditionalFormatting>
  <conditionalFormatting sqref="A591">
    <cfRule type="expression" dxfId="0" priority="1527408">
      <formula>COUNTIF($A591:$A1697,$A591)&gt;1</formula>
    </cfRule>
  </conditionalFormatting>
  <conditionalFormatting sqref="A592">
    <cfRule type="expression" dxfId="0" priority="1532152">
      <formula>COUNTIF($A592:$A1645,$A592)&gt;1</formula>
    </cfRule>
    <cfRule type="expression" dxfId="0" priority="1532153">
      <formula>COUNTIF($A$3:$A$9941,$A592)&gt;1</formula>
    </cfRule>
  </conditionalFormatting>
  <conditionalFormatting sqref="A595">
    <cfRule type="expression" dxfId="0" priority="1528757">
      <formula>COUNTIF($A595:$A1699,$A595)&gt;1</formula>
    </cfRule>
  </conditionalFormatting>
  <conditionalFormatting sqref="A596">
    <cfRule type="expression" dxfId="0" priority="1530804">
      <formula>COUNTIF($A596:$A1701,$A596)&gt;1</formula>
    </cfRule>
  </conditionalFormatting>
  <conditionalFormatting sqref="A603">
    <cfRule type="expression" dxfId="0" priority="1532156">
      <formula>COUNTIF($A603:$A1653,$A603)&gt;1</formula>
    </cfRule>
    <cfRule type="expression" dxfId="0" priority="1532157">
      <formula>COUNTIF($A$5:$A$10109,$A603)&gt;1</formula>
    </cfRule>
  </conditionalFormatting>
  <conditionalFormatting sqref="A609">
    <cfRule type="expression" dxfId="0" priority="1532158">
      <formula>COUNTIF($A609:$A1668,$A609)&gt;1</formula>
    </cfRule>
    <cfRule type="expression" dxfId="0" priority="1532159">
      <formula>COUNTIF($A$3:$A$10045,$A609)&gt;1</formula>
    </cfRule>
  </conditionalFormatting>
  <conditionalFormatting sqref="A610">
    <cfRule type="expression" dxfId="0" priority="1532160">
      <formula>COUNTIF($A610:$A1670,$A610)&gt;1</formula>
    </cfRule>
    <cfRule type="expression" dxfId="0" priority="1532161">
      <formula>COUNTIF($A$3:$A$10044,$A610)&gt;1</formula>
    </cfRule>
  </conditionalFormatting>
  <conditionalFormatting sqref="A611">
    <cfRule type="expression" dxfId="0" priority="1531834">
      <formula>COUNTIF($A607:$A1691,$A611)&gt;1</formula>
    </cfRule>
  </conditionalFormatting>
  <conditionalFormatting sqref="A614">
    <cfRule type="expression" dxfId="0" priority="1532162">
      <formula>COUNTIF($A614:$A1691,$A614)&gt;1</formula>
    </cfRule>
    <cfRule type="expression" dxfId="0" priority="1532163">
      <formula>COUNTIF($A$6:$A$10082,$A614)&gt;1</formula>
    </cfRule>
  </conditionalFormatting>
  <conditionalFormatting sqref="A615">
    <cfRule type="expression" dxfId="0" priority="1532164">
      <formula>COUNTIF($A615:$A1670,$A615)&gt;1</formula>
    </cfRule>
    <cfRule type="expression" dxfId="0" priority="1532165">
      <formula>COUNTIF($A$3:$A$10004,$A615)&gt;1</formula>
    </cfRule>
  </conditionalFormatting>
  <conditionalFormatting sqref="A616">
    <cfRule type="expression" dxfId="0" priority="1532166">
      <formula>COUNTIF($A616:$A1675,$A616)&gt;1</formula>
    </cfRule>
    <cfRule type="expression" dxfId="0" priority="1532167">
      <formula>COUNTIF($A$3:$A$9994,$A616)&gt;1</formula>
    </cfRule>
  </conditionalFormatting>
  <conditionalFormatting sqref="A617">
    <cfRule type="expression" dxfId="0" priority="1532168">
      <formula>COUNTIF($A617:$A1708,$A617)&gt;1</formula>
    </cfRule>
    <cfRule type="expression" dxfId="0" priority="1532169">
      <formula>COUNTIF($A$4:$A$10169,$A617)&gt;1</formula>
    </cfRule>
  </conditionalFormatting>
  <conditionalFormatting sqref="A619">
    <cfRule type="expression" dxfId="0" priority="1532174">
      <formula>COUNTIF($A$3:$A$10170,$A619)&gt;1</formula>
    </cfRule>
    <cfRule type="expression" dxfId="0" priority="1532175">
      <formula>COUNTIF($A619:$A1702,$A619)&gt;1</formula>
    </cfRule>
  </conditionalFormatting>
  <conditionalFormatting sqref="A621">
    <cfRule type="expression" dxfId="0" priority="1531576">
      <formula>COUNTIF($A621:$A1637,$A621)&gt;1</formula>
    </cfRule>
  </conditionalFormatting>
  <conditionalFormatting sqref="A622">
    <cfRule type="expression" dxfId="0" priority="1531577">
      <formula>COUNTIF($A622:$A1640,$A622)&gt;1</formula>
    </cfRule>
  </conditionalFormatting>
  <conditionalFormatting sqref="A626">
    <cfRule type="expression" dxfId="0" priority="1532181">
      <formula>COUNTIF($A626:$A1521,$A626)&gt;1</formula>
    </cfRule>
    <cfRule type="expression" dxfId="0" priority="1532182">
      <formula>COUNTIF($A$6:$A$9492,$A626)&gt;1</formula>
    </cfRule>
  </conditionalFormatting>
  <conditionalFormatting sqref="A633">
    <cfRule type="expression" dxfId="0" priority="1532184">
      <formula>COUNTIF($A633:$A1780,$A633)&gt;1</formula>
    </cfRule>
    <cfRule type="expression" dxfId="0" priority="1532185">
      <formula>COUNTIF($A$3:$A$10139,$A633)&gt;1</formula>
    </cfRule>
  </conditionalFormatting>
  <conditionalFormatting sqref="A634">
    <cfRule type="expression" dxfId="0" priority="1532186">
      <formula>COUNTIF($A634:$A1756,$A634)&gt;1</formula>
    </cfRule>
    <cfRule type="expression" dxfId="0" priority="1532187">
      <formula>COUNTIF($A$3:$A$10067,$A634)&gt;1</formula>
    </cfRule>
  </conditionalFormatting>
  <conditionalFormatting sqref="A635">
    <cfRule type="expression" dxfId="0" priority="1532188">
      <formula>COUNTIF($A$4:$A$10320,$A635)&gt;1</formula>
    </cfRule>
    <cfRule type="expression" dxfId="0" priority="1532189">
      <formula>COUNTIF($A635:$A1782,$A635)&gt;1</formula>
    </cfRule>
  </conditionalFormatting>
  <conditionalFormatting sqref="A640">
    <cfRule type="expression" dxfId="0" priority="1532190">
      <formula>COUNTIF($A640:$A1675,$A640)&gt;1</formula>
    </cfRule>
    <cfRule type="expression" dxfId="0" priority="1532191">
      <formula>COUNTIF($A$4:$A$9985,$A640)&gt;1</formula>
    </cfRule>
  </conditionalFormatting>
  <conditionalFormatting sqref="A645">
    <cfRule type="expression" dxfId="0" priority="1523089">
      <formula>COUNTIF($A645:$A1771,$A645)&gt;1</formula>
    </cfRule>
  </conditionalFormatting>
  <conditionalFormatting sqref="A660">
    <cfRule type="expression" dxfId="0" priority="1531592">
      <formula>COUNTIF($A660:$A1751,$A660)&gt;1</formula>
    </cfRule>
  </conditionalFormatting>
  <conditionalFormatting sqref="A661">
    <cfRule type="expression" dxfId="0" priority="1532196">
      <formula>COUNTIF($A661:$A1748,$A661)&gt;1</formula>
    </cfRule>
    <cfRule type="expression" dxfId="0" priority="1532197">
      <formula>COUNTIF($A$3:$A$10022,$A661)&gt;1</formula>
    </cfRule>
  </conditionalFormatting>
  <conditionalFormatting sqref="A662">
    <cfRule type="expression" dxfId="0" priority="1532198">
      <formula>COUNTIF($A662:$A1744,$A662)&gt;1</formula>
    </cfRule>
    <cfRule type="expression" dxfId="0" priority="1532199">
      <formula>COUNTIF($A$3:$A$10010,$A662)&gt;1</formula>
    </cfRule>
  </conditionalFormatting>
  <conditionalFormatting sqref="A663">
    <cfRule type="expression" dxfId="0" priority="1527137">
      <formula>COUNTIF($A663:$A1751,$A663)&gt;1</formula>
    </cfRule>
  </conditionalFormatting>
  <conditionalFormatting sqref="A669">
    <cfRule type="expression" dxfId="0" priority="1532200">
      <formula>COUNTIF($A669:$A1703,$A669)&gt;1</formula>
    </cfRule>
    <cfRule type="expression" dxfId="0" priority="1532201">
      <formula>COUNTIF($A$5:$A$10145,$A669)&gt;1</formula>
    </cfRule>
  </conditionalFormatting>
  <conditionalFormatting sqref="A674">
    <cfRule type="expression" dxfId="0" priority="1532202">
      <formula>COUNTIF($A674:$A1780,$A674)&gt;1</formula>
    </cfRule>
    <cfRule type="expression" dxfId="0" priority="1532203">
      <formula>COUNTIF($A$4:$A$10277,$A674)&gt;1</formula>
    </cfRule>
  </conditionalFormatting>
  <conditionalFormatting sqref="A688">
    <cfRule type="expression" dxfId="0" priority="1508813">
      <formula>COUNTIF($A688:$A1770,$A688)&gt;1</formula>
    </cfRule>
  </conditionalFormatting>
  <conditionalFormatting sqref="A709">
    <cfRule type="expression" dxfId="0" priority="1522132">
      <formula>COUNTIF($A709:$A1784,$A709)&gt;1</formula>
    </cfRule>
  </conditionalFormatting>
  <conditionalFormatting sqref="A711">
    <cfRule type="expression" dxfId="0" priority="1531612">
      <formula>COUNTIF($A711:$A1784,$A711)&gt;1</formula>
    </cfRule>
  </conditionalFormatting>
  <conditionalFormatting sqref="A719">
    <cfRule type="expression" dxfId="0" priority="1532208">
      <formula>COUNTIF($A719:$A1732,$A719)&gt;1</formula>
    </cfRule>
    <cfRule type="expression" dxfId="0" priority="1532209">
      <formula>COUNTIF($A$5:$A$10119,$A719)&gt;1</formula>
    </cfRule>
  </conditionalFormatting>
  <conditionalFormatting sqref="A722">
    <cfRule type="expression" dxfId="0" priority="1523071">
      <formula>COUNTIF($A722:$A1647,$A722)&gt;1</formula>
    </cfRule>
  </conditionalFormatting>
  <conditionalFormatting sqref="A723">
    <cfRule type="expression" dxfId="0" priority="1531616">
      <formula>COUNTIF($A723:$A1647,$A723)&gt;1</formula>
    </cfRule>
  </conditionalFormatting>
  <conditionalFormatting sqref="A726">
    <cfRule type="expression" dxfId="0" priority="1522143">
      <formula>COUNTIF($A726:$A1699,$A726)&gt;1</formula>
    </cfRule>
  </conditionalFormatting>
  <conditionalFormatting sqref="A727">
    <cfRule type="expression" dxfId="0" priority="1523072">
      <formula>COUNTIF($A727:$A1699,$A727)&gt;1</formula>
    </cfRule>
  </conditionalFormatting>
  <conditionalFormatting sqref="A728">
    <cfRule type="expression" dxfId="0" priority="1531620">
      <formula>COUNTIF($A728:$A1699,$A728)&gt;1</formula>
    </cfRule>
  </conditionalFormatting>
  <conditionalFormatting sqref="A729">
    <cfRule type="expression" dxfId="0" priority="1532211">
      <formula>COUNTIF($A729:$A1732,$A729)&gt;1</formula>
    </cfRule>
    <cfRule type="expression" dxfId="0" priority="1532212">
      <formula>COUNTIF($A$4:$A$10118,$A729)&gt;1</formula>
    </cfRule>
  </conditionalFormatting>
  <conditionalFormatting sqref="A730">
    <cfRule type="expression" dxfId="0" priority="1532213">
      <formula>COUNTIF($A730:$A1751,$A730)&gt;1</formula>
    </cfRule>
    <cfRule type="expression" dxfId="0" priority="1532214">
      <formula>COUNTIF($A$5:$A$10105,$A730)&gt;1</formula>
    </cfRule>
  </conditionalFormatting>
  <conditionalFormatting sqref="A735">
    <cfRule type="expression" dxfId="0" priority="1532215">
      <formula>COUNTIF($A735:$A1694,$A735)&gt;1</formula>
    </cfRule>
    <cfRule type="expression" dxfId="0" priority="1532216">
      <formula>COUNTIF($A$4:$A$10020,$A735)&gt;1</formula>
    </cfRule>
  </conditionalFormatting>
  <conditionalFormatting sqref="A736">
    <cfRule type="expression" dxfId="0" priority="1532217">
      <formula>COUNTIF($A$2:$A$9921,$A736)&gt;1</formula>
    </cfRule>
    <cfRule type="expression" dxfId="0" priority="1532218">
      <formula>COUNTIF($A736:$A1721,$A736)&gt;1</formula>
    </cfRule>
  </conditionalFormatting>
  <conditionalFormatting sqref="A743">
    <cfRule type="expression" dxfId="0" priority="1523082">
      <formula>COUNTIF($A743:$A1780,$A743)&gt;1</formula>
    </cfRule>
  </conditionalFormatting>
  <conditionalFormatting sqref="A744">
    <cfRule type="expression" dxfId="0" priority="1531623">
      <formula>COUNTIF($A744:$A1780,$A744)&gt;1</formula>
    </cfRule>
  </conditionalFormatting>
  <conditionalFormatting sqref="A747">
    <cfRule type="expression" dxfId="0" priority="1532222">
      <formula>COUNTIF($A747:$A1806,$A747)&gt;1</formula>
    </cfRule>
    <cfRule type="expression" dxfId="0" priority="1532223">
      <formula>COUNTIF($A$3:$A$10048,$A747)&gt;1</formula>
    </cfRule>
  </conditionalFormatting>
  <conditionalFormatting sqref="A748">
    <cfRule type="expression" dxfId="0" priority="1532224">
      <formula>COUNTIF($A748:$A1804,$A748)&gt;1</formula>
    </cfRule>
    <cfRule type="expression" dxfId="0" priority="1532225">
      <formula>COUNTIF($A$4:$A$10209,$A748)&gt;1</formula>
    </cfRule>
  </conditionalFormatting>
  <conditionalFormatting sqref="A749">
    <cfRule type="expression" dxfId="0" priority="1532226">
      <formula>COUNTIF($A749:$A1771,$A749)&gt;1</formula>
    </cfRule>
    <cfRule type="expression" dxfId="0" priority="1532227">
      <formula>COUNTIF($A$2:$A$9936,$A749)&gt;1</formula>
    </cfRule>
  </conditionalFormatting>
  <conditionalFormatting sqref="A760">
    <cfRule type="expression" dxfId="0" priority="1530812">
      <formula>COUNTIF($A760:$A1885,$A760)&gt;1</formula>
    </cfRule>
  </conditionalFormatting>
  <conditionalFormatting sqref="A761">
    <cfRule type="expression" dxfId="0" priority="1523865">
      <formula>COUNTIF($A761:$A1888,$A761)&gt;1</formula>
    </cfRule>
  </conditionalFormatting>
  <conditionalFormatting sqref="A784">
    <cfRule type="expression" dxfId="0" priority="1532240">
      <formula>COUNTIF($A$6:$A$9332,$A784)&gt;1</formula>
    </cfRule>
  </conditionalFormatting>
  <conditionalFormatting sqref="A788">
    <cfRule type="expression" dxfId="0" priority="1532241">
      <formula>COUNTIF($A$4:$A$10118,$A788)&gt;1</formula>
    </cfRule>
    <cfRule type="expression" dxfId="0" priority="1532242">
      <formula>COUNTIF($A788:$A1778,$A788)&gt;1</formula>
    </cfRule>
  </conditionalFormatting>
  <conditionalFormatting sqref="A807">
    <cfRule type="expression" dxfId="0" priority="1530642">
      <formula>COUNTIF($A$2:$A$9941,$A807)&gt;1</formula>
    </cfRule>
  </conditionalFormatting>
  <conditionalFormatting sqref="A830">
    <cfRule type="expression" dxfId="0" priority="1530818">
      <formula>COUNTIF($A830:$A1872,$A830)&gt;1</formula>
    </cfRule>
  </conditionalFormatting>
  <conditionalFormatting sqref="A836">
    <cfRule type="expression" dxfId="0" priority="1532245">
      <formula>COUNTIF($A$2:$A$9963,$A836)&gt;1</formula>
    </cfRule>
  </conditionalFormatting>
  <conditionalFormatting sqref="A840">
    <cfRule type="expression" dxfId="0" priority="1532248">
      <formula>COUNTIF($A$3:$A$10101,$A840)&gt;1</formula>
    </cfRule>
  </conditionalFormatting>
  <conditionalFormatting sqref="A841">
    <cfRule type="expression" dxfId="0" priority="1532249">
      <formula>COUNTIF($A$4:$A$10249,$A841)&gt;1</formula>
    </cfRule>
  </conditionalFormatting>
  <conditionalFormatting sqref="A843">
    <cfRule type="expression" dxfId="0" priority="1532250">
      <formula>COUNTIF($A$2:$A$10064,$A843)&gt;1</formula>
    </cfRule>
  </conditionalFormatting>
  <conditionalFormatting sqref="A844">
    <cfRule type="expression" dxfId="0" priority="1532251">
      <formula>COUNTIF($A$2:$A$9905,$A844)&gt;1</formula>
    </cfRule>
  </conditionalFormatting>
  <conditionalFormatting sqref="A856">
    <cfRule type="expression" dxfId="0" priority="1532254">
      <formula>COUNTIF($A856:$A1816,$A856)&gt;1</formula>
    </cfRule>
    <cfRule type="expression" dxfId="0" priority="1532255">
      <formula>COUNTIF($A$2:$A$9876,$A856)&gt;1</formula>
    </cfRule>
  </conditionalFormatting>
  <conditionalFormatting sqref="A857">
    <cfRule type="expression" dxfId="0" priority="1532256">
      <formula>COUNTIF($A857:$A1904,$A857)&gt;1</formula>
    </cfRule>
    <cfRule type="expression" dxfId="0" priority="1532257">
      <formula>COUNTIF($A$3:$A$9957,$A857)&gt;1</formula>
    </cfRule>
  </conditionalFormatting>
  <conditionalFormatting sqref="A858">
    <cfRule type="expression" dxfId="0" priority="1532258">
      <formula>COUNTIF($A858:$A1884,$A858)&gt;1</formula>
    </cfRule>
    <cfRule type="expression" dxfId="0" priority="1532259">
      <formula>COUNTIF($A$3:$A$9980,$A858)&gt;1</formula>
    </cfRule>
  </conditionalFormatting>
  <conditionalFormatting sqref="A882">
    <cfRule type="expression" dxfId="0" priority="1532263">
      <formula>COUNTIF($A$2:$A$9918,$A882)&gt;1</formula>
    </cfRule>
  </conditionalFormatting>
  <conditionalFormatting sqref="A890">
    <cfRule type="expression" dxfId="0" priority="1532267">
      <formula>COUNTIF($A$2:$A$9955,$A890)&gt;1</formula>
    </cfRule>
  </conditionalFormatting>
  <conditionalFormatting sqref="A891">
    <cfRule type="expression" dxfId="0" priority="1532268">
      <formula>COUNTIF($A$2:$A$10071,$A891)&gt;1</formula>
    </cfRule>
  </conditionalFormatting>
  <conditionalFormatting sqref="A894">
    <cfRule type="expression" dxfId="0" priority="1532269">
      <formula>COUNTIF($A$5:$A$10081,$A894)&gt;1</formula>
    </cfRule>
  </conditionalFormatting>
  <conditionalFormatting sqref="A956">
    <cfRule type="expression" dxfId="0" priority="1530405">
      <formula>COUNTIF($A$4:$A$10188,$A956)&gt;1</formula>
    </cfRule>
  </conditionalFormatting>
  <conditionalFormatting sqref="A957">
    <cfRule type="expression" dxfId="0" priority="1532275">
      <formula>COUNTIF($A$4:$A$10194,$A957)&gt;1</formula>
    </cfRule>
  </conditionalFormatting>
  <conditionalFormatting sqref="A961">
    <cfRule type="expression" dxfId="0" priority="1532276">
      <formula>COUNTIF($A$4:$A$10284,$A961)&gt;1</formula>
    </cfRule>
  </conditionalFormatting>
  <conditionalFormatting sqref="A968">
    <cfRule type="expression" dxfId="0" priority="1532277">
      <formula>COUNTIF($A$5:$A$10120,$A968)&gt;1</formula>
    </cfRule>
  </conditionalFormatting>
  <conditionalFormatting sqref="A986">
    <cfRule type="expression" dxfId="0" priority="1531013">
      <formula>COUNTIF($A$4:$A$10199,$A986)&gt;1</formula>
    </cfRule>
  </conditionalFormatting>
  <conditionalFormatting sqref="A987">
    <cfRule type="expression" dxfId="0" priority="1532279">
      <formula>COUNTIF($A$4:$A$10150,$A987)&gt;1</formula>
    </cfRule>
  </conditionalFormatting>
  <conditionalFormatting sqref="A989">
    <cfRule type="expression" dxfId="0" priority="1532280">
      <formula>COUNTIF($A$2:$A$9939,$A989)&gt;1</formula>
    </cfRule>
  </conditionalFormatting>
  <conditionalFormatting sqref="A990">
    <cfRule type="expression" dxfId="0" priority="1532281">
      <formula>COUNTIF($A$2:$A$9991,$A990)&gt;1</formula>
    </cfRule>
  </conditionalFormatting>
  <conditionalFormatting sqref="A993">
    <cfRule type="expression" dxfId="0" priority="1531412">
      <formula>COUNTIF($A$2:$A$9940,$A993)&gt;1</formula>
    </cfRule>
  </conditionalFormatting>
  <conditionalFormatting sqref="A997">
    <cfRule type="expression" dxfId="0" priority="1531413">
      <formula>COUNTIF($A$2:$A$9992,$A997)&gt;1</formula>
    </cfRule>
  </conditionalFormatting>
  <conditionalFormatting sqref="A998">
    <cfRule type="expression" dxfId="0" priority="1532285">
      <formula>COUNTIF($A$3:$A$9994,$A998)&gt;1</formula>
    </cfRule>
  </conditionalFormatting>
  <conditionalFormatting sqref="A1001">
    <cfRule type="expression" dxfId="0" priority="1530246">
      <formula>COUNTIF($A$4:$A$10175,$A1001)&gt;1</formula>
    </cfRule>
  </conditionalFormatting>
  <conditionalFormatting sqref="A1007">
    <cfRule type="expression" dxfId="0" priority="1532286">
      <formula>COUNTIF($A$4:$A$10161,$A1007)&gt;1</formula>
    </cfRule>
  </conditionalFormatting>
  <conditionalFormatting sqref="A1011">
    <cfRule type="expression" dxfId="0" priority="1532288">
      <formula>COUNTIF($A$4:$A$10055,$A1011)&gt;1</formula>
    </cfRule>
  </conditionalFormatting>
  <conditionalFormatting sqref="A1017">
    <cfRule type="expression" dxfId="0" priority="1532289">
      <formula>COUNTIF($A$4:$A$10141,$A1017)&gt;1</formula>
    </cfRule>
  </conditionalFormatting>
  <conditionalFormatting sqref="A1021">
    <cfRule type="expression" dxfId="0" priority="700560">
      <formula>COUNTIF($A1021:$A2006,$A1021)&gt;1</formula>
    </cfRule>
  </conditionalFormatting>
  <conditionalFormatting sqref="A1022">
    <cfRule type="expression" dxfId="0" priority="906074">
      <formula>COUNTIF($A1022:$A2006,$A1022)&gt;1</formula>
    </cfRule>
  </conditionalFormatting>
  <conditionalFormatting sqref="A1029">
    <cfRule type="expression" dxfId="0" priority="1532293">
      <formula>COUNTIF($A$4:$A$10239,$A1029)&gt;1</formula>
    </cfRule>
  </conditionalFormatting>
  <conditionalFormatting sqref="A7:A8">
    <cfRule type="expression" dxfId="0" priority="1531849">
      <formula>COUNTIF($A$4:$A$10042,$A7)&gt;1</formula>
    </cfRule>
  </conditionalFormatting>
  <conditionalFormatting sqref="A19:A20">
    <cfRule type="expression" dxfId="0" priority="1531851">
      <formula>COUNTIF($A$2:$A$9982,$A19)&gt;1</formula>
    </cfRule>
  </conditionalFormatting>
  <conditionalFormatting sqref="A85:A86">
    <cfRule type="expression" dxfId="0" priority="1531867">
      <formula>COUNTIF($A$3:$A$10080,$A85)&gt;1</formula>
    </cfRule>
  </conditionalFormatting>
  <conditionalFormatting sqref="A119:A123">
    <cfRule type="expression" dxfId="0" priority="1531886">
      <formula>COUNTIF($A$4:$A$10075,$A119)&gt;1</formula>
    </cfRule>
  </conditionalFormatting>
  <conditionalFormatting sqref="A125:A126">
    <cfRule type="expression" dxfId="0" priority="1530596">
      <formula>COUNTIF($A$4:$A$10064,$A125)&gt;1</formula>
    </cfRule>
  </conditionalFormatting>
  <conditionalFormatting sqref="A163:A164">
    <cfRule type="expression" dxfId="0" priority="1531903">
      <formula>COUNTIF($A$4:$A$10226,$A163)&gt;1</formula>
    </cfRule>
  </conditionalFormatting>
  <conditionalFormatting sqref="A175:A176">
    <cfRule type="expression" dxfId="0" priority="1531904">
      <formula>COUNTIF($A$4:$A$10229,$A175)&gt;1</formula>
    </cfRule>
  </conditionalFormatting>
  <conditionalFormatting sqref="A187:A188">
    <cfRule type="expression" dxfId="0" priority="1531907">
      <formula>COUNTIF($A$4:$A$10231,$A187)&gt;1</formula>
    </cfRule>
  </conditionalFormatting>
  <conditionalFormatting sqref="A193:A194">
    <cfRule type="expression" dxfId="0" priority="1531909">
      <formula>COUNTIF($A$5:$A$10144,$A193)&gt;1</formula>
    </cfRule>
  </conditionalFormatting>
  <conditionalFormatting sqref="A211:A212">
    <cfRule type="expression" dxfId="0" priority="1531914">
      <formula>COUNTIF($A$5:$A$10055,$A211)&gt;1</formula>
    </cfRule>
  </conditionalFormatting>
  <conditionalFormatting sqref="A219:A220">
    <cfRule type="expression" dxfId="0" priority="1531915">
      <formula>COUNTIF($A$5:$A$10113,$A219)&gt;1</formula>
    </cfRule>
  </conditionalFormatting>
  <conditionalFormatting sqref="A235:A236">
    <cfRule type="expression" dxfId="0" priority="1531917">
      <formula>COUNTIF($A$4:$A$10220,$A235)&gt;1</formula>
    </cfRule>
  </conditionalFormatting>
  <conditionalFormatting sqref="A238:A240">
    <cfRule type="expression" dxfId="0" priority="1531920">
      <formula>COUNTIF($A$4:$A$10124,$A238)&gt;1</formula>
    </cfRule>
  </conditionalFormatting>
  <conditionalFormatting sqref="A244:A245">
    <cfRule type="expression" dxfId="0" priority="1531924">
      <formula>COUNTIF($A$4:$A$10149,$A244)&gt;1</formula>
    </cfRule>
    <cfRule type="expression" dxfId="0" priority="1531925">
      <formula>COUNTIF($A244:$A1357,$A244)&gt;1</formula>
    </cfRule>
  </conditionalFormatting>
  <conditionalFormatting sqref="A246:A247">
    <cfRule type="expression" dxfId="0" priority="1531366">
      <formula>COUNTIF($A$4:$A$10063,$A246)&gt;1</formula>
    </cfRule>
  </conditionalFormatting>
  <conditionalFormatting sqref="A252:A253">
    <cfRule type="expression" dxfId="0" priority="1531928">
      <formula>COUNTIF($A$4:$A$10088,$A252)&gt;1</formula>
    </cfRule>
  </conditionalFormatting>
  <conditionalFormatting sqref="A264:A266">
    <cfRule type="expression" dxfId="0" priority="1531943">
      <formula>COUNTIF($A$2:$A$10091,$A264)&gt;1</formula>
    </cfRule>
    <cfRule type="expression" dxfId="0" priority="1531944">
      <formula>COUNTIF($A264:$A1332,$A264)&gt;1</formula>
    </cfRule>
  </conditionalFormatting>
  <conditionalFormatting sqref="A274:A276">
    <cfRule type="expression" dxfId="0" priority="1530311">
      <formula>COUNTIF($A274:$A1492,$A274)&gt;1</formula>
    </cfRule>
  </conditionalFormatting>
  <conditionalFormatting sqref="A281:A282">
    <cfRule type="expression" dxfId="0" priority="1524196">
      <formula>COUNTIF($A281:$A1322,$A281)&gt;1</formula>
    </cfRule>
  </conditionalFormatting>
  <conditionalFormatting sqref="A281:A283">
    <cfRule type="expression" dxfId="0" priority="1531959">
      <formula>COUNTIF($A$4:$A$10049,$A281)&gt;1</formula>
    </cfRule>
  </conditionalFormatting>
  <conditionalFormatting sqref="A284:A287">
    <cfRule type="expression" dxfId="0" priority="1531960">
      <formula>COUNTIF($A$2:$A$10073,$A284)&gt;1</formula>
    </cfRule>
  </conditionalFormatting>
  <conditionalFormatting sqref="A288:A289">
    <cfRule type="expression" dxfId="0" priority="1531961">
      <formula>COUNTIF($A$4:$A$10136,$A288)&gt;1</formula>
    </cfRule>
  </conditionalFormatting>
  <conditionalFormatting sqref="A306:A307">
    <cfRule type="expression" dxfId="0" priority="1523156">
      <formula>COUNTIF($A306:$A1509,$A306)&gt;1</formula>
    </cfRule>
  </conditionalFormatting>
  <conditionalFormatting sqref="A309:A310">
    <cfRule type="expression" dxfId="0" priority="1531971">
      <formula>COUNTIF($A$4:$A$10193,$A309)&gt;1</formula>
    </cfRule>
    <cfRule type="expression" dxfId="0" priority="1531972">
      <formula>COUNTIF($A309:$A1479,$A309)&gt;1</formula>
    </cfRule>
  </conditionalFormatting>
  <conditionalFormatting sqref="A311:A312">
    <cfRule type="expression" dxfId="0" priority="1531838">
      <formula>COUNTIF($A311:$A1510,$A311)&gt;1</formula>
    </cfRule>
  </conditionalFormatting>
  <conditionalFormatting sqref="A319:A320">
    <cfRule type="expression" dxfId="0" priority="1531091">
      <formula>COUNTIF($A$4:$A$10050,$A319)&gt;1</formula>
    </cfRule>
  </conditionalFormatting>
  <conditionalFormatting sqref="A323:A325">
    <cfRule type="expression" dxfId="0" priority="1531989">
      <formula>COUNTIF($A323:$A1419,$A323)&gt;1</formula>
    </cfRule>
    <cfRule type="expression" dxfId="0" priority="1531990">
      <formula>COUNTIF($A$3:$A$10050,$A323)&gt;1</formula>
    </cfRule>
  </conditionalFormatting>
  <conditionalFormatting sqref="A332:A333">
    <cfRule type="expression" dxfId="0" priority="1507084">
      <formula>COUNTIF($A332:$A1515,$A332)&gt;1</formula>
    </cfRule>
  </conditionalFormatting>
  <conditionalFormatting sqref="A404:A410">
    <cfRule type="expression" dxfId="0" priority="1530029">
      <formula>COUNTIF($A404:$A1605,$A404)&gt;1</formula>
    </cfRule>
  </conditionalFormatting>
  <conditionalFormatting sqref="A411:A412">
    <cfRule type="expression" dxfId="0" priority="1531845">
      <formula>COUNTIF($A411:$A1603,$A411)&gt;1</formula>
    </cfRule>
  </conditionalFormatting>
  <conditionalFormatting sqref="A414:A418">
    <cfRule type="expression" dxfId="0" priority="1530976">
      <formula>COUNTIF($A414:$A1604,$A414)&gt;1</formula>
    </cfRule>
  </conditionalFormatting>
  <conditionalFormatting sqref="A419:A420">
    <cfRule type="expression" dxfId="0" priority="1531846">
      <formula>COUNTIF($A419:$A1608,$A419)&gt;1</formula>
    </cfRule>
  </conditionalFormatting>
  <conditionalFormatting sqref="A442:A443">
    <cfRule type="expression" dxfId="0" priority="1532055">
      <formula>COUNTIF($A442:$A1519,$A442)&gt;1</formula>
    </cfRule>
    <cfRule type="expression" dxfId="0" priority="1532056">
      <formula>COUNTIF($A$4:$A$10181,$A442)&gt;1</formula>
    </cfRule>
  </conditionalFormatting>
  <conditionalFormatting sqref="A468:A469">
    <cfRule type="expression" dxfId="0" priority="1523526">
      <formula>COUNTIF($A468:$A1482,$A468)&gt;1</formula>
    </cfRule>
  </conditionalFormatting>
  <conditionalFormatting sqref="A474:A477">
    <cfRule type="expression" dxfId="0" priority="1532063">
      <formula>COUNTIF($A474:$A1428,$A474)&gt;1</formula>
    </cfRule>
    <cfRule type="expression" dxfId="0" priority="1532064">
      <formula>COUNTIF($A$2:$A$9886,$A474)&gt;1</formula>
    </cfRule>
  </conditionalFormatting>
  <conditionalFormatting sqref="A478:A482">
    <cfRule type="expression" dxfId="0" priority="1532065">
      <formula>COUNTIF($A$4:$A$10146,$A478)&gt;1</formula>
    </cfRule>
  </conditionalFormatting>
  <conditionalFormatting sqref="A480:A482">
    <cfRule type="expression" dxfId="0" priority="1531829">
      <formula>COUNTIF($A480:$A1631,$A480)&gt;1</formula>
    </cfRule>
  </conditionalFormatting>
  <conditionalFormatting sqref="A512:A513">
    <cfRule type="expression" dxfId="0" priority="1532109">
      <formula>COUNTIF($A512:$A1601,$A512)&gt;1</formula>
    </cfRule>
    <cfRule type="expression" dxfId="0" priority="1532110">
      <formula>COUNTIF($A$4:$A$10083,$A512)&gt;1</formula>
    </cfRule>
  </conditionalFormatting>
  <conditionalFormatting sqref="A520:A522">
    <cfRule type="expression" dxfId="0" priority="1532113">
      <formula>COUNTIF($A$4:$A$10092,$A520)&gt;1</formula>
    </cfRule>
  </conditionalFormatting>
  <conditionalFormatting sqref="A525:A526">
    <cfRule type="expression" dxfId="0" priority="1532116">
      <formula>COUNTIF($A525:$A1689,$A525)&gt;1</formula>
    </cfRule>
    <cfRule type="expression" dxfId="0" priority="1532117">
      <formula>COUNTIF($A$4:$A$10195,$A525)&gt;1</formula>
    </cfRule>
  </conditionalFormatting>
  <conditionalFormatting sqref="A532:A534">
    <cfRule type="expression" dxfId="0" priority="1532122">
      <formula>COUNTIF($A532:$A1624,$A532)&gt;1</formula>
    </cfRule>
    <cfRule type="expression" dxfId="0" priority="1532123">
      <formula>COUNTIF($A$4:$A$10119,$A532)&gt;1</formula>
    </cfRule>
  </conditionalFormatting>
  <conditionalFormatting sqref="A536:A538">
    <cfRule type="expression" dxfId="0" priority="1531830">
      <formula>COUNTIF($A536:$A1681,$A536)&gt;1</formula>
    </cfRule>
  </conditionalFormatting>
  <conditionalFormatting sqref="A547:A548">
    <cfRule type="expression" dxfId="0" priority="1531028">
      <formula>COUNTIF($A$4:$A$10255,$A547)&gt;1</formula>
    </cfRule>
  </conditionalFormatting>
  <conditionalFormatting sqref="A557:A558">
    <cfRule type="expression" dxfId="0" priority="1531022">
      <formula>COUNTIF($A$4:$A$10174,$A557)&gt;1</formula>
    </cfRule>
  </conditionalFormatting>
  <conditionalFormatting sqref="A559:A562">
    <cfRule type="expression" dxfId="0" priority="1532126">
      <formula>COUNTIF($A$4:$A$10117,$A559)&gt;1</formula>
    </cfRule>
  </conditionalFormatting>
  <conditionalFormatting sqref="A585:A586">
    <cfRule type="expression" dxfId="0" priority="1527381">
      <formula>COUNTIF($A585:$A1717,$A585)&gt;1</formula>
    </cfRule>
  </conditionalFormatting>
  <conditionalFormatting sqref="A593:A594">
    <cfRule type="expression" dxfId="0" priority="1531401">
      <formula>COUNTIF($A$5:$A$10082,$A593)&gt;1</formula>
    </cfRule>
  </conditionalFormatting>
  <conditionalFormatting sqref="A597:A599">
    <cfRule type="expression" dxfId="0" priority="1532154">
      <formula>COUNTIF($A597:$A1657,$A597)&gt;1</formula>
    </cfRule>
    <cfRule type="expression" dxfId="0" priority="1532155">
      <formula>COUNTIF($A$4:$A$10083,$A597)&gt;1</formula>
    </cfRule>
  </conditionalFormatting>
  <conditionalFormatting sqref="A621:A622">
    <cfRule type="expression" dxfId="0" priority="1532176">
      <formula>COUNTIF($A$4:$A$10100,$A621)&gt;1</formula>
    </cfRule>
  </conditionalFormatting>
  <conditionalFormatting sqref="A627:A631">
    <cfRule type="expression" dxfId="0" priority="1531580">
      <formula>COUNTIF($A627:$A1765,$A627)&gt;1</formula>
    </cfRule>
  </conditionalFormatting>
  <conditionalFormatting sqref="A627:A632">
    <cfRule type="expression" dxfId="0" priority="1532183">
      <formula>COUNTIF($A$5:$A$10346,$A627)&gt;1</formula>
    </cfRule>
  </conditionalFormatting>
  <conditionalFormatting sqref="A643:A644">
    <cfRule type="expression" dxfId="0" priority="1532192">
      <formula>COUNTIF($A643:$A1715,$A643)&gt;1</formula>
    </cfRule>
    <cfRule type="expression" dxfId="0" priority="1532193">
      <formula>COUNTIF($A$2:$A$10006,$A643)&gt;1</formula>
    </cfRule>
  </conditionalFormatting>
  <conditionalFormatting sqref="A647:A649">
    <cfRule type="expression" dxfId="0" priority="1523052">
      <formula>COUNTIF($A647:$A1745,$A647)&gt;1</formula>
    </cfRule>
  </conditionalFormatting>
  <conditionalFormatting sqref="A651:A656">
    <cfRule type="expression" dxfId="0" priority="1522036">
      <formula>COUNTIF($A651:$A1747,$A651)&gt;1</formula>
    </cfRule>
  </conditionalFormatting>
  <conditionalFormatting sqref="A690:A691">
    <cfRule type="expression" dxfId="0" priority="1531601">
      <formula>COUNTIF($A690:$A1793,$A690)&gt;1</formula>
    </cfRule>
  </conditionalFormatting>
  <conditionalFormatting sqref="A701:A702">
    <cfRule type="expression" dxfId="0" priority="1509495">
      <formula>COUNTIF($A701:$A1781,$A701)&gt;1</formula>
    </cfRule>
  </conditionalFormatting>
  <conditionalFormatting sqref="A717:A718">
    <cfRule type="expression" dxfId="0" priority="1522979">
      <formula>COUNTIF($A717:$A1786,$A717)&gt;1</formula>
    </cfRule>
  </conditionalFormatting>
  <conditionalFormatting sqref="A720:A721">
    <cfRule type="expression" dxfId="0" priority="1522139">
      <formula>COUNTIF($A720:$A1646,$A720)&gt;1</formula>
    </cfRule>
  </conditionalFormatting>
  <conditionalFormatting sqref="A720:A723">
    <cfRule type="expression" dxfId="0" priority="1532210">
      <formula>COUNTIF($A$5:$A$9994,$A720)&gt;1</formula>
    </cfRule>
  </conditionalFormatting>
  <conditionalFormatting sqref="A724:A728">
    <cfRule type="expression" dxfId="0" priority="1531017">
      <formula>COUNTIF($A$4:$A$10076,$A724)&gt;1</formula>
    </cfRule>
  </conditionalFormatting>
  <conditionalFormatting sqref="A724:A725">
    <cfRule type="expression" dxfId="0" priority="1531617">
      <formula>COUNTIF($A724:$A1699,$A724)&gt;1</formula>
    </cfRule>
  </conditionalFormatting>
  <conditionalFormatting sqref="A737:A741">
    <cfRule type="expression" dxfId="0" priority="1532219">
      <formula>COUNTIF($A737:$A1759,$A737)&gt;1</formula>
    </cfRule>
    <cfRule type="expression" dxfId="0" priority="1532220">
      <formula>COUNTIF($A$4:$A$10100,$A737)&gt;1</formula>
    </cfRule>
  </conditionalFormatting>
  <conditionalFormatting sqref="A743:A744">
    <cfRule type="expression" dxfId="0" priority="1532221">
      <formula>COUNTIF($A$5:$A$10115,$A743)&gt;1</formula>
    </cfRule>
  </conditionalFormatting>
  <conditionalFormatting sqref="A752:A755">
    <cfRule type="expression" dxfId="0" priority="1532228">
      <formula>COUNTIF($A$5:$A$9413,$A752)&gt;1</formula>
    </cfRule>
    <cfRule type="expression" dxfId="0" priority="1532229">
      <formula>COUNTIF($A752:$A1673,$A752)&gt;1</formula>
    </cfRule>
  </conditionalFormatting>
  <conditionalFormatting sqref="A762:A763">
    <cfRule type="expression" dxfId="0" priority="1532232">
      <formula>COUNTIF($A762:$A1837,$A762)&gt;1</formula>
    </cfRule>
    <cfRule type="expression" dxfId="0" priority="1532233">
      <formula>COUNTIF($A$4:$A$10114,$A762)&gt;1</formula>
    </cfRule>
  </conditionalFormatting>
  <conditionalFormatting sqref="A804:A806">
    <cfRule type="expression" dxfId="0" priority="1532243">
      <formula>COUNTIF($A804:$A1835,$A804)&gt;1</formula>
    </cfRule>
    <cfRule type="expression" dxfId="0" priority="1532244">
      <formula>COUNTIF($A$4:$A$10227,$A804)&gt;1</formula>
    </cfRule>
  </conditionalFormatting>
  <conditionalFormatting sqref="A845:A846">
    <cfRule type="expression" dxfId="0" priority="1530987">
      <formula>COUNTIF($A$4:$A$10184,$A845)&gt;1</formula>
    </cfRule>
  </conditionalFormatting>
  <conditionalFormatting sqref="A848:A850">
    <cfRule type="expression" dxfId="0" priority="1532252">
      <formula>COUNTIF($A$4:$A$10178,$A848)&gt;1</formula>
    </cfRule>
  </conditionalFormatting>
  <conditionalFormatting sqref="A852:A853">
    <cfRule type="expression" dxfId="0" priority="1532253">
      <formula>COUNTIF($A$3:$A$10091,$A852)&gt;1</formula>
    </cfRule>
  </conditionalFormatting>
  <conditionalFormatting sqref="A864:A866">
    <cfRule type="expression" dxfId="0" priority="1532260">
      <formula>COUNTIF($A$4:$A$10166,$A864)&gt;1</formula>
    </cfRule>
    <cfRule type="expression" dxfId="0" priority="1532261">
      <formula>COUNTIF($A864:$A1872,$A864)&gt;1</formula>
    </cfRule>
  </conditionalFormatting>
  <conditionalFormatting sqref="A869:A870">
    <cfRule type="expression" dxfId="0" priority="1532262">
      <formula>COUNTIF($A$4:$A$10290,$A869)&gt;1</formula>
    </cfRule>
  </conditionalFormatting>
  <conditionalFormatting sqref="A883:A886">
    <cfRule type="expression" dxfId="0" priority="1532264">
      <formula>COUNTIF($A$2:$A$9930,$A883)&gt;1</formula>
    </cfRule>
  </conditionalFormatting>
  <conditionalFormatting sqref="A896:A897">
    <cfRule type="expression" dxfId="0" priority="1532270">
      <formula>COUNTIF($A$4:$A$10108,$A896)&gt;1</formula>
    </cfRule>
  </conditionalFormatting>
  <conditionalFormatting sqref="A904:A906">
    <cfRule type="expression" dxfId="0" priority="1532271">
      <formula>COUNTIF($A$3:$A$10011,$A904)&gt;1</formula>
    </cfRule>
  </conditionalFormatting>
  <conditionalFormatting sqref="A909:A917">
    <cfRule type="expression" dxfId="0" priority="1532272">
      <formula>COUNTIF($A$2:$A$10030,$A909)&gt;1</formula>
    </cfRule>
  </conditionalFormatting>
  <conditionalFormatting sqref="A918:A927">
    <cfRule type="expression" dxfId="0" priority="1532273">
      <formula>COUNTIF($A$2:$A$10010,$A918)&gt;1</formula>
    </cfRule>
  </conditionalFormatting>
  <conditionalFormatting sqref="A952:A954">
    <cfRule type="expression" dxfId="0" priority="1532274">
      <formula>COUNTIF($A$4:$A$10102,$A952)&gt;1</formula>
    </cfRule>
  </conditionalFormatting>
  <conditionalFormatting sqref="A959:A960">
    <cfRule type="expression" dxfId="0" priority="1529945">
      <formula>COUNTIF($A$4:$A$10153,$A959)&gt;1</formula>
    </cfRule>
  </conditionalFormatting>
  <conditionalFormatting sqref="A980:A982">
    <cfRule type="expression" dxfId="0" priority="1532278">
      <formula>COUNTIF($A$5:$A$10074,$A980)&gt;1</formula>
    </cfRule>
  </conditionalFormatting>
  <conditionalFormatting sqref="A1009:A1010">
    <cfRule type="expression" dxfId="0" priority="1532287">
      <formula>COUNTIF($A$2:$A$9890,$A1009)&gt;1</formula>
    </cfRule>
  </conditionalFormatting>
  <conditionalFormatting sqref="A1018:A1019">
    <cfRule type="expression" dxfId="0" priority="1532290">
      <formula>COUNTIF($A$5:$A$10108,$A1018)&gt;1</formula>
    </cfRule>
  </conditionalFormatting>
  <conditionalFormatting sqref="A1023:A1025">
    <cfRule type="expression" dxfId="0" priority="1532291">
      <formula>COUNTIF($A1023:$A1580,$A1023)&gt;1</formula>
    </cfRule>
    <cfRule type="expression" dxfId="0" priority="1532292">
      <formula>COUNTIF($A$9:$A$9561,$A1023)&gt;1</formula>
    </cfRule>
  </conditionalFormatting>
  <conditionalFormatting sqref="E97:E98">
    <cfRule type="expression" dxfId="1" priority="125">
      <formula>$E97&gt;$B97</formula>
    </cfRule>
  </conditionalFormatting>
  <conditionalFormatting sqref="E135:E186">
    <cfRule type="expression" dxfId="1" priority="15">
      <formula>$E135&gt;$B135</formula>
    </cfRule>
  </conditionalFormatting>
  <conditionalFormatting sqref="E238:E262">
    <cfRule type="expression" dxfId="1" priority="20">
      <formula>$E238&gt;$B238</formula>
    </cfRule>
  </conditionalFormatting>
  <conditionalFormatting sqref="E313:E314">
    <cfRule type="expression" dxfId="1" priority="360">
      <formula>$E313&gt;$B313</formula>
    </cfRule>
  </conditionalFormatting>
  <conditionalFormatting sqref="E316:E328">
    <cfRule type="expression" dxfId="1" priority="17">
      <formula>$E316&gt;$B316</formula>
    </cfRule>
  </conditionalFormatting>
  <conditionalFormatting sqref="E330:E358">
    <cfRule type="expression" dxfId="1" priority="1">
      <formula>$E330&gt;$B330</formula>
    </cfRule>
  </conditionalFormatting>
  <conditionalFormatting sqref="E359:E360">
    <cfRule type="expression" dxfId="1" priority="399">
      <formula>$E359&gt;#REF!</formula>
    </cfRule>
  </conditionalFormatting>
  <conditionalFormatting sqref="E377:E379">
    <cfRule type="expression" dxfId="1" priority="1177">
      <formula>$E377&gt;$B377</formula>
    </cfRule>
  </conditionalFormatting>
  <conditionalFormatting sqref="E458:E522">
    <cfRule type="expression" dxfId="1" priority="4">
      <formula>$E458&gt;$B458</formula>
    </cfRule>
  </conditionalFormatting>
  <conditionalFormatting sqref="E563:E582">
    <cfRule type="expression" dxfId="1" priority="28">
      <formula>$E563&gt;$B563</formula>
    </cfRule>
  </conditionalFormatting>
  <conditionalFormatting sqref="E661:E662">
    <cfRule type="expression" dxfId="1" priority="243">
      <formula>$E661&gt;$B661</formula>
    </cfRule>
  </conditionalFormatting>
  <conditionalFormatting sqref="E962:E989">
    <cfRule type="expression" dxfId="1" priority="134">
      <formula>$E962&gt;$B962</formula>
    </cfRule>
  </conditionalFormatting>
  <conditionalFormatting sqref="E991:E996">
    <cfRule type="expression" dxfId="1" priority="292">
      <formula>$E991&gt;$B991</formula>
    </cfRule>
  </conditionalFormatting>
  <conditionalFormatting sqref="E1007:E1022">
    <cfRule type="expression" dxfId="1" priority="33">
      <formula>$E1007&gt;$B1007</formula>
    </cfRule>
  </conditionalFormatting>
  <conditionalFormatting sqref="E1026:E10249">
    <cfRule type="expression" dxfId="1" priority="593">
      <formula>$E1026&gt;$B1026</formula>
    </cfRule>
  </conditionalFormatting>
  <conditionalFormatting sqref="A2 A9:A13 D11 A24:A33 A35 A37 A40:A47 A50:A60 A62:A73 A75:A76 A78:A84 A90:A94 A127:A128 A140 A142:A143 A145:A146 A148:A149 A155 A158:A159 A166:A174 A177 A180:A182 A196:A199 A201 A204 A206:A209 A213:A218 A221:A224 A232:A234 A242 A248:A250 A254:A255 A258 A290 A293:A299 A301:A304 A331:A347 A350 A354:A358 A361:A368 A382:A385 A388 A397 A399:A402 A430:A432 A445:A448 A452:A454 A458:A462 A489 A506 A508 A510 A515:A519 A524 A535:A546 A549:A551 A553:A556 A581 A585:A586 A646:A657 A667:A668 A670:A673 A675:A689 A692:A712 A717:A718 A731:A734 A742 A745:A746 A750:A751 A756:A759 A769:A782 A789:A803 A808:A835 A851 A854:A855 A859:A863 A867:A868 A880:A881 A898:A903 A907:A908 A928:A942 A951 A958 A962:A964 A974:A978 A984:A985 A988 A992 A995 A1003:A1004 A1008 A1012:A1013 A1015:A1016 A1020:A1022 A1026:A1028 A1030:A10191">
    <cfRule type="expression" dxfId="0" priority="1531117">
      <formula>COUNTIF($A$4:$A$10191,$A2)&gt;1</formula>
    </cfRule>
  </conditionalFormatting>
  <conditionalFormatting sqref="E2:E87 E102:E132 E190:E236 E373:E375 E444:E454 E456 E524:E558 E621:E625 E627:E657 E667:E751 E756:E806 E808:E835 E837:E870 E878:E891 E998:E1005 E279:E304 E381:E441 E591:E617 E893:E960">
    <cfRule type="expression" dxfId="1" priority="132">
      <formula>$E2&gt;$B2</formula>
    </cfRule>
  </conditionalFormatting>
  <conditionalFormatting sqref="A4:A6 A970">
    <cfRule type="expression" dxfId="0" priority="1529955">
      <formula>COUNTIF($A$4:$A$10164,$A4)&gt;1</formula>
    </cfRule>
  </conditionalFormatting>
  <conditionalFormatting sqref="A14 A16:A18">
    <cfRule type="expression" dxfId="0" priority="1531362">
      <formula>COUNTIF($A$4:$A$10133,$A14)&gt;1</formula>
    </cfRule>
  </conditionalFormatting>
  <conditionalFormatting sqref="A21:A22 A190 A613">
    <cfRule type="expression" dxfId="0" priority="1524160">
      <formula>COUNTIF($A$4:$A$10165,$A21)&gt;1</formula>
    </cfRule>
  </conditionalFormatting>
  <conditionalFormatting sqref="A23 A61">
    <cfRule type="expression" dxfId="0" priority="1531852">
      <formula>COUNTIF($A$4:$A$10126,$A23)&gt;1</formula>
    </cfRule>
  </conditionalFormatting>
  <conditionalFormatting sqref="A38:A39 A967 A969 A971:A973">
    <cfRule type="expression" dxfId="0" priority="1531856">
      <formula>COUNTIF($A$4:$A$10183,$A38)&gt;1</formula>
    </cfRule>
  </conditionalFormatting>
  <conditionalFormatting sqref="A49 A589 A600:A602 A604:A608 A611:A612">
    <cfRule type="expression" dxfId="0" priority="1531860">
      <formula>COUNTIF($A$4:$A$10158,$A49)&gt;1</formula>
    </cfRule>
  </conditionalFormatting>
  <conditionalFormatting sqref="E90:E95 E584:E589">
    <cfRule type="expression" dxfId="1" priority="200">
      <formula>$E90&gt;$B90</formula>
    </cfRule>
  </conditionalFormatting>
  <conditionalFormatting sqref="A98 A1005">
    <cfRule type="expression" dxfId="0" priority="1531872">
      <formula>COUNTIF($A$3:$A$10004,$A98)&gt;1</formula>
    </cfRule>
  </conditionalFormatting>
  <conditionalFormatting sqref="A99 A101 A147 A226 A228:A231 A528:A529 A531">
    <cfRule type="expression" dxfId="0" priority="1531874">
      <formula>COUNTIF($A$4:$A$10148,$A99)&gt;1</formula>
    </cfRule>
  </conditionalFormatting>
  <conditionalFormatting sqref="A102:A103 A105:A106">
    <cfRule type="expression" dxfId="0" priority="1529484">
      <formula>COUNTIF($A$4:$A$10201,$A102)&gt;1</formula>
    </cfRule>
  </conditionalFormatting>
  <conditionalFormatting sqref="A107:A115 A945:A950">
    <cfRule type="expression" dxfId="0" priority="1531381">
      <formula>COUNTIF($A$4:$A$10250,$A107)&gt;1</formula>
    </cfRule>
  </conditionalFormatting>
  <conditionalFormatting sqref="A116 A202">
    <cfRule type="expression" dxfId="0" priority="1531883">
      <formula>COUNTIF($A$3:$A$10065,$A116)&gt;1</formula>
    </cfRule>
  </conditionalFormatting>
  <conditionalFormatting sqref="A124 A837">
    <cfRule type="expression" dxfId="0" priority="1531887">
      <formula>COUNTIF($A$4:$A$10072,$A124)&gt;1</formula>
    </cfRule>
  </conditionalFormatting>
  <conditionalFormatting sqref="A129 A131">
    <cfRule type="expression" dxfId="0" priority="1531889">
      <formula>COUNTIF($A$2:$A$9985,$A129)&gt;1</formula>
    </cfRule>
  </conditionalFormatting>
  <conditionalFormatting sqref="A144 A389:A395">
    <cfRule type="expression" dxfId="0" priority="1530343">
      <formula>COUNTIF($A$4:$A$10192,$A144)&gt;1</formula>
    </cfRule>
  </conditionalFormatting>
  <conditionalFormatting sqref="A150:A151 A157">
    <cfRule type="expression" dxfId="0" priority="1530997">
      <formula>COUNTIF($A$2:$A$10028,$A150)&gt;1</formula>
    </cfRule>
  </conditionalFormatting>
  <conditionalFormatting sqref="A152:A154 A160:A162 A165">
    <cfRule type="expression" dxfId="0" priority="1531898">
      <formula>COUNTIF($A$4:$A$10215,$A152)&gt;1</formula>
    </cfRule>
  </conditionalFormatting>
  <conditionalFormatting sqref="A156 A1014">
    <cfRule type="expression" dxfId="0" priority="1531901">
      <formula>COUNTIF($A$2:$A$10039,$A156)&gt;1</formula>
    </cfRule>
  </conditionalFormatting>
  <conditionalFormatting sqref="A183:A186 A955">
    <cfRule type="expression" dxfId="0" priority="1530237">
      <formula>COUNTIF($A$4:$A$10200,$A183)&gt;1</formula>
    </cfRule>
  </conditionalFormatting>
  <conditionalFormatting sqref="A191:A192 A195 A563:A564 A566:A567 A569:A572 A574:A578">
    <cfRule type="expression" dxfId="0" priority="1531177">
      <formula>COUNTIF($A$4:$A$10187,$A191)&gt;1</formula>
    </cfRule>
  </conditionalFormatting>
  <conditionalFormatting sqref="A769:A774 A812:A813 A246">
    <cfRule type="expression" dxfId="0" priority="1473939">
      <formula>COUNTIF($A246:$A1302,$A246)&gt;1</formula>
    </cfRule>
  </conditionalFormatting>
  <conditionalFormatting sqref="A775:A776 A814 A247">
    <cfRule type="expression" dxfId="0" priority="1476604">
      <formula>COUNTIF($A247:$A1302,$A247)&gt;1</formula>
    </cfRule>
  </conditionalFormatting>
  <conditionalFormatting sqref="A556 A248">
    <cfRule type="expression" dxfId="0" priority="1514966">
      <formula>COUNTIF($A248:$A1402,$A248)&gt;1</formula>
    </cfRule>
  </conditionalFormatting>
  <conditionalFormatting sqref="A478 A249:A250">
    <cfRule type="expression" dxfId="0" priority="1529086">
      <formula>COUNTIF($A249:$A1402,$A249)&gt;1</formula>
    </cfRule>
  </conditionalFormatting>
  <conditionalFormatting sqref="A287 A252">
    <cfRule type="expression" dxfId="0" priority="1530285">
      <formula>COUNTIF($A252:$A1317,$A252)&gt;1</formula>
    </cfRule>
  </conditionalFormatting>
  <conditionalFormatting sqref="A731:A734 A757:A759 A253">
    <cfRule type="expression" dxfId="0" priority="1525074">
      <formula>COUNTIF($A253:$A1316,$A253)&gt;1</formula>
    </cfRule>
  </conditionalFormatting>
  <conditionalFormatting sqref="A444 A254:A255">
    <cfRule type="expression" dxfId="0" priority="1522794">
      <formula>COUNTIF($A254:$A1415,$A254)&gt;1</formula>
    </cfRule>
  </conditionalFormatting>
  <conditionalFormatting sqref="A267 A270 A273:A278">
    <cfRule type="expression" dxfId="0" priority="1531165">
      <formula>COUNTIF($A$4:$A$10294,$A267)&gt;1</formula>
    </cfRule>
  </conditionalFormatting>
  <conditionalFormatting sqref="A803 A832:A833 A283">
    <cfRule type="expression" dxfId="0" priority="1531643">
      <formula>COUNTIF($A283:$A1322,$A283)&gt;1</formula>
    </cfRule>
  </conditionalFormatting>
  <conditionalFormatting sqref="A284:A286 A745:A746 A750:A751">
    <cfRule type="expression" dxfId="0" priority="1529559">
      <formula>COUNTIF($A284:$A1350,$A284)&gt;1</formula>
    </cfRule>
  </conditionalFormatting>
  <conditionalFormatting sqref="A290 A338:A340">
    <cfRule type="expression" dxfId="0" priority="1529255">
      <formula>COUNTIF($A290:$A1468,$A290)&gt;1</formula>
    </cfRule>
  </conditionalFormatting>
  <conditionalFormatting sqref="A294 A341">
    <cfRule type="expression" dxfId="0" priority="1512453">
      <formula>COUNTIF($A294:$A1470,$A294)&gt;1</formula>
    </cfRule>
  </conditionalFormatting>
  <conditionalFormatting sqref="A296 A342 A430:A432">
    <cfRule type="expression" dxfId="0" priority="1508825">
      <formula>COUNTIF($A296:$A1470,$A296)&gt;1</formula>
    </cfRule>
  </conditionalFormatting>
  <conditionalFormatting sqref="A433 A297:A298 A343">
    <cfRule type="expression" dxfId="0" priority="1513103">
      <formula>COUNTIF($A297:$A1470,$A297)&gt;1</formula>
    </cfRule>
  </conditionalFormatting>
  <conditionalFormatting sqref="A299 A331 A344 A388">
    <cfRule type="expression" dxfId="0" priority="1528387">
      <formula>COUNTIF($A299:$A1471,$A299)&gt;1</formula>
    </cfRule>
  </conditionalFormatting>
  <conditionalFormatting sqref="A435:A436 A301 A350 A401">
    <cfRule type="expression" dxfId="0" priority="1514144">
      <formula>COUNTIF($A301:$A1471,$A301)&gt;1</formula>
    </cfRule>
  </conditionalFormatting>
  <conditionalFormatting sqref="A437 A302:A303">
    <cfRule type="expression" dxfId="0" priority="1516671">
      <formula>COUNTIF($A302:$A1471,$A302)&gt;1</formula>
    </cfRule>
  </conditionalFormatting>
  <conditionalFormatting sqref="A458 A304 A354 A400">
    <cfRule type="expression" dxfId="0" priority="1517531">
      <formula>COUNTIF($A304:$A1470,$A304)&gt;1</formula>
    </cfRule>
  </conditionalFormatting>
  <conditionalFormatting sqref="A305:A308 A312 A315">
    <cfRule type="expression" dxfId="0" priority="1531968">
      <formula>COUNTIF($A$4:$A$10264,$A305)&gt;1</formula>
    </cfRule>
  </conditionalFormatting>
  <conditionalFormatting sqref="A322 A345 A382:A385 A402">
    <cfRule type="expression" dxfId="0" priority="1528992">
      <formula>COUNTIF($A322:$A1493,$A322)&gt;1</formula>
    </cfRule>
  </conditionalFormatting>
  <conditionalFormatting sqref="A322 A488 A999:A1000 A1002">
    <cfRule type="expression" dxfId="0" priority="1531985">
      <formula>COUNTIF($A$4:$A$10190,$A322)&gt;1</formula>
    </cfRule>
  </conditionalFormatting>
  <conditionalFormatting sqref="A334 A389:A391">
    <cfRule type="expression" dxfId="0" priority="1508823">
      <formula>COUNTIF($A334:$A1516,$A334)&gt;1</formula>
    </cfRule>
  </conditionalFormatting>
  <conditionalFormatting sqref="A335 A392">
    <cfRule type="expression" dxfId="0" priority="1509506">
      <formula>COUNTIF($A335:$A1516,$A335)&gt;1</formula>
    </cfRule>
  </conditionalFormatting>
  <conditionalFormatting sqref="A336 A393">
    <cfRule type="expression" dxfId="0" priority="1509693">
      <formula>COUNTIF($A336:$A1516,$A336)&gt;1</formula>
    </cfRule>
  </conditionalFormatting>
  <conditionalFormatting sqref="A337 A394:A395">
    <cfRule type="expression" dxfId="0" priority="1527852">
      <formula>COUNTIF($A337:$A1516,$A337)&gt;1</formula>
    </cfRule>
  </conditionalFormatting>
  <conditionalFormatting sqref="A348 A351">
    <cfRule type="expression" dxfId="0" priority="1531843">
      <formula>COUNTIF($A348:$A1470,$A348)&gt;1</formula>
    </cfRule>
  </conditionalFormatting>
  <conditionalFormatting sqref="A348 A351:A352">
    <cfRule type="expression" dxfId="0" priority="1532001">
      <formula>COUNTIF($A$5:$A$10130,$A348)&gt;1</formula>
    </cfRule>
  </conditionalFormatting>
  <conditionalFormatting sqref="A440:A441 A517:A519 A356:A357 A399">
    <cfRule type="expression" dxfId="0" priority="1523206">
      <formula>COUNTIF($A356:$A1520,$A356)&gt;1</formula>
    </cfRule>
  </conditionalFormatting>
  <conditionalFormatting sqref="A358 A361:A366 A368 A453:A454 A459:A462 A515:A516">
    <cfRule type="expression" dxfId="0" priority="1516662">
      <formula>COUNTIF($A358:$A1521,$A358)&gt;1</formula>
    </cfRule>
  </conditionalFormatting>
  <conditionalFormatting sqref="E361:E371 E873:E876">
    <cfRule type="expression" dxfId="1" priority="497">
      <formula>$E361&gt;$B361</formula>
    </cfRule>
  </conditionalFormatting>
  <conditionalFormatting sqref="A367 A445:A448">
    <cfRule type="expression" dxfId="0" priority="1530176">
      <formula>COUNTIF($A367:$A1529,$A367)&gt;1</formula>
    </cfRule>
  </conditionalFormatting>
  <conditionalFormatting sqref="A373 A377:A379 A422">
    <cfRule type="expression" dxfId="0" priority="1530977">
      <formula>COUNTIF($A373:$A1559,$A373)&gt;1</formula>
    </cfRule>
  </conditionalFormatting>
  <conditionalFormatting sqref="A373:A375 A377:A379">
    <cfRule type="expression" dxfId="0" priority="1532019">
      <formula>COUNTIF($A$4:$A$10223,$A373)&gt;1</formula>
    </cfRule>
  </conditionalFormatting>
  <conditionalFormatting sqref="A374:A375 A421">
    <cfRule type="expression" dxfId="0" priority="1530167">
      <formula>COUNTIF($A374:$A1561,$A374)&gt;1</formula>
    </cfRule>
  </conditionalFormatting>
  <conditionalFormatting sqref="A397 A508 A510">
    <cfRule type="expression" dxfId="0" priority="1528995">
      <formula>COUNTIF($A397:$A1564,$A397)&gt;1</formula>
    </cfRule>
  </conditionalFormatting>
  <conditionalFormatting sqref="A403:A412 A414:A423">
    <cfRule type="expression" dxfId="0" priority="1532033">
      <formula>COUNTIF($A$4:$A$10293,$A403)&gt;1</formula>
    </cfRule>
  </conditionalFormatting>
  <conditionalFormatting sqref="A824:A826 A424">
    <cfRule type="expression" dxfId="0" priority="1514613">
      <formula>COUNTIF($A424:$A1471,$A424)&gt;1</formula>
    </cfRule>
  </conditionalFormatting>
  <conditionalFormatting sqref="A424:A425 A470:A473">
    <cfRule type="expression" dxfId="0" priority="1530980">
      <formula>COUNTIF($A$4:$A$10043,$A424)&gt;1</formula>
    </cfRule>
  </conditionalFormatting>
  <conditionalFormatting sqref="A778 A781:A782 A817 A425">
    <cfRule type="expression" dxfId="0" priority="1507676">
      <formula>COUNTIF($A425:$A1478,$A425)&gt;1</formula>
    </cfRule>
  </conditionalFormatting>
  <conditionalFormatting sqref="A433 A435:A437 A440:A441 A444">
    <cfRule type="expression" dxfId="0" priority="1532045">
      <formula>COUNTIF($A$4:$A$10186,$A433)&gt;1</formula>
    </cfRule>
  </conditionalFormatting>
  <conditionalFormatting sqref="A449:A451 A456 A965">
    <cfRule type="expression" dxfId="0" priority="1530648">
      <formula>COUNTIF($A$4:$A$10163,$A449)&gt;1</formula>
    </cfRule>
  </conditionalFormatting>
  <conditionalFormatting sqref="A449 A451 A547">
    <cfRule type="expression" dxfId="0" priority="1531823">
      <formula>COUNTIF($A449:$A1607,$A449)&gt;1</formula>
    </cfRule>
  </conditionalFormatting>
  <conditionalFormatting sqref="A450 A452 A548">
    <cfRule type="expression" dxfId="0" priority="1530739">
      <formula>COUNTIF($A450:$A1609,$A450)&gt;1</formula>
    </cfRule>
  </conditionalFormatting>
  <conditionalFormatting sqref="A463:A464 A466:A469">
    <cfRule type="expression" dxfId="0" priority="1531399">
      <formula>COUNTIF($A$2:$A$9956,$A463)&gt;1</formula>
    </cfRule>
  </conditionalFormatting>
  <conditionalFormatting sqref="A463:A464 A466">
    <cfRule type="expression" dxfId="0" priority="1531827">
      <formula>COUNTIF($A463:$A1475,$A463)&gt;1</formula>
    </cfRule>
  </conditionalFormatting>
  <conditionalFormatting sqref="A470:A471 A756">
    <cfRule type="expression" dxfId="0" priority="1528156">
      <formula>COUNTIF($A470:$A1532,$A470)&gt;1</formula>
    </cfRule>
  </conditionalFormatting>
  <conditionalFormatting sqref="A479 A555">
    <cfRule type="expression" dxfId="0" priority="1530760">
      <formula>COUNTIF($A479:$A1631,$A479)&gt;1</formula>
    </cfRule>
  </conditionalFormatting>
  <conditionalFormatting sqref="A637:A638 A488 A558 A581">
    <cfRule type="expression" dxfId="0" priority="1517524">
      <formula>COUNTIF($A488:$A1622,$A488)&gt;1</formula>
    </cfRule>
  </conditionalFormatting>
  <conditionalFormatting sqref="A489 A506">
    <cfRule type="expression" dxfId="0" priority="1528392">
      <formula>COUNTIF($A489:$A1657,$A489)&gt;1</formula>
    </cfRule>
  </conditionalFormatting>
  <conditionalFormatting sqref="A816 A500 A521">
    <cfRule type="expression" dxfId="0" priority="1521092">
      <formula>COUNTIF($A500:$A1549,$A500)&gt;1</formula>
    </cfRule>
  </conditionalFormatting>
  <conditionalFormatting sqref="A500 A502:A504">
    <cfRule type="expression" dxfId="0" priority="1532096">
      <formula>COUNTIF($A$4:$A$10067,$A500)&gt;1</formula>
    </cfRule>
  </conditionalFormatting>
  <conditionalFormatting sqref="A670 A689 A501 A593">
    <cfRule type="expression" dxfId="0" priority="1528736">
      <formula>COUNTIF($A501:$A1582,$A501)&gt;1</formula>
    </cfRule>
  </conditionalFormatting>
  <conditionalFormatting sqref="A501 A871:A872 A877">
    <cfRule type="expression" dxfId="0" priority="1532098">
      <formula>COUNTIF($A$4:$A$10110,$A501)&gt;1</formula>
    </cfRule>
  </conditionalFormatting>
  <conditionalFormatting sqref="A828 A502:A504">
    <cfRule type="expression" dxfId="0" priority="1526108">
      <formula>COUNTIF($A502:$A1547,$A502)&gt;1</formula>
    </cfRule>
  </conditionalFormatting>
  <conditionalFormatting sqref="A820:A821 A520">
    <cfRule type="expression" dxfId="0" priority="1526137">
      <formula>COUNTIF($A520:$A1570,$A520)&gt;1</formula>
    </cfRule>
  </conditionalFormatting>
  <conditionalFormatting sqref="A822:A823 A522">
    <cfRule type="expression" dxfId="0" priority="1528677">
      <formula>COUNTIF($A522:$A1570,$A522)&gt;1</formula>
    </cfRule>
  </conditionalFormatting>
  <conditionalFormatting sqref="A779:A780 A818 A528:A529">
    <cfRule type="expression" dxfId="0" priority="1508792">
      <formula>COUNTIF($A528:$A1580,$A528)&gt;1</formula>
    </cfRule>
  </conditionalFormatting>
  <conditionalFormatting sqref="A632 A539:A542 A549:A551 A553">
    <cfRule type="expression" dxfId="0" priority="1528709">
      <formula>COUNTIF($A539:$A1682,$A539)&gt;1</formula>
    </cfRule>
  </conditionalFormatting>
  <conditionalFormatting sqref="A623:A625 A543:A545">
    <cfRule type="expression" dxfId="0" priority="1531578">
      <formula>COUNTIF($A543:$A1684,$A543)&gt;1</formula>
    </cfRule>
  </conditionalFormatting>
  <conditionalFormatting sqref="A546 A554">
    <cfRule type="expression" dxfId="0" priority="1527448">
      <formula>COUNTIF($A546:$A1688,$A546)&gt;1</formula>
    </cfRule>
  </conditionalFormatting>
  <conditionalFormatting sqref="A636 A639 A557">
    <cfRule type="expression" dxfId="0" priority="1528716">
      <formula>COUNTIF($A557:$A1690,$A557)&gt;1</formula>
    </cfRule>
  </conditionalFormatting>
  <conditionalFormatting sqref="A559:A561 A742">
    <cfRule type="expression" dxfId="0" priority="1527637">
      <formula>COUNTIF($A559:$A1627,$A559)&gt;1</formula>
    </cfRule>
  </conditionalFormatting>
  <conditionalFormatting sqref="A563:A564 A641">
    <cfRule type="expression" dxfId="0" priority="1523799">
      <formula>COUNTIF($A563:$A1694,$A563)&gt;1</formula>
    </cfRule>
  </conditionalFormatting>
  <conditionalFormatting sqref="A566:A567 A570:A572 A574:A576 A642">
    <cfRule type="expression" dxfId="0" priority="1530795">
      <formula>COUNTIF($A566:$A1696,$A566)&gt;1</formula>
    </cfRule>
  </conditionalFormatting>
  <conditionalFormatting sqref="A569 A577:A578">
    <cfRule type="expression" dxfId="0" priority="1531831">
      <formula>COUNTIF($A569:$A1698,$A569)&gt;1</formula>
    </cfRule>
  </conditionalFormatting>
  <conditionalFormatting sqref="A667:A668 A685:A687 A583 A608">
    <cfRule type="expression" dxfId="0" priority="1507945">
      <formula>COUNTIF($A583:$A1666,$A583)&gt;1</formula>
    </cfRule>
  </conditionalFormatting>
  <conditionalFormatting sqref="A583 A979 A983">
    <cfRule type="expression" dxfId="0" priority="1532139">
      <formula>COUNTIF($A$4:$A$10097,$A583)&gt;1</formula>
    </cfRule>
  </conditionalFormatting>
  <conditionalFormatting sqref="A658:A659 A589">
    <cfRule type="expression" dxfId="0" priority="1478204">
      <formula>COUNTIF($A589:$A1681,$A589)&gt;1</formula>
    </cfRule>
  </conditionalFormatting>
  <conditionalFormatting sqref="A591 A595:A596">
    <cfRule type="expression" dxfId="0" priority="1532150">
      <formula>COUNTIF($A$4:$A$10113,$A591)&gt;1</formula>
    </cfRule>
  </conditionalFormatting>
  <conditionalFormatting sqref="A684 A594 A607">
    <cfRule type="expression" dxfId="0" priority="1528753">
      <formula>COUNTIF($A594:$A1678,$A594)&gt;1</formula>
    </cfRule>
  </conditionalFormatting>
  <conditionalFormatting sqref="A677 A679:A680 A600 A602">
    <cfRule type="expression" dxfId="0" priority="1505147">
      <formula>COUNTIF($A600:$A1686,$A600)&gt;1</formula>
    </cfRule>
  </conditionalFormatting>
  <conditionalFormatting sqref="A664:A666 A601">
    <cfRule type="expression" dxfId="0" priority="1494735">
      <formula>COUNTIF($A601:$A1688,$A601)&gt;1</formula>
    </cfRule>
  </conditionalFormatting>
  <conditionalFormatting sqref="A671:A673 A675:A676 A678 A681:A683 A604:A606">
    <cfRule type="expression" dxfId="0" priority="1506215">
      <formula>COUNTIF($A604:$A1689,$A604)&gt;1</formula>
    </cfRule>
  </conditionalFormatting>
  <conditionalFormatting sqref="A696:A700 A713 A612:A613 A703">
    <cfRule type="expression" dxfId="0" priority="1514748">
      <formula>COUNTIF($A612:$A1691,$A612)&gt;1</formula>
    </cfRule>
  </conditionalFormatting>
  <conditionalFormatting sqref="A618 A620">
    <cfRule type="expression" dxfId="0" priority="1532170">
      <formula>COUNTIF($A618:$A1737,$A618)&gt;1</formula>
    </cfRule>
    <cfRule type="expression" dxfId="0" priority="1532171">
      <formula>COUNTIF($A$4:$A$10280,$A618)&gt;1</formula>
    </cfRule>
  </conditionalFormatting>
  <conditionalFormatting sqref="A623:A625 A636:A639 A641:A642 A645">
    <cfRule type="expression" dxfId="0" priority="1532177">
      <formula>COUNTIF($A$4:$A$10323,$A623)&gt;1</formula>
    </cfRule>
  </conditionalFormatting>
  <conditionalFormatting sqref="A646 A657 A767:A768">
    <cfRule type="expression" dxfId="0" priority="1531584">
      <formula>COUNTIF($A646:$A1741,$A646)&gt;1</formula>
    </cfRule>
  </conditionalFormatting>
  <conditionalFormatting sqref="A650 A764:A766">
    <cfRule type="expression" dxfId="0" priority="1528750">
      <formula>COUNTIF($A650:$A1747,$A650)&gt;1</formula>
    </cfRule>
  </conditionalFormatting>
  <conditionalFormatting sqref="A658:A660 A663:A666">
    <cfRule type="expression" dxfId="0" priority="1532194">
      <formula>COUNTIF($A$4:$A$10269,$A658)&gt;1</formula>
    </cfRule>
  </conditionalFormatting>
  <conditionalFormatting sqref="A690:A691 A943:A944">
    <cfRule type="expression" dxfId="0" priority="1532204">
      <formula>COUNTIF($A$4:$A$10276,$A690)&gt;1</formula>
    </cfRule>
  </conditionalFormatting>
  <conditionalFormatting sqref="A692:A695 A706:A707 A715">
    <cfRule type="expression" dxfId="0" priority="1516659">
      <formula>COUNTIF($A692:$A1769,$A692)&gt;1</formula>
    </cfRule>
  </conditionalFormatting>
  <conditionalFormatting sqref="A704:A705 A714">
    <cfRule type="expression" dxfId="0" priority="1524195">
      <formula>COUNTIF($A704:$A1782,$A704)&gt;1</formula>
    </cfRule>
  </conditionalFormatting>
  <conditionalFormatting sqref="A708 A716">
    <cfRule type="expression" dxfId="0" priority="1517519">
      <formula>COUNTIF($A708:$A1784,$A708)&gt;1</formula>
    </cfRule>
  </conditionalFormatting>
  <conditionalFormatting sqref="A710 A712">
    <cfRule type="expression" dxfId="0" priority="1523065">
      <formula>COUNTIF($A710:$A1784,$A710)&gt;1</formula>
    </cfRule>
  </conditionalFormatting>
  <conditionalFormatting sqref="A713:A716 A966">
    <cfRule type="expression" dxfId="0" priority="1532206">
      <formula>COUNTIF($A$4:$A$10156,$A713)&gt;1</formula>
    </cfRule>
  </conditionalFormatting>
  <conditionalFormatting sqref="A760:A761 A1006">
    <cfRule type="expression" dxfId="0" priority="1532230">
      <formula>COUNTIF($A$4:$A$10132,$A760)&gt;1</formula>
    </cfRule>
  </conditionalFormatting>
  <conditionalFormatting sqref="A764:A768 A895">
    <cfRule type="expression" dxfId="0" priority="1532234">
      <formula>COUNTIF($A$4:$A$10062,$A764)&gt;1</formula>
    </cfRule>
  </conditionalFormatting>
  <conditionalFormatting sqref="A777 A815">
    <cfRule type="expression" dxfId="0" priority="1478226">
      <formula>COUNTIF($A777:$A1831,$A777)&gt;1</formula>
    </cfRule>
  </conditionalFormatting>
  <conditionalFormatting sqref="A783 A785:A787">
    <cfRule type="expression" dxfId="0" priority="1532236">
      <formula>COUNTIF($A783:$A1854,$A783)&gt;1</formula>
    </cfRule>
    <cfRule type="expression" dxfId="0" priority="1532237">
      <formula>COUNTIF($A$4:$A$10155,$A783)&gt;1</formula>
    </cfRule>
  </conditionalFormatting>
  <conditionalFormatting sqref="A789:A790 A827">
    <cfRule type="expression" dxfId="0" priority="1521884">
      <formula>COUNTIF($A789:$A1835,$A789)&gt;1</formula>
    </cfRule>
  </conditionalFormatting>
  <conditionalFormatting sqref="A791 A793:A796">
    <cfRule type="expression" dxfId="0" priority="1514751">
      <formula>COUNTIF($A791:$A1835,$A791)&gt;1</formula>
    </cfRule>
  </conditionalFormatting>
  <conditionalFormatting sqref="A792 A829 A797">
    <cfRule type="expression" dxfId="0" priority="1522178">
      <formula>COUNTIF($A792:$A1835,$A792)&gt;1</formula>
    </cfRule>
  </conditionalFormatting>
  <conditionalFormatting sqref="A798:A802 A831">
    <cfRule type="expression" dxfId="0" priority="1516646">
      <formula>COUNTIF($A798:$A1838,$A798)&gt;1</formula>
    </cfRule>
  </conditionalFormatting>
  <conditionalFormatting sqref="A808:A811 A819">
    <cfRule type="expression" dxfId="0" priority="1509476">
      <formula>COUNTIF($A808:$A1859,$A808)&gt;1</formula>
    </cfRule>
  </conditionalFormatting>
  <conditionalFormatting sqref="A838:A839 A842">
    <cfRule type="expression" dxfId="0" priority="1532246">
      <formula>COUNTIF($A$4:$A$10171,$A838)&gt;1</formula>
    </cfRule>
  </conditionalFormatting>
  <conditionalFormatting sqref="A873:A876 A878:A879">
    <cfRule type="expression" dxfId="0" priority="1531394">
      <formula>COUNTIF($A$4:$A$10291,$A873)&gt;1</formula>
    </cfRule>
  </conditionalFormatting>
  <conditionalFormatting sqref="A887:A889 A893">
    <cfRule type="expression" dxfId="0" priority="1532265">
      <formula>COUNTIF($A$3:$A$9945,$A887)&gt;1</formula>
    </cfRule>
  </conditionalFormatting>
  <conditionalFormatting sqref="A991 A994 A996">
    <cfRule type="expression" dxfId="0" priority="1532282">
      <formula>COUNTIF($A$2:$A$9900,$A991)&gt;1</formula>
    </cfRule>
  </conditionalFormatting>
  <dataValidations count="6">
    <dataValidation type="textLength" operator="greaterThanOrEqual" allowBlank="1" showInputMessage="1" showErrorMessage="1" promptTitle="Country of Origin" prompt="Enter 2 digit code for Country" sqref="K3 K77 K87 K129 K131 K139 K157 K256 K260 K381 K396 K413 K438 K483 K490 K493 K495 K807 K857 K1011 K125:K126 K150:K151 K246:K247 K252:K253 K262:K263 K284:K287 K449:K451 K643:K644 K735:K741 K764:K768 K783:K786 K887:K891 K909:K910 K912:K927 K945:K950 K1005:K1006">
      <formula1>2</formula1>
    </dataValidation>
    <dataValidation type="whole" operator="between" allowBlank="1" showInputMessage="1" showErrorMessage="1" errorTitle="Quantity out of range" error="Whole number up to 2000" sqref="E49 E132 E156 E434 E439 E496 E499 E501 E511 E580 E582 E584 E621 E719 E837 E856 E882 E970 E14:E20 E119:E123 E178:E179 E238:E240 E280:E283 E316:E321 E463:E469 E520:E522">
      <formula1>0</formula1>
      <formula2>2000</formula2>
    </dataValidation>
    <dataValidation allowBlank="1" showInputMessage="1" showErrorMessage="1" promptTitle="Enter PACK Quantity" prompt="Not Pieces" sqref="E100 E135 E493 E495 E581 E585 E614 E841 E843 E958 E988 E992 E995 E1:E3 E9:E13 E21:E37 E40:E47 E50:E62 E72:E87 E90:E97 E102:E118 E125:E131 E139:E146 E148:E155 E157:E177 E180:E182 E190:E203 E206:E224 E226:E236 E241:E250 E252:E263 E267:E279 E284:E304 E313:E314 E322:E328 E330:E371 E373:E375 E377:E379 E381:E385 E388:E423 E426:E433 E435:E437 E440:E441 E444:E454 E458:E462 E470:E473 E478:E483 E485:E486 E489:E491 E505:E510 E512:E519 E523:E526 E535:E557 E587:E588 E609:E610 E617:E620 E623:E625 E627:E718 E729:E748 E750:E751 E756:E783 E785:E786 E788:E833 E848:E855 E857:E863 E867:E871 E873:E881 E887:E891 E893:E895 E898:E902 E904:E910 E912:E955 E961:E965 E967:E968 E971:E986 E998:E1008 E1011:E1022 E1026:E1048576"/>
    <dataValidation type="whole" operator="between" allowBlank="1" showInputMessage="1" showErrorMessage="1" errorTitle="Invalid Number" error="Must be a whole number  between 0 &amp; 1000" sqref="E101 E124 E147 E225 E237 E251 E315 E329 E372 E376 E380 E438 E484 E487 E494 E500 E583 E586 E622 E626 E749 E784 E787 E842 E872 E903 E911 E966 E969 E987 E38:E39 E63:E71 E98:E99 E133:E134 E136:E138 E183:E189 E204:E205 E264:E266 E305:E312 E386:E387 E424:E425 E442:E443 E455:E457 E474:E477 E497:E498 E502:E504 E527:E534 E558:E579 E589:E608 E611:E613 E615:E616 E720:E728 E752:E755 E834:E836 E838:E840 E844:E847 E864:E866 E883:E886 E896:E897 E956:E957 E959:E960 E989:E991 E993:E994 E996:E997 E1009:E1010 E1023:E1025">
      <formula1>0</formula1>
      <formula2>1000</formula2>
    </dataValidation>
    <dataValidation type="decimal" operator="between" allowBlank="1" showInputMessage="1" showErrorMessage="1" errorTitle="Invalid Number" error="Must be a whole number  between 0 &amp; 1000" sqref="F225 F498 F509 F614 F893 F2:F3 F21:F48 F50:F73 F75:F87 F90:F130 F132:F186 F190:F212 F237:F240 F242:F253 F256:F258 F262:F355 F359:F494 F512:F550 F555:F556 F558:F564 F566:F588 F609:F610 F618:F682 F685:F803 F807:F840 F842:F879 F883:F891 F895:F902 F904:F965 F969:F970 F974:F1157">
      <formula1>0</formula1>
      <formula2>1000</formula2>
    </dataValidation>
    <dataValidation allowBlank="1" showInputMessage="1" showErrorMessage="1" errorTitle="Invalid Number" error="Must be between 0 &amp; 1000" sqref="E88:E89"/>
  </dataValidations>
  <pageMargins left="0.236220472440945" right="0.236220472440945" top="0.748031496062992" bottom="0.748031496062992" header="0.31496062992126" footer="0.31496062992126"/>
  <pageSetup paperSize="9" scale="47" fitToHeight="10" orientation="portrait"/>
  <headerFooter>
    <oddHeader>&amp;L&amp;D&amp;R&amp;D</oddHeader>
    <oddFooter>&amp;LPage &amp;P of &amp;N           &amp;D&amp;C14-08-2026 15:10&amp;R&amp;D</oddFooter>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Kalms</dc:creator>
  <cp:lastModifiedBy>David UL</cp:lastModifiedBy>
  <dcterms:created xsi:type="dcterms:W3CDTF">2011-06-13T16:16:00Z</dcterms:created>
  <cp:lastPrinted>2024-02-06T22:55:00Z</cp:lastPrinted>
  <dcterms:modified xsi:type="dcterms:W3CDTF">2026-09-09T15:19:24Z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DB36362BC7E580D79C24A16A29F8F32C_42</vt:lpwstr>
  </property>
  <property fmtid="{D5CDD505-2E9C-101B-9397-08002B2CF9AE}" pid="3" name="KSOProductBuildVer">
    <vt:lpwstr>1033-12.1.26050.26050</vt:lpwstr>
  </property>
  <property fmtid="{D5CDD505-2E9C-101B-9397-08002B2CF9AE}" pid="4" name="CalculationRule">
    <vt:i4>0</vt:i4>
  </property>
</Properties>
</file>